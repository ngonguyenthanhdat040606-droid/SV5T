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huon\Downloads\"/>
    </mc:Choice>
  </mc:AlternateContent>
  <xr:revisionPtr revIDLastSave="0" documentId="13_ncr:1_{EE2B35CF-2D43-444A-AEEE-4062413AC3C7}" xr6:coauthVersionLast="47" xr6:coauthVersionMax="47" xr10:uidLastSave="{00000000-0000-0000-0000-000000000000}"/>
  <bookViews>
    <workbookView xWindow="-110" yWindow="-110" windowWidth="19420" windowHeight="11500" xr2:uid="{00000000-000D-0000-FFFF-FFFF00000000}"/>
  </bookViews>
  <sheets>
    <sheet name="Trang tính1" sheetId="1" r:id="rId1"/>
    <sheet name="HS Trình" sheetId="2" r:id="rId2"/>
    <sheet name="Trang tính3" sheetId="3" state="hidden" r:id="rId3"/>
    <sheet name="Trang tính2" sheetId="4" state="hidden" r:id="rId4"/>
  </sheets>
  <definedNames>
    <definedName name="_xlnm._FilterDatabase" localSheetId="1" hidden="1">'HS Trình'!$A$5:$AD$198</definedName>
    <definedName name="_xlnm._FilterDatabase" localSheetId="0" hidden="1">'Trang tính1'!$A$5:$AC$231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98" i="2" l="1"/>
  <c r="G197" i="2"/>
  <c r="F197" i="2"/>
  <c r="G195" i="2"/>
  <c r="F195" i="2"/>
  <c r="G194" i="2"/>
  <c r="F194" i="2"/>
  <c r="G193" i="2"/>
  <c r="F193" i="2"/>
  <c r="G192" i="2"/>
  <c r="F192" i="2"/>
  <c r="G191" i="2"/>
  <c r="F191" i="2"/>
  <c r="G188" i="2"/>
  <c r="F188" i="2"/>
  <c r="G186" i="2"/>
  <c r="F186" i="2"/>
  <c r="G185" i="2"/>
  <c r="F185" i="2"/>
  <c r="G184" i="2"/>
  <c r="F184" i="2"/>
  <c r="G183" i="2"/>
  <c r="F183" i="2"/>
  <c r="G182" i="2"/>
  <c r="F182" i="2"/>
  <c r="G181" i="2"/>
  <c r="F181" i="2"/>
  <c r="G180" i="2"/>
  <c r="F180" i="2"/>
  <c r="G179" i="2"/>
  <c r="F179" i="2"/>
  <c r="G178" i="2"/>
  <c r="F178" i="2"/>
  <c r="G177" i="2"/>
  <c r="F177" i="2"/>
  <c r="G176" i="2"/>
  <c r="F176" i="2"/>
  <c r="G175" i="2"/>
  <c r="F175" i="2"/>
  <c r="G174" i="2"/>
  <c r="F174" i="2"/>
  <c r="G173" i="2"/>
  <c r="F173" i="2"/>
  <c r="G166" i="2"/>
  <c r="F166" i="2"/>
  <c r="G165" i="2"/>
  <c r="F165" i="2"/>
  <c r="G164" i="2"/>
  <c r="F164" i="2"/>
  <c r="G160" i="2"/>
  <c r="F160" i="2"/>
  <c r="G157" i="2"/>
  <c r="F157" i="2"/>
  <c r="G155" i="2"/>
  <c r="F155" i="2"/>
  <c r="G154" i="2"/>
  <c r="F154" i="2"/>
  <c r="G153" i="2"/>
  <c r="F153" i="2"/>
  <c r="G150" i="2"/>
  <c r="F150" i="2"/>
  <c r="G146" i="2"/>
  <c r="F146" i="2"/>
  <c r="G144" i="2"/>
  <c r="G143" i="2"/>
  <c r="F143" i="2"/>
  <c r="G140" i="2"/>
  <c r="F140" i="2"/>
  <c r="G139" i="2"/>
  <c r="F139" i="2"/>
  <c r="G138" i="2"/>
  <c r="F138" i="2"/>
  <c r="G137" i="2"/>
  <c r="F137" i="2"/>
  <c r="G136" i="2"/>
  <c r="F136" i="2"/>
  <c r="G135" i="2"/>
  <c r="F135" i="2"/>
  <c r="G134" i="2"/>
  <c r="F134" i="2"/>
  <c r="G133" i="2"/>
  <c r="F133" i="2"/>
  <c r="G132" i="2"/>
  <c r="F132" i="2"/>
  <c r="G131" i="2"/>
  <c r="F131" i="2"/>
  <c r="G130" i="2"/>
  <c r="F130" i="2"/>
  <c r="G129" i="2"/>
  <c r="F129" i="2"/>
  <c r="G128" i="2"/>
  <c r="F128" i="2"/>
  <c r="G127" i="2"/>
  <c r="F127" i="2"/>
  <c r="G126" i="2"/>
  <c r="F126" i="2"/>
  <c r="G125" i="2"/>
  <c r="F125" i="2"/>
  <c r="G124" i="2"/>
  <c r="F124" i="2"/>
  <c r="G123" i="2"/>
  <c r="F123" i="2"/>
  <c r="G122" i="2"/>
  <c r="F122" i="2"/>
  <c r="G121" i="2"/>
  <c r="F121" i="2"/>
  <c r="G120" i="2"/>
  <c r="F120" i="2"/>
  <c r="G119" i="2"/>
  <c r="F119" i="2"/>
  <c r="G118" i="2"/>
  <c r="F118" i="2"/>
  <c r="G117" i="2"/>
  <c r="F117" i="2"/>
  <c r="G116" i="2"/>
  <c r="F116" i="2"/>
  <c r="G115" i="2"/>
  <c r="F115" i="2"/>
  <c r="G114" i="2"/>
  <c r="F114" i="2"/>
  <c r="G113" i="2"/>
  <c r="F113" i="2"/>
  <c r="G112" i="2"/>
  <c r="F112" i="2"/>
  <c r="G110" i="2"/>
  <c r="F110" i="2"/>
  <c r="G109" i="2"/>
  <c r="F109" i="2"/>
  <c r="G108" i="2"/>
  <c r="F108" i="2"/>
  <c r="G107" i="2"/>
  <c r="F107" i="2"/>
  <c r="G106" i="2"/>
  <c r="F106" i="2"/>
  <c r="G105" i="2"/>
  <c r="F105" i="2"/>
  <c r="G104" i="2"/>
  <c r="F104" i="2"/>
  <c r="G103" i="2"/>
  <c r="F103" i="2"/>
  <c r="G96" i="2"/>
  <c r="G95" i="2"/>
  <c r="F95" i="2"/>
  <c r="G94" i="2"/>
  <c r="F94" i="2"/>
  <c r="G93" i="2"/>
  <c r="F93" i="2"/>
  <c r="G92" i="2"/>
  <c r="F92" i="2"/>
  <c r="G91" i="2"/>
  <c r="F91" i="2"/>
  <c r="G90" i="2"/>
  <c r="F90" i="2"/>
  <c r="G89" i="2"/>
  <c r="F89" i="2"/>
  <c r="G87" i="2"/>
  <c r="F87" i="2"/>
  <c r="G86" i="2"/>
  <c r="F86" i="2"/>
  <c r="G85" i="2"/>
  <c r="F85" i="2"/>
  <c r="G80" i="2"/>
  <c r="F80" i="2"/>
  <c r="G79" i="2"/>
  <c r="F79" i="2"/>
  <c r="G78" i="2"/>
  <c r="F78" i="2"/>
  <c r="G74" i="2"/>
  <c r="F74" i="2"/>
  <c r="G73" i="2"/>
  <c r="F73" i="2"/>
  <c r="G72" i="2"/>
  <c r="F72" i="2"/>
  <c r="G71" i="2"/>
  <c r="F71" i="2"/>
  <c r="G70" i="2"/>
  <c r="F70" i="2"/>
  <c r="G69" i="2"/>
  <c r="F69" i="2"/>
  <c r="G68" i="2"/>
  <c r="F68" i="2"/>
  <c r="G67" i="2"/>
  <c r="F67" i="2"/>
  <c r="G66" i="2"/>
  <c r="F66" i="2"/>
  <c r="G65" i="2"/>
  <c r="F65" i="2"/>
  <c r="G64" i="2"/>
  <c r="F64" i="2"/>
  <c r="G58" i="2"/>
  <c r="F58" i="2"/>
  <c r="G57" i="2"/>
  <c r="F57" i="2"/>
  <c r="G56" i="2"/>
  <c r="F56" i="2"/>
  <c r="G55" i="2"/>
  <c r="F55" i="2"/>
  <c r="G54" i="2"/>
  <c r="F54" i="2"/>
  <c r="G53" i="2"/>
  <c r="F53" i="2"/>
  <c r="G52" i="2"/>
  <c r="F52" i="2"/>
  <c r="G51" i="2"/>
  <c r="F51" i="2"/>
  <c r="G50" i="2"/>
  <c r="F50" i="2"/>
  <c r="G49" i="2"/>
  <c r="F49" i="2"/>
  <c r="G48" i="2"/>
  <c r="F48" i="2"/>
  <c r="G47" i="2"/>
  <c r="F47" i="2"/>
  <c r="G46" i="2"/>
  <c r="F46" i="2"/>
  <c r="G45" i="2"/>
  <c r="F45" i="2"/>
  <c r="G44" i="2"/>
  <c r="F44" i="2"/>
  <c r="G43" i="2"/>
  <c r="F43" i="2"/>
  <c r="G42" i="2"/>
  <c r="F42" i="2"/>
  <c r="G41" i="2"/>
  <c r="F41" i="2"/>
  <c r="G40" i="2"/>
  <c r="F40" i="2"/>
  <c r="G39" i="2"/>
  <c r="F39" i="2"/>
  <c r="G38" i="2"/>
  <c r="F38" i="2"/>
  <c r="G37" i="2"/>
  <c r="F37" i="2"/>
  <c r="G36" i="2"/>
  <c r="F36" i="2"/>
  <c r="G35" i="2"/>
  <c r="F35" i="2"/>
  <c r="G34" i="2"/>
  <c r="F34" i="2"/>
  <c r="G33" i="2"/>
  <c r="F33" i="2"/>
  <c r="G32" i="2"/>
  <c r="F32" i="2"/>
  <c r="G31" i="2"/>
  <c r="F31" i="2"/>
  <c r="G30" i="2"/>
  <c r="F30" i="2"/>
  <c r="G29" i="2"/>
  <c r="F29" i="2"/>
  <c r="G28" i="2"/>
  <c r="F28" i="2"/>
  <c r="G27" i="2"/>
  <c r="F27" i="2"/>
  <c r="G26" i="2"/>
  <c r="F26" i="2"/>
  <c r="G25" i="2"/>
  <c r="F25" i="2"/>
  <c r="G24" i="2"/>
  <c r="F24" i="2"/>
  <c r="G23" i="2"/>
  <c r="F23" i="2"/>
  <c r="G22" i="2"/>
  <c r="F22" i="2"/>
  <c r="G14" i="2"/>
  <c r="F14" i="2"/>
  <c r="G13" i="2"/>
  <c r="F13" i="2"/>
  <c r="G12" i="2"/>
  <c r="F12" i="2"/>
  <c r="G11" i="2"/>
  <c r="F11" i="2"/>
  <c r="G10" i="2"/>
  <c r="F10" i="2"/>
  <c r="G9" i="2"/>
  <c r="F9" i="2"/>
  <c r="G6" i="2"/>
  <c r="F6" i="2"/>
  <c r="N231" i="1"/>
  <c r="F230" i="1"/>
  <c r="E230" i="1"/>
  <c r="F229" i="1"/>
  <c r="E229" i="1"/>
  <c r="F228" i="1"/>
  <c r="E228" i="1"/>
  <c r="F227" i="1"/>
  <c r="E227" i="1"/>
  <c r="F226" i="1"/>
  <c r="E226" i="1"/>
  <c r="F225" i="1"/>
  <c r="E225" i="1"/>
  <c r="F224" i="1"/>
  <c r="E224" i="1"/>
  <c r="F223" i="1"/>
  <c r="E223" i="1"/>
  <c r="F222" i="1"/>
  <c r="E222" i="1"/>
  <c r="F221" i="1"/>
  <c r="E221" i="1"/>
  <c r="F210" i="1"/>
  <c r="F209" i="1"/>
  <c r="E209" i="1"/>
  <c r="F208" i="1"/>
  <c r="E208" i="1"/>
  <c r="F207" i="1"/>
  <c r="E207" i="1"/>
  <c r="F206" i="1"/>
  <c r="E206" i="1"/>
  <c r="F205" i="1"/>
  <c r="E205" i="1"/>
  <c r="F204" i="1"/>
  <c r="E204" i="1"/>
  <c r="F203" i="1"/>
  <c r="E203" i="1"/>
  <c r="F202" i="1"/>
  <c r="E202" i="1"/>
  <c r="F201" i="1"/>
  <c r="E201" i="1"/>
  <c r="F200" i="1"/>
  <c r="E200" i="1"/>
  <c r="F198" i="1"/>
  <c r="E198" i="1"/>
  <c r="F197" i="1"/>
  <c r="E197" i="1"/>
  <c r="F196" i="1"/>
  <c r="E196" i="1"/>
  <c r="F195" i="1"/>
  <c r="E195" i="1"/>
  <c r="F194" i="1"/>
  <c r="E194" i="1"/>
  <c r="F193" i="1"/>
  <c r="E193" i="1"/>
  <c r="F186" i="1"/>
  <c r="E186" i="1"/>
  <c r="F185" i="1"/>
  <c r="E185" i="1"/>
  <c r="F184" i="1"/>
  <c r="E184" i="1"/>
  <c r="F180" i="1"/>
  <c r="E180" i="1"/>
  <c r="F177" i="1"/>
  <c r="E177" i="1"/>
  <c r="F175" i="1"/>
  <c r="E175" i="1"/>
  <c r="F174" i="1"/>
  <c r="E174" i="1"/>
  <c r="F173" i="1"/>
  <c r="E173" i="1"/>
  <c r="F170" i="1"/>
  <c r="E170" i="1"/>
  <c r="F166" i="1"/>
  <c r="E166" i="1"/>
  <c r="F164" i="1"/>
  <c r="F163" i="1"/>
  <c r="E163" i="1"/>
  <c r="F159" i="1"/>
  <c r="E159" i="1"/>
  <c r="F156" i="1"/>
  <c r="E156" i="1"/>
  <c r="F155" i="1"/>
  <c r="E155" i="1"/>
  <c r="F154" i="1"/>
  <c r="E154" i="1"/>
  <c r="F153" i="1"/>
  <c r="E153" i="1"/>
  <c r="F152" i="1"/>
  <c r="E152" i="1"/>
  <c r="F151" i="1"/>
  <c r="E151" i="1"/>
  <c r="F150" i="1"/>
  <c r="E150" i="1"/>
  <c r="F149" i="1"/>
  <c r="E149" i="1"/>
  <c r="F148" i="1"/>
  <c r="E148" i="1"/>
  <c r="F147" i="1"/>
  <c r="E147" i="1"/>
  <c r="F146" i="1"/>
  <c r="E146" i="1"/>
  <c r="F145" i="1"/>
  <c r="E145" i="1"/>
  <c r="F144" i="1"/>
  <c r="E144" i="1"/>
  <c r="F143" i="1"/>
  <c r="E143" i="1"/>
  <c r="F142" i="1"/>
  <c r="E142" i="1"/>
  <c r="F134" i="1"/>
  <c r="E134" i="1"/>
  <c r="F133" i="1"/>
  <c r="E133" i="1"/>
  <c r="F132" i="1"/>
  <c r="E132" i="1"/>
  <c r="F131" i="1"/>
  <c r="E131" i="1"/>
  <c r="F130" i="1"/>
  <c r="E130" i="1"/>
  <c r="F129" i="1"/>
  <c r="E129" i="1"/>
  <c r="F128" i="1"/>
  <c r="E128" i="1"/>
  <c r="F127" i="1"/>
  <c r="E127" i="1"/>
  <c r="F126" i="1"/>
  <c r="E126" i="1"/>
  <c r="F125" i="1"/>
  <c r="E125" i="1"/>
  <c r="F124" i="1"/>
  <c r="E124" i="1"/>
  <c r="F123" i="1"/>
  <c r="E123" i="1"/>
  <c r="F121" i="1"/>
  <c r="E121" i="1"/>
  <c r="F120" i="1"/>
  <c r="E120" i="1"/>
  <c r="F119" i="1"/>
  <c r="E119" i="1"/>
  <c r="F118" i="1"/>
  <c r="E118" i="1"/>
  <c r="F117" i="1"/>
  <c r="E117" i="1"/>
  <c r="F116" i="1"/>
  <c r="E116" i="1"/>
  <c r="F115" i="1"/>
  <c r="E115" i="1"/>
  <c r="F114" i="1"/>
  <c r="E114" i="1"/>
  <c r="F108" i="1"/>
  <c r="E108" i="1"/>
  <c r="F107" i="1"/>
  <c r="E107" i="1"/>
  <c r="F106" i="1"/>
  <c r="E106" i="1"/>
  <c r="F105" i="1"/>
  <c r="E105" i="1"/>
  <c r="F104" i="1"/>
  <c r="E104" i="1"/>
  <c r="F103" i="1"/>
  <c r="E103" i="1"/>
  <c r="F102" i="1"/>
  <c r="E102" i="1"/>
  <c r="F101" i="1"/>
  <c r="E101" i="1"/>
  <c r="F100" i="1"/>
  <c r="E100" i="1"/>
  <c r="F99" i="1"/>
  <c r="E99" i="1"/>
  <c r="F98" i="1"/>
  <c r="E98" i="1"/>
  <c r="F97" i="1"/>
  <c r="E97" i="1"/>
  <c r="F96" i="1"/>
  <c r="E96" i="1"/>
  <c r="F95" i="1"/>
  <c r="E95" i="1"/>
  <c r="F94" i="1"/>
  <c r="E94" i="1"/>
  <c r="F93" i="1"/>
  <c r="E93" i="1"/>
  <c r="F92" i="1"/>
  <c r="E92" i="1"/>
  <c r="F91" i="1"/>
  <c r="E91" i="1"/>
  <c r="F90" i="1"/>
  <c r="E90" i="1"/>
  <c r="F89" i="1"/>
  <c r="E89" i="1"/>
  <c r="F88" i="1"/>
  <c r="E88" i="1"/>
  <c r="F87" i="1"/>
  <c r="E87" i="1"/>
  <c r="F86" i="1"/>
  <c r="E86" i="1"/>
  <c r="F85" i="1"/>
  <c r="E85" i="1"/>
  <c r="F84" i="1"/>
  <c r="E84" i="1"/>
  <c r="F83" i="1"/>
  <c r="E83" i="1"/>
  <c r="F82" i="1"/>
  <c r="E82" i="1"/>
  <c r="F81" i="1"/>
  <c r="E81" i="1"/>
  <c r="F80" i="1"/>
  <c r="E80" i="1"/>
  <c r="F79" i="1"/>
  <c r="E79" i="1"/>
  <c r="F78" i="1"/>
  <c r="E78" i="1"/>
  <c r="F77" i="1"/>
  <c r="E77" i="1"/>
  <c r="F76" i="1"/>
  <c r="E76" i="1"/>
  <c r="F75" i="1"/>
  <c r="E75" i="1"/>
  <c r="F74" i="1"/>
  <c r="E74" i="1"/>
  <c r="F73" i="1"/>
  <c r="E73" i="1"/>
  <c r="F72" i="1"/>
  <c r="E72" i="1"/>
  <c r="F71" i="1"/>
  <c r="E71" i="1"/>
  <c r="F70" i="1"/>
  <c r="E70" i="1"/>
  <c r="F69" i="1"/>
  <c r="E69" i="1"/>
  <c r="F68" i="1"/>
  <c r="E68" i="1"/>
  <c r="F67" i="1"/>
  <c r="E67" i="1"/>
  <c r="F66" i="1"/>
  <c r="E66" i="1"/>
  <c r="F65" i="1"/>
  <c r="E65" i="1"/>
  <c r="F64" i="1"/>
  <c r="E64" i="1"/>
  <c r="F59" i="1"/>
  <c r="E59" i="1"/>
  <c r="F58" i="1"/>
  <c r="E58" i="1"/>
  <c r="F57" i="1"/>
  <c r="E57" i="1"/>
  <c r="F56" i="1"/>
  <c r="E56" i="1"/>
  <c r="F54" i="1"/>
  <c r="E54" i="1"/>
  <c r="F53" i="1"/>
  <c r="E53" i="1"/>
  <c r="F52" i="1"/>
  <c r="E52" i="1"/>
  <c r="F51" i="1"/>
  <c r="E51" i="1"/>
  <c r="F50" i="1"/>
  <c r="E50" i="1"/>
  <c r="F49" i="1"/>
  <c r="E49" i="1"/>
  <c r="F48" i="1"/>
  <c r="E48" i="1"/>
  <c r="F47" i="1"/>
  <c r="E47" i="1"/>
  <c r="F46" i="1"/>
  <c r="E46" i="1"/>
  <c r="F45" i="1"/>
  <c r="E45" i="1"/>
  <c r="F44" i="1"/>
  <c r="E44" i="1"/>
  <c r="F43" i="1"/>
  <c r="E43" i="1"/>
  <c r="F42" i="1"/>
  <c r="E42" i="1"/>
  <c r="F40" i="1"/>
  <c r="E40" i="1"/>
  <c r="F39" i="1"/>
  <c r="E39" i="1"/>
  <c r="F38" i="1"/>
  <c r="E38" i="1"/>
  <c r="F37" i="1"/>
  <c r="E37" i="1"/>
  <c r="F36" i="1"/>
  <c r="E36" i="1"/>
  <c r="F35" i="1"/>
  <c r="E35" i="1"/>
  <c r="F34" i="1"/>
  <c r="E34" i="1"/>
  <c r="F33" i="1"/>
  <c r="E33" i="1"/>
  <c r="F32" i="1"/>
  <c r="E32" i="1"/>
  <c r="F31" i="1"/>
  <c r="E31" i="1"/>
  <c r="F30" i="1"/>
  <c r="E30" i="1"/>
  <c r="F26" i="1"/>
  <c r="E26" i="1"/>
  <c r="F25" i="1"/>
  <c r="E25" i="1"/>
  <c r="F24" i="1"/>
  <c r="E24" i="1"/>
  <c r="F23" i="1"/>
  <c r="E23" i="1"/>
  <c r="F22" i="1"/>
  <c r="E22" i="1"/>
  <c r="F21" i="1"/>
  <c r="E21" i="1"/>
  <c r="F20" i="1"/>
  <c r="E20" i="1"/>
  <c r="F19" i="1"/>
  <c r="E19" i="1"/>
  <c r="F18" i="1"/>
  <c r="E18" i="1"/>
  <c r="F17" i="1"/>
  <c r="E17" i="1"/>
  <c r="F16" i="1"/>
  <c r="E16" i="1"/>
  <c r="F15" i="1"/>
  <c r="E15" i="1"/>
  <c r="F14" i="1"/>
  <c r="E14" i="1"/>
  <c r="F13" i="1"/>
  <c r="E13" i="1"/>
  <c r="F12" i="1"/>
  <c r="E12" i="1"/>
  <c r="F11" i="1"/>
  <c r="E11" i="1"/>
  <c r="F10" i="1"/>
  <c r="E10" i="1"/>
  <c r="F9" i="1"/>
  <c r="E9" i="1"/>
  <c r="F8" i="1"/>
  <c r="E8" i="1"/>
  <c r="F7" i="1"/>
  <c r="E7" i="1"/>
  <c r="F6" i="1"/>
  <c r="E6" i="1"/>
</calcChain>
</file>

<file path=xl/sharedStrings.xml><?xml version="1.0" encoding="utf-8"?>
<sst xmlns="http://schemas.openxmlformats.org/spreadsheetml/2006/main" count="5485" uniqueCount="1881">
  <si>
    <r>
      <rPr>
        <sz val="12"/>
        <color theme="1"/>
        <rFont val="Times New Roman"/>
      </rPr>
      <t>HỘI SINH VIÊN VIỆT NAM TP. HỒ CHÍ MINH</t>
    </r>
    <r>
      <rPr>
        <b/>
        <sz val="12"/>
        <color theme="1"/>
        <rFont val="Times New Roman"/>
      </rPr>
      <t xml:space="preserve">
BCH TRƯỜNG ĐẠI HỌC SÀI GÒN
____</t>
    </r>
  </si>
  <si>
    <t>TỔNG HỢP VÀ PHÂN LOẠI HỒ SƠ TRÌNH HỘI ĐỒNG XÉT DUYỆT DANH HIỆU "SINH VIÊN 5 TỐT" CẤP TRƯỜNG</t>
  </si>
  <si>
    <t>STT</t>
  </si>
  <si>
    <t>HỌ VÀ TÊN</t>
  </si>
  <si>
    <t>MSSV</t>
  </si>
  <si>
    <t>KHOA</t>
  </si>
  <si>
    <t>ĐIỂM RÈN LUYỆN</t>
  </si>
  <si>
    <t>ĐIỂM HỌC TẬP</t>
  </si>
  <si>
    <t>SĐT</t>
  </si>
  <si>
    <t>ĐẠT TIÊU CHUẨN</t>
  </si>
  <si>
    <t>TIÊU BIỂU</t>
  </si>
  <si>
    <t>PHÂN LOẠI</t>
  </si>
  <si>
    <t>LINK HỒ SƠ</t>
  </si>
  <si>
    <t>GHI CHÚ</t>
  </si>
  <si>
    <t>ĐẠO ĐỨC</t>
  </si>
  <si>
    <t>HỌC TẬP</t>
  </si>
  <si>
    <t>THỂ LỰC</t>
  </si>
  <si>
    <t>TÌNH NGUYỆN</t>
  </si>
  <si>
    <t>HỘI NHẬP</t>
  </si>
  <si>
    <t>BẢNG KHAI</t>
  </si>
  <si>
    <t>MINH CHỨNG</t>
  </si>
  <si>
    <t>Hồ Anh Thư</t>
  </si>
  <si>
    <t>GIÁO DỤC CHÍNH TRỊ</t>
  </si>
  <si>
    <t>- Điển hình Thanh niên tiên tiến làm theo lời Bác khoa Giáo dục Chính trị năm học 2024 – 2025.
- Thanh niên tiên tiến trường Đại học Sài Gòn làm theo lời Bác năm học 2024 – 2025.
- Bài kỷ yếu trong Tọa đàm Bảo vệ nền tảng tư tưởng của Đảng trong đoàn viên, thanh niên thành phố Hồ Chí Minh chủ đề “Chúng tôi sẵn sàng”.</t>
  </si>
  <si>
    <t>- KLTN: Sử dụng sơ đồ tư duy trong dạy học môn Giáo dục kinh tế và pháp luật 10; xếp loại: Tốt.</t>
  </si>
  <si>
    <t>- Đạt danh hiệu “Thanh niên khỏe” trường Đại học Sài Gòn năm 2024.</t>
  </si>
  <si>
    <t>- Đề xuất bằng khen HSV TP về việc có thành tích xuất sắc trong CDTN MHX 2025
- Chiến dịch Xuân tình nguyện năm 2025 trường Đại học Sài Gòn.
- Chiến dịch Mùa hè xanh 2025 trường Đại học Sài Gòn.</t>
  </si>
  <si>
    <t>- Giấy chứng nhận xuất sắc hoàn thành nhiệm vụ tại khu vực “ASEAN Explorer – Sinh viên Đại học Sài Gòn tự tin hội nhập”.
- Chứng chỉ Aptis B1 do Hội đồng Anh cấp ngày 11/6/2025.
- Số 304-QĐKT/TĐTN-VP Bằng khen của Thành Đoàn Thành phố Hồ Chí Minh về việc Hoàn thành xuất sắc công tác Đoàn và phong trào thanh niên khu vực trường học thuộc Thành Đoàn năm học 2024 – 2025.</t>
  </si>
  <si>
    <t>ĐẠT</t>
  </si>
  <si>
    <t>HỒ ANH THƯ - 3121200023 - GIÁO DỤC CHÍNH TRỊ - BẢNG KHAI THÀNH TÍCH CÁ NHÂN - 2024-2025.pdf</t>
  </si>
  <si>
    <t>HỒ ANH THƯ - 3121200023 - GIÁO DỤC CHÍNH TRỊ  - BẢNG MINH CHỨNG THÀNH TÍCH CÁ NHÂN - 2025.pdf</t>
  </si>
  <si>
    <t>19 SV5T KHOA
8 SV5TTB KHOA</t>
  </si>
  <si>
    <t>Trần Anh Thư</t>
  </si>
  <si>
    <t>Đạt giấy khen tham gia và có thành tích tốt Phần thi bài luận Hội thi Olympic các môn khoa học
Mác - Lênin và tư tưởng Hồ Chí Minh trường Đại học Sài Gòn năm 2025.
- Đạt danh hiệu Sao tháng thanh niên SGU “Nghĩ đúng sống đẹp” năm 2025.
- Đạt danh hiệu “Thanh niên tiên tiến làm theo lời Bác khoa Giáo dục Chính trị năm học 2024-
2025”</t>
  </si>
  <si>
    <t>- Chủ nhiệm đề tài: Vấn đề Nhà nước trong tác phẩm “Nhà nước và cách mạng” của V.I.Lênin và
sự vận dụng vào việc xây dựng Nhà nước pháp quyền xã hội chủ nghĩa ở Việt Nam hiện nay năm
2024 đạt loại xuất sắc.</t>
  </si>
  <si>
    <t>- Tham gia Chương trình “Tiếp sức mùa thi” năm 2025 (04 ngày)
- Minh chứng 05 ngày tình nguyện:
+ 1 ngày : Hưởng ứng chủ nhật xanh
+ 1 ngày: Tình nguyện viên chương trình “CHO EM ĐẾN TRƯỜNG 2” tại xã Cô Tô, An Giang</t>
  </si>
  <si>
    <t>- Đạt Chứng chỉ Aptis B2
- Tham gia Nghiệp vụ Sư phạm khoa Giáo dục Chính trị
- Đạt giấy chứng nhận tham gia Lớp tập huấn Kỹ năng xác định mục tiêu học tập
- Đạt giấy chứng nhận Workshop AI thực chiến: Làm chủ công nghệ, bức phá thành công
- Đạt giấy chứng nhận hoàn thành Chương trình “Phổ Cập AI”
- Đạt giấy chứng nhận đã hoàn thành khóa học “Thanh niên tình nguyện hỗ trợ chính quyền địa phương hai cấp”
- Tham gia cuộc thi “Sắc màu Đông Nam Á”
- Đạt giấy chứng nhận Ngày hội sinh viên với ngoại ngữ năm 2025 chủ đề “GenZith HORIZON”.</t>
  </si>
  <si>
    <t>TRẦN ANH THƯ - 3122200012 - GIÁO DỤC CHÍNH TRỊ - BẢNG KHAI THÀNH TÍCH CÁ NHÂN.docx</t>
  </si>
  <si>
    <t>TRẦN ANH THƯ - 3122200012 - GIÁO DỤC CHÍNH TRỊ - MINH CHỨNG THÀNH TÍCH CÁ NHÂN.pdf</t>
  </si>
  <si>
    <t>Võ Cẩm Giang</t>
  </si>
  <si>
    <t xml:space="preserve">- Đạt danh hiệu điển hình Thanh niên tiên tiến làm theo lời Bác Khoa Giáo dục Chính trị năm học 2024 – 2025.
- Quyết định số 06 QĐCN/ĐTN-VP ngày 17/04/2025 của Ban Thường Vụ Đoàn Trường – Ban Thư Ký Hội sinh viên trường Đại học Sài Gòn danh hiệu “Sao tháng thanh niên SGU” năm học 2024 – 2025.
- Tháng 5/2025: Giải Khuyến khích Hội thi “Học tập và làm theo tư tưởng, đạo đức, phong cách Hồ Chí Minh” – Chủ đề: “Người là niềm tin tất thắng”.
- Giấy khen của Đảng ủy Phường 2 “đã tích cực tham gia đợt hoạt động kỷ niệm 135 năm ngày sinh Chủ tịch Hồ Chí Minh (19/05/1890 – 19/05/2025)”.
</t>
  </si>
  <si>
    <t>- Tháng 5/2025: Giấy chứng nhận hoàn thành đề tài NCKH cấp Trường: “Nâng cao ý thức đạo đức của sinh viên Trường Đại học Sài Gòn trong giao tiếp mạng xã hội hiện nay” – Xếp loại Tốt</t>
  </si>
  <si>
    <t xml:space="preserve">Tháng 10/2024: Tham gia Workshop “Tôi chọn sống xanh” (1 lượt)
Tháng 11/2024: Tham gia hiến máu tình nguyện (1 lượt)
Tháng 05/2025: Tham gia hiến máu tình nguyện (1 lượt)
Tháng 7/2025: Tham gia hoạt động “Vì đàn em thân yêu” lần thứ 15 (1 lượt)
Tháng 9/2025: Tham gia hoạt động “Trung thu cho em” tại địa bàn Phường Phú Nhuận (1 lượt)
Tháng 10/2025: Tham gia gây quỹ “Trung thu yêu thương – Sum vầy” (1 lượt)
</t>
  </si>
  <si>
    <t>Aptis Esol B2
Tháng 5/2025: Giấy chứng nhận hoàn thành phổ cập AI
Tháng 11/2024: Tham gia nghiệp vụ sư phạm cấp trường 2023 – 2024.
Tháng 11/2024: Tham gia hội thi Nghiệp vụ Sư phạm khoa Giáo dục Chính trị năm 2024.
-  Tháng 5/2025: Tham gia trực tuyến cuộc thi “Sắc màu Đông Nam Á- Chặng 2: Bản lĩnh ASEAN”</t>
  </si>
  <si>
    <t>VÕ CẨM GIANG - 3122200003- KHOA GIÁO DỤC CHÍNH TRỊ - BẢNG KHAI THÀNH TÍCH CÁ NHÂN - 2024-2025.docx</t>
  </si>
  <si>
    <t>VÕ CẨM GIANG - 3122200003- KHOA GIÁO DỤC CHÍNH TRỊ - MINH CHỨNG THÀNH TÍCH CÁ NHÂN - 2025 (1).docx</t>
  </si>
  <si>
    <t>Võ Thanh Quyền</t>
  </si>
  <si>
    <t xml:space="preserve">Đạt danh hiệu Sao tháng thanh niên SGU “Nghĩ đúng sống đẹp” năm 2025.
Đạt danh hiệu “Thanh niên tiên tiến làm theo lời Bác khoa Giáo dục Chính trị năm học 2024 – 2025”
</t>
  </si>
  <si>
    <t>- Đạt giải nhì “Hội thi tìm hiểu pháp luật trực tuyến năm 2025” do UBND Phường 2, Quận 5 tổ chức.</t>
  </si>
  <si>
    <t>- Đạt giấy chứng nhận đã tham gia Giải Việt dã Học sinh, Sinh viên TP. Hồ Chí Minh mở rộng năm 2025 Cúp “Chị Ngã Em Nâng”</t>
  </si>
  <si>
    <t xml:space="preserve">- Tham gia chương trình “Tiếp sức mùa thi” năm 2025
+ Tham gia Ngày tình nguyện “Tôi chọn sống xanh” : 1 lượt
+ Tham gia hoạt động “Trồng cây gieo yêu thương” : 1 lượt
+ Tình nguyện viên đã tham gia Lễ đón, Lễ tiễn Tổng Bí thư, Chủ tịch Bước Cộng hòa Dân chủ Nhân dân Lào thăm Thành phố Hồ Chí Minh: 2 lượt
+ Tham gia lễ ra quân Tuổi trẻ Thành phố Bác xung kích xây dựng văn minh, mỹ quan đô thị: 1 lượt
</t>
  </si>
  <si>
    <t xml:space="preserve">- Chứng chỉ Aptis B1
- Giấy chứng nhận đã hoàn thành khóa học “ Thanh niên tình nguyện hỗ trợ chính quyền địa phương hai cấp”
- Giấy chứng nhận đã hoàn thành Khóa học Ứng dụng AI cho Thanh niên Việt Nam
- Giấy chứng nhận đã tham gia chương trình Trang bị Kỹ năng nghề nghiệp 
- Giấy khen “Đã có đóng góp tích cực trong công tác Đoàn và phong trào thanh niên Trường Đại học Sài Gòn năm học 2024 – 2025”
- Tham gia hành trình 5 tốt “Hội nhập cùng ASEAN” 
- Tháng 5/2025: Tham gia cuộc thi “Sắc màu Đông Nam Á”
</t>
  </si>
  <si>
    <t>VÕ THANH QUYẾN - 3122200009 - GIÁO DỤC CHÍNH TRỊ - BẢNG KHAI THÀNH TÍCH CÁ NHÂN.docx</t>
  </si>
  <si>
    <t>VÕ THANH QUYẾN - 3122200009 - GIÁO DỤC CHÍNH TRỊ - BẢNG KHAI MINH CHỨNG (2).docx</t>
  </si>
  <si>
    <t>Lê Thị Thùy Linh</t>
  </si>
  <si>
    <t>Đạt danh hiệu Thanh niên tiên tiến Trường Đại học Sài Gòn làm theo lời Bác năm học 2024 - 2025 theo Giấy chứng nhận số 43-GCN/ĐU ngày 12/5/2025 của Đảng ủy trường.
Có thành tích tốt trong Phần thi bài luận Hội thi Olympic các môn khoa học Mác - Lênin và tư tưởng Hồ Chí Minh Trường Đại học Sài Gòn năm 2025 theo Giấy khen số 11-QĐKT/ĐTN-VP.
Đánh giá chất lượng đoàn viên cuối năm đạt Hoàn thành xuất sắc nhiệm vụ.</t>
  </si>
  <si>
    <t>Hoàn thành khóa luận tốt nghiệp đạt loại 9.7 điểm với tên đề tài Nâng cao hiệu quả học tập phong cách tư duy Hồ ChíMinh trong sinh viên trường Đại học Sài Gòn hiện nay.</t>
  </si>
  <si>
    <t>Đạt danh hiệu Thanh niên khỏe trường Đại học Sài Gòn năm 2024 theo Giấy chứng nhận số 02 - QĐGCN/HSV ngày 05/10/2024.</t>
  </si>
  <si>
    <t>Đạt thành tích xuất sắc trong Chiến dịch Xuân Tình nguyện trường Đại học Sài Gòn lần thứ 17 năm 2025 theo Giấy khen số 02/QĐ-BTK ngày 25/01/2025.
Tham gia và hoàn thành Chiến dịch Xuân tình nguyện Trường Đại học Sài Gòn lần thứ 17 năm 2025 theo Giấy chứng nhận số 02-QĐGCN/HSV.
Tham gia chương trình Hoạt động trồng cây - gieo yêu thương tương ứng 01 ngày tình nguyện.
Tham gia hoạt động Xuân tình nguyện Cụm hoạt động số 01 tương ứng 01 ngày tình nguyện.
Tham gia Ngày Chủ nhật Xanh lần thứ 156 năm 2025 tương ứng 01 ngày tình nguyện.
Tham gia hoạt động tình nguyện Theo dấu chân hạnh phúc năm học 2024 - 2025 tương ứng 01 ngày tình nguyện.
Tham gia chương trình Ngày tình nguyện Tôi chọn Sống Xanh năm học 2024 - 2025 tương ứng 01 ngày tình nguyện.</t>
  </si>
  <si>
    <t>Đạt chứng chỉ tiếng Anh trình độ B1 theo khung tham chiếu châu Âu.
Tham gia Chương trình giao lưu và tặng quà cho sinh viên Lào tại Ký túc xá Sinh viên Lào Thành phố Hồ Chí Minh ngày 01/02/2025 theo Giấy chứng nhận số 03 - QĐGCN/HSV.
Xuất sắc hoàn thành nhiệm vụ tại khu vực ASEAN Explorer - Sinh viên Đại học Sài Gòn tự tin hội nhập năm 2024 theo Giấy chứng nhận số 01 - QĐGCN/HSV ngày 05/10/2024.
Tham gia Buổi chuyên đề Ứng dụng kỹ năng số cho sinh viên trường Đại học Sài Gòn năm 2024 theo Giấy chứng nhận số 03 - QĐGCN/HSV ngày 29/11/2024.
Tham gia Tập huấn chuyên đề An toàn giao thông và kỹ năng phòng tránh va chạm trong các hoạt động tình nguyện ngày 04/01/2025 theo Giấy chứng nhận số 01 - QĐGCN/HSV.
Có chứng chỉ tin học quốc tế MOS.</t>
  </si>
  <si>
    <t>Đề xuất tiêu biểu</t>
  </si>
  <si>
    <t xml:space="preserve">1. Lê Thị Thuỳ Linh </t>
  </si>
  <si>
    <t>Nguyễn Thị Phương Khiêm</t>
  </si>
  <si>
    <t>Đánh giá chất lượng Đoàn viên cuối năm đạt Hoàn thành xuất sắc nhiệm vụ.
Đạt danh hiệu "Thanh niên tiên tiến Trường Đại học Sài Gòn làm theo lời Bác" năm học 2024 - 2025 theo Giấy chứng nhận số 47-GCN/ĐU ngày 12/05/2025.</t>
  </si>
  <si>
    <t>Đạt danh hiệu Sinh viên 5 tốt cấp trường năm học 2024 - 2025.
Đề tài nghiên cứu khoa học sinh viên được hội đồng khoa học cấp Trường nghiệm thu đánh giá loại tốt với tên đề tài:Văn hoá ứng xử của sinh viên Trường Đại học Sài Gòn - Thực</t>
  </si>
  <si>
    <t>Đạt danh hiệu "Thanh niên khỏe" trường Đại học Sài Gòn năm 2024 theo Giấy chứng nhận số 02-QĐGCN/HSV ngày 05/10/2024.
Đạt giải Ba môn Cầu lông nữ tại Hội thao năm 2025 chào mừng Đại hội đại biểu Hội Sinh viên Việt Nam trường Đại học Sài Gòn lần thứ IX theo Giấy khen số 42/QĐ-BTK ngày 13/07/2025.</t>
  </si>
  <si>
    <t>Nhận Bằng khen của Ban Chấp hành Hội Sinh viên Thành phố Hồ Chí Minh vì đã có thành tích xuất sắc trong Chương trình "Tiếp sức mùa thi" năm 2025.
Tham gia và hoàn thành Chiến dịch Mùa hè xanh 2024 và Chương trình Tiếp sức mùa thi 2025.
Thực hiện hiến máu tình nguyện 03 lần vào các tháng 11/2024, 03/2025 và 07/2025.
Tham gia 09 ngày tình nguyện trong chương trình Tiếp sức mùa thi 2025.
Tham gia các hoạt động tình nguyện: "Theo dấu chân hạnh phúc", "Tôi chọn sống xanh", "Hoạt động trồng cây - gieo yêu thương", "Xuân Tình nguyện Cụm hoạt động số 1" và Ngày Chủ nhật Xanh lần thứ 156.</t>
  </si>
  <si>
    <t>Đạt chứng chỉ ngoại ngữ Aptis trình độ B2 theo khung tham chiếu châu Âu.
Tham gia Ngày hội sinh viên với ngoại ngữ năm 2025 chủ đề "GenZith HORIZON".
Tham gia Chương trình giao lưu và tặng quà cho sinh viên Lào tại Ký túc xá Sinh viên Lào Thành phố Hồ Chí Minh ngày 01/02/2025.
Xuất sắc hoàn thành nhiệm vụ tại khu vực "ASEAN Explorer - Sinh viên Đại học Sài Gòn tự tin hội nhập" năm 2024.
Nhận Giấy khen của Ban Chấp hành Đoàn trường vì có đóng góp tích cực trong công tác Đoàn và phong trào thanh niên năm học 2023 - 2024.
Hoàn thành các khóa tập huấn kỹ năng: Xác định mục tiêu học tập, Workshop AI thực chiến, Ứng dụng kỹ năng số và tập huấn An toàn giao thông.
Có chứng chỉ ứng dụng Công nghệ thông tin cơ bản và ứng dụng Công nghệ thông tin trong dạy học.</t>
  </si>
  <si>
    <t>2. NGUYỄN THỊ PHƯƠNG KHIÊM</t>
  </si>
  <si>
    <t>Bùi Cao Ái Trân</t>
  </si>
  <si>
    <t>LUẬT</t>
  </si>
  <si>
    <t>Không đạt phần NCKH</t>
  </si>
  <si>
    <t>KHÔNG ĐẠT</t>
  </si>
  <si>
    <t>BÙI CAO ÁI TRÂN - 3123430196– KHOA LUẬT – BẢNG KHAI THÀNH TÍCH(1) (2).docx</t>
  </si>
  <si>
    <t>BÙI CAO ÁI TRÂN – MSSV 3123430196– KHOA LUẬT – MINH CHỨNG THÀNH TÍCH(2) (1)-trang.docx</t>
  </si>
  <si>
    <t>31 SV5T KHOA
7 SV5TTB KHOA</t>
  </si>
  <si>
    <t>Bùi Thanh Xuân</t>
  </si>
  <si>
    <t>- Là thành viên tham gia và đạt Giải ba Hội thi vẽ, thiết kế sản phẩm tuyên truyền chào mừng kỷ niệm 50 năm ngày giải phóng miền Nam,thống nhất đất nước 30/4/1975-30/4/2025 chủ đề “Trường Thọ trong tôi- Rạng ngời trang sử Việt” ( quyết định 119/QĐ-UBND ngày 20 tháng 3 năm 2025)</t>
  </si>
  <si>
    <t>-Đã tham gia viết bài tại DIỄN ĐÀN KHOA HỌC TRẺ “LUẬT HỌC MÙA XUÂN”- VNU-UL SPRING LAW FORUM Hội thảo chuyên để số 1 chủ đề "Xây dựng tổ chức bộ máy nhà nước tinh gọn, hoạt động hiệu lực, hiệu quả ở Việt Nam trong bối cảnh phát triển mới và những vẫn đề pháp lý đặt ra do Trường Đại học Luật, ĐHQGHN tổ chức từ ngày 11/04 đến ngày 12/04/2025 tại Hà Nội và được đưa vào kỷ yếu hội thảo.</t>
  </si>
  <si>
    <t>Đạt danh hiệu “ Thanh Niên Khỏe” 2025: GO! (KHXH&amp;NV)</t>
  </si>
  <si>
    <t>- Đã có thành tích xuất sắc trong chiến dịch ra quân Chủ nhật xanh lần thứ 158 – 2025
-Tham gia quyên góp chương trình tình nguyện ngắn ngày “Dâng hương, dâng hoa Khu truyền thống cách mạng cuộc Tổng tiến công và nổi dậy xuân Mậu Thân 1968”.
Đạt danh hiệu “ĐẠI SỨ ÁO XANH TÌNH NGUYỆN 2024” nhận ngày 24 tháng 12 năm 2024 từ BCH đoàn phường.</t>
  </si>
  <si>
    <t>Bằng APTIS ESOL GENERAL loại B1 của Hội Đồng Anh Việt Nam cấp ngày 28.08.2025
-Tham gia Tọa đàm “ Hành trang hành nghề Luật sư – Những kỹ năng không thể thiếu” ngày 27 tháng 3 năm 2025
-Tham gia vòng sơ loại Cuộc Thi Law Changllange” năm 2025 ngày 8 tháng 3 năm 2025 
- Tham gia “ Cuộc thi Hòa giải thương mại Việt Nam 2025”- VIETNAM MEDIATION MOOT – VMED 2025
-Tập thể Chi đoàn Thanh niên khu phố 22: Đã có thành tích xuất sắc trong công tác đoàn và phong trào thanh thiếu nhi năm 2024 (quyết định số 103-QĐKT/ĐTN ngày 23 tháng 1 năm 2025 BTV đoàn phường)
- Đạt thành tích xuất sắc trong hoạt động Hè phường Thủ Đức 2025
- Tham gia Chuyên đề “TUYÊN TRUYỀN PHÒNG, NGỪA TỘI PHẠM LỪA ĐẢO QUA MẠNG XÃ HỘI TRONG BỐI CẢNH CHUYỂN ĐỔI SỐ”</t>
  </si>
  <si>
    <t>BÙI THANH XUÂN -3123430222-Khoa Luật- BẢNG KHAI THÀNH TÍCH (1).docx</t>
  </si>
  <si>
    <t>BÙI THANH XUÂN - 3123430222 - Khoa Luật -MINH CHỨNG THÀNH TÍCH (1).docx</t>
  </si>
  <si>
    <t>Đỗ Lê Kim Yến</t>
  </si>
  <si>
    <t>Không đạt phần "tiêu chuẩn khác"</t>
  </si>
  <si>
    <t xml:space="preserve">ĐỖ LÊ KIM YẾN - 3123430228 - KHOA LUẬT - BẢNG KHAI THÀNH TÍCH </t>
  </si>
  <si>
    <t>ĐỖ LÊ KIM YẾN - 3123430228 - KHOA LUẬT - MINH CHỨNG THÀNH TÍCH</t>
  </si>
  <si>
    <t>Mai Nguyễn Trà My</t>
  </si>
  <si>
    <t xml:space="preserve"> Thành viên đội Luật 2 tham gia Hội thi olympic các môn khoa học Mác - Lênin và Tư tưởng Hồ Chí Minh
Đoàn viên Hoàn thành xuất sắc nhiệm vụ
Điển hình Thanh niên tiên tiến khoa Luật  làm theo lời Bác năm học 2024 – 2025 
Thanh niên tiên tiến trường Đại học Sài Gòn làm theo lời Bác năm học 2024 – 2025
Giấy chứng nhận danh hiệu “Sao Tháng Thanh niên SGU Nghĩ đúng – Sống đẹp” năm 2025.</t>
  </si>
  <si>
    <t xml:space="preserve"> Thành viên CLB Hạt giống khoa Luật</t>
  </si>
  <si>
    <t xml:space="preserve">Tham gia Giải Việt dã Học sinh, Sinh viên TP. Hồ Chí Minh mở rộng 
năm 2025 Cúp “Chị Ngã Em Nâng”
</t>
  </si>
  <si>
    <t>Chiến sĩ đội hình Xuân Chiến sĩ chiến dịch Xuân Tình Nguyện năm 2025
Chiến sĩ đội hình Pháp luật chiến dịch Mùa Hè Xanh năm 2025.
Tham gia đội hình văn nghệ Chào mừng kỷ niệm 50 năm ngày Giải phóng miền Nam, thống nhất Đất nước.</t>
  </si>
  <si>
    <t xml:space="preserve">Chứng chỉ APTIS ESOL – Cefr Level B2 cấp bởi British Council vào tháng 02/2025.
 Giấy khen “Đã có thành tích xuất sắc trong Công tác Hội và Phong trào sinh viên trường Đại học Sài Gòn năm học 2024 – 2025”
  Giấy khen danh hiệu “Cán bộ Đoàn tiêu biểu” năm học 2024 – 2025
Tham gia  Hội thi “Tiến lên cùng Chi hội” lần thứ II năm học 2024 – 2025   
Chương trình “Âm vang khoa Luật” năm 2024
 Tham gia Sân chơi Hội nhập “Ring The Golden Bell” năm 2025
</t>
  </si>
  <si>
    <t>MAI NGUYỄN TRÀ MY - 3122430104 - KHOA LUẬT - BẢNG KHAI THÀNH TÍCH.docx</t>
  </si>
  <si>
    <t>MAI NGUYỄN TRÀ MY - 3122430104 - KHOA LUẬT - MINH CHỨNG THÀNH TÍCH.docx</t>
  </si>
  <si>
    <t>Nguyễn Đắc Triết</t>
  </si>
  <si>
    <t xml:space="preserve">Bằng khen số: 65/QĐ-UBH ngày 29 tháng 11 năm 2024 của Ủy ban Hội Liên hiệp Thanh niên Việt Nam Thành phố Hồ Chí Minh khen tặng vì đã có thành tích xuất sắc trong hoạt động tình nguyện, công tác xã hội trên địa bàn Thành phố năm 2024;
Được khen thưởng theo Quyết định số 35-QD/ĐU ngày 01/10/2025 của Đảng ủy trường Đại học Sài Gòn về khen thưởng các tập thể, cá nhân thực hiện tốt công tác Dân vận năm 2025;
Đạt giải Nhất Hội thi trực tuyến “Sài Gòn – Thành phố tôi yêu” do Chi bộ Sinh viên 1 trường Đại học Sài Gòn tổ chức;
Đạt Danh hiệu “Đảng viên trẻ Tiêu biểu năm 2024” Chi bộ Sinh viên 1.
</t>
  </si>
  <si>
    <t xml:space="preserve">- Là Tác giả của đề tài: Hoãn chấp hành hình phạt tù theo quy định của pháp luật Hình sự Việt Nam (NCKH);
Đạt giải Nhì Cuộc thi “Thinklaw – Tư duy pháp lý Nghề luật” – Lần 1/2025. Do trường Đại học Nguyễn Tất Thành tổ chức.
</t>
  </si>
  <si>
    <t xml:space="preserve">Đạt Danh hiệu “Thanh niên khỏe” trường Đại học Sài Gòn năm học 2024 – 2025. (18/8/2025);
Đạt Danh hiệu “Thanh niên khỏe” trường Đại học Sài Gòn năm 2024. (05/10/2024);
Đạt giải Ba môn Cầu lông (Đơn nam) trong hoạt động Hội thao các Chi bộ Sinh
viên.
</t>
  </si>
  <si>
    <t xml:space="preserve">Giấy khen Số: 02/QĐ-BTK ngày 25 tháng 01 năm 2025 của BCH HSV trường Đại học Sài Gòn về việc Đã có thành tích xuất sắc trong Chiến dịch Xuân Tình nguyện trường Đại học Sài Gòn lần thứ 17 năm 2025;
Tham gia và được nhận giấy chứng nhận và giấy khen của Hội Sinh viên trường trong dịp Xuân tình nguyện năm 2025;
Tham gia và được nhận giấy chứng nhận trong dịp Mùa hè xanh năm 2024;
Tham gia và được giấy chứng nhận của trung tâm hỗ trợ học sinh, sinh viên trong dịp tiếp sức mùa thi năm 2025;
Tham gia và được giấy chứng nhận của Ban thư ký Hội Sinh viên trường trong “Chương trình giao lưu và tặng quà cho sinh viên Ký túc xá sinh viên Lào”;
Tham gia và được nhận giấy chứng nhận của Ban thư ký Hội Sinh viên trường trong chương trình đồng diễn “Hòa bình đẹp lắm” nhân dịp 30/4/2025;
Được nhận giấy chứng nhận của Hội Liên hiệp thanh niên TP. HCM vì có thành tích xuất sắc trong công tác tình nguyện;
Tham gia và đạt giấy chứng nhận của BCH Hội sinh viên Thành phố trong chương trình Hòa ca “Đất nước trọn niềm vui”.
</t>
  </si>
  <si>
    <t>Đạt B1 Aptis;
Tham gia và đạt giấy chứng nhận của của Ban thư ký Hội Sinh viên trường trong chuyên đề “An toàn giao thông”;
Hoàn thành lớp học và được cấp chứng chỉ sử dụng Công nghệ thông tin cơ bản do trường Đại học Sài Gòn tổ chức;
Tham gia và đạt giấy chứng nhận của của Ban thư ký Hội Sinh viên trường trong chuyên đề “Ứng dụng kỹ năng số”;
Bằng khen số: 33/QĐ-TĐKT ngày 10 tháng 10 năm 2025 của Ban chấp hành Hội Sinh viên Việt Nam Thành phố Hồ Chí Minh khen tặng vì đã có thành tích xuất sắc trong công tác Hội và phong trào sinh viên Thành phố năm học 2024 – 2025;
Tham gia và đạt giấy chứng nhận của Ban thư ký Hội Sinh viên trường trong khu vực ASEAN – tự tin Hội nhập trong khuôn khổ ngày hội TSV năm 2024 (05/10/2024).</t>
  </si>
  <si>
    <t>NGUYỄN ĐẮC TRIẾT - 3122430202 - LUẬT - BẢNG KHAI THÀNH TÍCH</t>
  </si>
  <si>
    <t>NGUYỄN ĐẮC TRIẾT - 3122430202 - LUẬT - MINH CHỨNG THÀNH TÍCH.docx</t>
  </si>
  <si>
    <t>Nguyễn Hữu Thiện Nhiên</t>
  </si>
  <si>
    <t xml:space="preserve">Là thanh niên tiên tiến làm theo lời Bác cấp khoa (được tuyên dương vào ngày 15/5/2025)
Quyết định số 06-QĐCN/ĐTN-VP của Ban Thường vụ Đoàn trường và Ban Thư Ký Hội sinh viên trường ngày 17/04/2025 về việc trao giấy chứng nhận Đạt danh hiệu Sao Tháng thanh niên SGU – nghĩ đúng sống đẹp 2025.
</t>
  </si>
  <si>
    <t xml:space="preserve">Là chủ nhiệm đề tài “Pháp luật về quyền tự do ngôn luận trên không gian mạng” năm 2024 – 2025;
Đạt giải Nhất cuộc thi học thuật Law’s challenge 2024 do Đoàn Khoa Luật tổ chức;
Đạt giải nhì Ring the golden bell 2025 do Liên chi Hội sinh viên Khoa Luật tố chức;
Đạt giải Nhì Cuộc thi “Thinklaw – Tư duy pháp lý Nghề luật” – Lần 1/2025. Do trường Đại học Nguyễn Tất Thành tổ chức.
Là thành viên tham gia tham gia tích cực trong CLB Thực hành pháp luật khoa Luật trường Đại học Sài Gòn.
</t>
  </si>
  <si>
    <t>Đạt Danh hiệu “Thanh niên khỏe” trường Đại học Sài Gòn năm học 2024 – 2025</t>
  </si>
  <si>
    <t>Quyết định số 14-QĐKT/ĐTN-VP của Ban Chấp Hành Đoàn Trường Đại học Sài Gòn ngày 08/08/2025 về việc trao giấy khen vì đã đóng góp tích cực trong Chiến dịch Mùa hè xanh trường Đại học Sài Gòn lần thứ 32 năm 2025;
Quyết định số 02/QĐ-BTK của Ban Chấp Hành Hội sinh viên Trường Đại học Sài Gòn ngày 25/01/2025 về việc trao giấy khen vì đã đóng góp tích cực trong Chiến dịch Xuân tình nguyện trường Đại học Sài Gòn lần thứ 17 năm 2025.
Tham gia và được cấp giấy chứng nhận hoàn thành chiến dịch Xuân tình nguyện 2025;
Tham gia và được cấp giấy chứng nhận hoàn thành chiến dịch Mùa hè xanh 2025;
Tham gia và được cấp giấy chứng nhận hoàn thành chương trình tình nguyện Tiếp sức mùa thi 2025;
Tham gia và được cấp giấy chứng nhận hoàn thành Tiếp sức đến trường 2025
+ 01 ngày tình nguyện: Tham gia hoạt động tình nguyện “Phòng, chống bạo lực học đường” ngày 16/03/2025;
 01 ngày tình nguyện: Tham gia hoạt động tình nguyện “Phòng, chống tội phạm lừa đảo chiếm đoạt tài sản thông qua hình thức bán hàng và giao hàng trực tuyến” Trường Đại Học Sài Gòn ngày 01/03/2025;
+ 01 ngày tình nguyện: Tham gia hoạt động tình nguyện  Trung thu sẻ chia 2024.</t>
  </si>
  <si>
    <t>Chứng chỉ IELTS Academic 6.0 overall do IDP Education tổ chức (28/05/2023);
Đạt giải nhì Ring the golden bell 2025 do Liên chi Hội sinh viên Khoa Luật tố chức (đã có minh chứng);
Quyết định số 48/QĐ-BTK của Ban chấp hành Đoàn Trường Đại học Sài Gòn ngày 23/10/2025 về việc tặng Giấy khen vì đã có thành tích xuất sắc trong công tác Hội và phong trào sinh viên Trường Đại học Sài Gòn năm học 2024 – 2025
Tham gia và đạt giấy chứng nhận “Xuất sắc Hoàn thành Nhiệm vụ tại Khu vực Asean Explorer – Sinh viên Đại học Sài Gòn tự tin hội nhập trong chuỗi hoạt động tại SGU’s day 2024.
Tham gia seminar "Tìm hiểu về Tư pháp người chưa thành niên" do Trung tâm Đào tạo và Hợp tác Quốc tế với Tổng lãnh sự quán Đức tại Thành phố Hồ Chí Minh, thẩm phán, luật sư tại Đức ngày 05/08/2025
Giấy chứng nhận đã tham gia Vòng Bán kết 2 và đạt thành tích tốt trong Hội thi “thủ lĩnh sinh viên TP. Hồ Chí Minh" năm 2024.</t>
  </si>
  <si>
    <t>NGUYỄN HỮU THIỆN NHIÊN – 3123430131 – LUẬT – BẢNG KHAI THÀNH TÍCH.docx</t>
  </si>
  <si>
    <t>NGUYỄN HỮU THIỆN NHIÊN - 3123430131 - LUẬT - MINH CHỨNG THÀNH TÍCH (1).docx</t>
  </si>
  <si>
    <t>Nguyễn Nữ Minh Thư</t>
  </si>
  <si>
    <t>Giấy chứng nhận của Đảng ủy Trường Đại học Sài Gòn theo quyết định số 89-GCN/ĐU ngày 12/5/2025 về việc Đã đạt danh hiệu “Thanh niên tiên tiến Trường Đại học Sài Gòn làm theo lời Bác” năm học 2024- 2025
Danh hiệu “Thanh niên tiên tiến làm theo lời Bác” năm học 2024- 2025 do Đoàn khoa Luật cấp ngày 09/5/2025
Giấy chứng nhận của Chi bộ Sinh viên 1 ngày 03/8/2025 về việc Đã tích cực tham gia Cuộc thi “Giới thiệu các tác phẩm về Bác” năm 2025
Chứng nhận của Chi bộ Sinh viên 1 đã tích cực tham gia và đạt kết quả tốt các hoạt động trong Chương trình về nguồn 2024 “Hành trình lịch sử”
Dâng hương, dâng hoa- Chủ đề “Hành trình Sử Việt” vào tháng 3/2025</t>
  </si>
  <si>
    <t xml:space="preserve">Đề tài NCKH cấp Trường “Pháp luật về hoạt động cung ứng dịch vụ ví điện tử”, cấp trường, là thành viên tham gia, được đánh giá với số điểm 7.5, xếp loại Khá.
Giấy chứng nhận của CLB Thực hành Pháp Luật theo quyết định số 01/2025/QĐ-BCN ngày 29/3/2025 tặng năm học 2024- 2025  “Thành viên đã có nhiều đóng góp quan trọng trong công tác tuyên truyền pháp luật tại CLB Thực Hành Pháp luật nhiệm kỳ 2023- 2025”
</t>
  </si>
  <si>
    <t>Hội thao đảng viên Các Chi bộ sinh viên mở rộng trường Đại học Sài Gòn năm 2025</t>
  </si>
  <si>
    <t xml:space="preserve">Giấy chứng nhận của Ban Chỉ huy chiến dịch theo quyết định số 01-QĐCN/ĐTN ngày 15/10/2024 về việc Đã tham gia và hoàn thành nhiệm vụ với vai trò là chiến sĩ Đội hình pháp luật.
Giấy chứng nhận của BCH Đoàn khoa Luật ngày 02/4/2025 về việc Đã tham gia chương trình tình nguyện ngắn ngày ‘Hành trình xanh- Lan tỏa yêu thương” Tháng thanh niên năm 2025
Dâng hương, dâng hoa- Chủ đề “Hành trình Sử Việt” vào tháng 3/2025
Minh chứng 05 ngày tình nguyện:
+ Chương trình tình nguyện “ Trung thu sẻ chia” năm 2025 ( 02 ngày)
+ Ngày 3,4: Làm công tác chuẩn bị; Tổ chức gian hàng, trò chơi và các hoạt động trung thu cho trẻ em tại trường THCS Bàu Sen. (Hoạt động thiện nguyện không có GCN và Danh sách tham gia)
+ Ngày 5,6: Thiết kế Poster phân loại rác tại nguồn
+ Ngày 7,8: Vệ sinh và tô vẽ tường thuộc khuôn khổ Chương trình tình nguyện ngắn ngày ‘Hành trình xanh- Lan tỏa yêu thương” Tháng thanh niên năm 2025
Chương trình tình nguyện ngắn ngày ‘Hành trình xanh- Lan tỏa yêu thương” Tháng thanh niên năm 2025
Tham gia đội hình Văn hóa- Thể thao Lễ kỷ niệm 50 năm ngày giải phóng miền Nam, thống nhất nhất nước (30/4/1975- 30/4/2025).
</t>
  </si>
  <si>
    <t xml:space="preserve">Chứng chỉ ngoại ngữ ngôn ngữ Tiếng anh bậc 3 do Trường Đại học Văn Lang cấp ngày 22/9/2025.
Sân chơi Nói theo cách người trẻ chủ đề “Văn hóa giao tiếp và ứng xử sinh viên”
(chưa cập nhật Danh sách)
Cuộc thi “Ring the golden bell” 2025.
Cuộc thi học thuật “Law’s challenge” năm 2025 do Đoàn khoa Luật tổ chức ngày 10/3/2025
Cuộc thi học thuật “Law’s Challege lần thứ V- năm 2025” do Đoàn khoa Luật tổ chức ngày 26/10/2025
Tọa đàm “Hành trang nghề Luật sư- những kỹ năng không thể thiếu”
</t>
  </si>
  <si>
    <t>NGUYỄN NỮ MINH THƯ - 3123430178 - KHOA LUẬT - BẢNG MINH CHỨNG THÀNH TÍCH.docx</t>
  </si>
  <si>
    <t>NGUYỄN NỮ MINH THƯ - 3123430178 - BẢNG KHAI THÀNH TÍCH.docx</t>
  </si>
  <si>
    <t>Nguyễn Thanh Bảo Tâm</t>
  </si>
  <si>
    <t>Đạt danh hiệu “Thanh niên tiên tiến làm theo lời Bác” khoa Luật năm học 2024 - 2025.</t>
  </si>
  <si>
    <t>Tham gia và hoạt động tại câu lạc bộ Hạt giống khoa Luật (SLF).</t>
  </si>
  <si>
    <t>Đạt Danh hiệu “Thanh niên khỏe” trường Đại học Sài Gòn năm học 2024 – 2025.</t>
  </si>
  <si>
    <t xml:space="preserve">- Giấy chứng nhận ngày 2 tháng 4 năm 2025 của Ban chấp hành Đoàn trường Đại học Sài Gòn - Ban chấp hành Đoàn khoa Luật về việc đã tham gia chương trình tình nguyện ngắn ngày “Hành trình xanh - Lan tỏa yêu thương” Tháng Thanh niên 2025. (4 ngày)
-Tham gia chương trình tình nguyện Trung thu sẻ chia năm 2025 ( 2 ngày )
</t>
  </si>
  <si>
    <t xml:space="preserve">Đạt B1 Aptis.
Tham gia chương trình tập huấn “ Kỹ năng cho sinh viên” năm 2025
Giấy chứng nhận tham gia sân chơi hội nhập Ring the Golden bell năm 2025
</t>
  </si>
  <si>
    <t>NGUYỄN THANH BẢO TÂM - 3124430141 - LUẬT - BẢNG KHAI THÀNH TÍCH.docx</t>
  </si>
  <si>
    <t>_NGUYỄN THANH BẢO TÂM - 3124430141 - LUẬT - MINH CHỨNG THÀNH TÍCH CÁ NHÂN - 2025.docx</t>
  </si>
  <si>
    <t>Nguyễn Thị Ngọc Tâm</t>
  </si>
  <si>
    <t>Đạt danh hiệu “Thanh niên tiên tiến làm theo lời Bác” cấp khoa, thời gian tuyên dương ngày
21/5/2025.</t>
  </si>
  <si>
    <t xml:space="preserve">Thành viên Câu lạc bộ Hạt giống khoa Luật.
Tham gia Nghiên cứu khoa học đề tài “Giải quyết tranh chấp thương mại bằng cơ chế liên thông hòa giải - trọng tài. Pháp luật một số nước và đề xuất cho pháp luật Việt Nam”, Cấp khoa, Vai trò Chủ nhiệm đề tài.
Có bài viết vào Kỷ yếu Hội thảo Chuyên đề số 2 “Giải quyết tranh chấp sáng tạo bằng phương thức (Med - Arb) – kinh nghiệm áp dụng cho Việt Nam”, Diễn đàn khoa học trẻ “Luật học mùa xuân” lần thứ hai (2nd VSLF).
Là thành viên đội thi LEX.VERI đạt giải ba tại hội thi THE CONNECTION 2024, Đoàn trường Đại học Luật TPHCM.
</t>
  </si>
  <si>
    <t xml:space="preserve">Đạt danh hiệu “Thanh niên khỏe” Trường Đại học Sài Gòn năm học 2024 – 2025.
</t>
  </si>
  <si>
    <t>Tham gia Chương trình tình nguyện Mùa hè xanh Đại học Sài Gòn lần thứ 32, 2025.
Tham gia chương trình “Thứ bảy tình nguyện 2025”
Tham gia chương trình Tiếp sức đến trường Đại học Sài Gòn năm 2025.
Tham gia Chương trình Trung thu sẻ chia 2024
Tham gia Chương trình tình nguyện ngắn ngày “Dâng hương, dâng hoa Khu truyền thống cách mạng cuộc Tổng tiến công và nổi dậy xuân”.
Tham gia Quyên góp ủng hộ đồng bào miền Bắc 2025.
Tham gia chương trình tình nguyện “Hành trình xanh – Lan tỏa yêu thương”;</t>
  </si>
  <si>
    <t xml:space="preserve">Tham gia và đạt giải Ba tại sân chơi hội nhập “ Ring the golden bell 2025”
- Tham gia tập huấn kỹ năng tự vệ cho sinh viên năm 2025”.
- Tham gia “Tọa đàm nghiên cứu khoa học năm 2024 – 2025”, LCH SV khoa Luật, tổ chức ngày 15/6/2025, Ban tổ chức;
- Giấy khen số 48/QĐ-BTK tặng vì đã có thành tích xuất sắc trong công tác Hội và phong trào sinh viên Trường Đại học Sài Gòn năm học 2024 – 2025.
- Cuộc thi Law’s Challenge, Đoàn khoa Luật, Giải Ba.
- Giấy chứng nhận Cuộc thi Hòa giải thương mại Việt Nam 2025 Vietnam Mediation Moot - V-Med 2025, VICMC phối hợp cùng VMC tổ chức và Học viện Tòa án hỗ trợ.
</t>
  </si>
  <si>
    <t>NGUYỄN THỊ NGỌC TÂM - 3123430156 - LUẬT - BẢNG KHAI THÀNH TÍCH.docx</t>
  </si>
  <si>
    <t>NGUYỄN THỊ NGỌC TÂM - 3123430156 - LUẬT - BẢNG MINH CHỨNG THÀNH TÍCH.docx</t>
  </si>
  <si>
    <t>Nguyễn Văn Thành</t>
  </si>
  <si>
    <t>Đạt giải Ba hội thi Olympic về các môn khoa học Mác – Lênin, tư tưởng Hồ Chí Minh cấp trường năm 2025.</t>
  </si>
  <si>
    <t>Đạt giải Khuyến khích cuộc thi học thuật “Law Challenge năm 2024” do BCH Đoàn TNCS khoa Luật tổ chức;
Đạt giải Khuyến khích cuộc thi học thuật “Law Challenge năm 2025” do BCH Đoàn TNCS khoa Luật tổ chức;
Tham gia và hoạt động tích cực tại câu lạc bộ Hạt giống khoa Luật (SLF).</t>
  </si>
  <si>
    <t xml:space="preserve">Giấy khen số: 14 – QĐKT/ĐTN – VP ngày 08 tháng 8 năm 2025 của BCH Đoàn trường Đại học Sài Gòn về việc “Đã có đóng góp tích cực trong Chiến dịch tình nguyện Mùa hè xanh trường Đại học Sài Gòn lần thứ 32 - Năm 2025”;
Tham gia và được nhận giấy chứng nhận của BCH Hội Sinh viên trường Đại học Sài Gòn trong chiến dịch Xuân tình nguyện năm 2025;
Tham gia 5 ngày tình nguyện và được giấy chứng nhận của trung tâm hỗ trợ học sinh, sinh viên trong chương trình tình nguyện Tiếp sức mùa thi năm 2025.
</t>
  </si>
  <si>
    <t xml:space="preserve">Đạt B2 Aptis.
Tham gia sân chơi hội nhập “Ring The Golden Bell” năm 2025.
Giấy khen số: 15 – QĐKT/ĐTN – VP ngày 24 tháng 10 năm 2025 của Ban Chấp hành Đoàn TNCS Hồ Chí Minh trường Đại học Sài Gòn về việc “Đã có đóng góp trong công tác Đoàn và phong trào thanh niên trường Đại học Sài Gòn năm học 2024 – 2025”.
</t>
  </si>
  <si>
    <t>NGUYỄN VĂN THÀNH - 3124430149 - LUẬT - BẢNG KHAI THÀNH TÍCH.docx</t>
  </si>
  <si>
    <t>MẪU 03 - NGUYỄN VĂN THÀNH - 3124430149 - LUẬT - MINH CHỨNG THÀNH TÍCH CÁ NHÂN - 2025.docx</t>
  </si>
  <si>
    <t>Trần Ngọc Linh</t>
  </si>
  <si>
    <t>Không đạt tiêu chuẩn "Về ngoại ngữ"</t>
  </si>
  <si>
    <t>TRẦN NGỌC LINH - 3123430088 - LUẬT - BẢNG KHAI THÀNH TÍCH.docx</t>
  </si>
  <si>
    <t>TRẦN NGỌC LINH - 3123430088 - LUẬT - MINH CHỨNG THÀNH TÍCH .docx</t>
  </si>
  <si>
    <t>Trần Ngọc Minh Anh</t>
  </si>
  <si>
    <t>Sao tháng “Thanh niên SGU nghĩ đúng - sống đẹp” năm 2025
Đạt danh hiệu Thanh niên tiên tiến làm theo lời Bác khoa Luật năm học 2024 -2025.
Đạt danh hiệu Thanh niên tiên tiến làm theo lời Bác trường Đại học Sài Gòn năm học 2024 -2025.
Đạt Giải Ba Bảng Đội tuyển “HỘI THI OLYMPIC CÁC MÔN KHOA HỌC MÁC - LÊNIN VÀ TƯ TƯỞNG HỒ CHÍ MÌNH TRƯỜNG ĐẠI HỌC SÀI GÒN” NĂM 2025</t>
  </si>
  <si>
    <t xml:space="preserve">- Chủ nhiệm CLB Hạt giống khoa Luật - Khoa Luật Trường Đại học Sài Gòn
- Giải khuyến khích cuộc thi Law’s Conquerors 2025, do Khoa Luật trường Đại học Kinh tế (UEF) tổ chức
Giấy chứng nhận thành viên hoạt động tích cực tại CLB SLF
</t>
  </si>
  <si>
    <t>- Đạt danh hiệu “ Thanh niên khỏe” tại Hội Thao Chào mừng Đại hội Đại biểu Hội Sinh viên Việt Nam trường Đại học Sài Gòn lần thứ IX, nhiệm kỳ 2025 -2028.</t>
  </si>
  <si>
    <t xml:space="preserve">- Tham gia chiến dịch Xuân Tình nguyện  trường Đại học Sài Gòn lần thứ 17 năm 2025
- Tham gia chiến dịch Mùa hè Xanh trường Đại học Sài Gòn lần thứ 32 năm 2025
- Giấy khen của Hội Sinh viên trường số vì đã đạt thành tích xuất sắc trong Chiến dịch Mùa hè Xanh trường Đại học Sài Gòn lần thứ 17 năm 2025 </t>
  </si>
  <si>
    <t>Đạt trình độ Tiếng Anh VSTEP B2
Tham gia tập huấn kỹ năng tự vệ cho sinh viên năm 2025
Giấy khen của Hội Sinh viên trường số Số: 14-QĐKT/ĐTN-VP ngày 08 tháng 08 năm 2025 vì đã đạt thành tích xuất sắc trong Chiến dịch Mùa hè Xanh trường Đại học Sài Gòn lần thứ 17 năm 2025.
 Giấy khen của Hội Sinh viên trường số: 48/QĐ-BTK ngày 23 tháng 10 năm 2025 vì đã đạt thành tích xuất sắc trong công tác Hội và phong trào sinh viên khoa Luật nhiệm kỳ 2024 - 2025
+ Giấy khen của Hội Sinh viên trường số : 16/QĐ-BTK ngày 15 tháng 4 năm 2025 vì đã đạt danh hiệu Cán bộ Hội tiêu biểu năm học 2024 - 2025
Tham gia Hội thi Thủ lĩnh Sinh viên thành phố Hồ Chí Minh năm 2025 ( Top 50)</t>
  </si>
  <si>
    <t>MẪU 01 - TRẦN NGỌC MINH ANH - 2024-2025.docx</t>
  </si>
  <si>
    <t>MẪU 03 - TRẦN NGỌC MINH ANH - 2025.docx</t>
  </si>
  <si>
    <t>Trần Nguyễn Thùy Trang</t>
  </si>
  <si>
    <t>- Thanh niên tiên tiến khoa Luật làm theo lời Bác năm học 2024-2025</t>
  </si>
  <si>
    <t>- Diễn đàn khoa học trẻ “Luật học mùa xuân” lần thứ hai, năm 2025
- Thành viên đội thi TNT tham gia cuộc thi Law’s Challenge 2025</t>
  </si>
  <si>
    <t>- Đạt danh hiệu “Thanh niên khỏe” Trường Đại học Sài Gòn năm học 2024 – 2025</t>
  </si>
  <si>
    <t>- Chương trình “Xuân yêu thương - Vì nụ cười trẻ thơ” năm 2025
Chương trình “Xuân nhân ái - Hái yêu thương 2025” lần thứ III
Chương trình tình nguyện “Trung thu sẻ chia 2025”
Tham gia chương trình “Thứ bảy tình nguyện 2025”
- Chương trình tình nguyện “Hành trình xanh – Lan tỏa yêu thương”</t>
  </si>
  <si>
    <t>Tham gia Sân chơi hội nhập “Ring the Golden Bell 2025”
- Toạ đàm “Kỹ năng tự vệ cho sinh viên”
- Tọa đàm “Hành trang nghề luật sư - Những kỹ năng không thể thiếu”
- Giấy khen số 48/QĐ-BTK tặng vì đã có thành tích xuất sắc trong công tác Hội và phong trào sinh viên Trường Đại học Sài Gòn năm học 2024-2025</t>
  </si>
  <si>
    <t>TRẦN NGUYỄN THÙY TRANG - 3124430177 - KHOA LUẬT - BẢNG KHAI THÀNH TÍCH.pdf.pdf</t>
  </si>
  <si>
    <t>TRẦN NGUYỄN THÙY TRANG - 3124430177 - KHOA LUẬT - MINH CHỨNG THÀNH TÍCH.pdf.pdf</t>
  </si>
  <si>
    <t>Trịnh Tú Hảo</t>
  </si>
  <si>
    <t>Đạt danh hiệu Thanh niên tiên tiến làm theo lời Bác khoa Luật năm học 2024 -2025.</t>
  </si>
  <si>
    <t>- NCKH: Tội lạm dụng chức vụ quyền hạn nhằm chiếm đoạt tài sản theo pháp luật Việt Nam” (80/100) đạt loại Tốt.
- Thành viên CLB SLF ( Hạt giống khoa Luật)</t>
  </si>
  <si>
    <t xml:space="preserve">- Tham gia chiến dịch Xuân Tình nguyện lần thứ 17 năm 2025
- Tham gia chương trình Tiếp sức đến trường 2025
</t>
  </si>
  <si>
    <t>Đạt trình độ Tiếng Anh  Aptis B1
+Tham gia tập huấn kỹ năng tự vệ cho sinh viên năm 2025
Giấy khen của Hội Sinh viên trường số 02/QĐ – BTK ngày 25/01/2025 vì đã đạt thành tích xuất sắc trong Chiến dịch Xuân tình nguyện trường Đại học Sài Gòn lần thứ 17 năm 2025.
+ Giấy khen của Hội Sinh viên trường số 04/QĐ – BTK ngày 11/03/2025 vì đã đạt thành tích xuất sắc trong công tác Hội và phong trào sinh viên khoa Luật nhiệm kỳ 2023 -2025
 Giấy khen của Hội Sinh viên trường số 16/QĐ – BTK ngày 15/4/2025 vì đã đạt danh hiệu cán bộ tiêu biểu.
+ Bằng khen của Ban Chấp hành hội Sinh viên Thành phố Hồ Chí Minh số 33/QĐ- TĐKT ngày 10/10/2025 vì đã có  thành tích xuất sắc trong công tác Hội và phong trào sinh viên Thành phố năm học 2024 – 2025.
  +Tham gia Hội thi Thủ lĩnh Sinh viên thành phố Hồ Chí Minh năm 2025 ( Top 50)</t>
  </si>
  <si>
    <t>TRỊNH TÚ HẢO - 3122430044 - KHOA LUẬT - BẢNG KHAI THÀNH TÍCH.docx</t>
  </si>
  <si>
    <t>TRỊNH TÚ HẢO - 3122430044 - KHOA LUẬT - MINH CHỨNG THÀNH TÍCH.docx</t>
  </si>
  <si>
    <t>Võ Thanh Thảo</t>
  </si>
  <si>
    <t>HN. Tọa đàm "Sinh viên 5 tốt" Không phải là hoạt động hội nhập.
=&gt; Thiếu tiêu chuẩn "HĐ HN"</t>
  </si>
  <si>
    <t>VÕ THANH THẢO - 3123430163 - LUẬT - BẢNG KHAI THÀNH TÍCH -  2024 -2025.docx</t>
  </si>
  <si>
    <t>VÕ THANH THẢO - 3123430163 - LUẬT - MINH CHỨNG THÀNH TÍCH - 2024 - 2025.docx</t>
  </si>
  <si>
    <t>Nguyễn Trương Diễm Ngọc</t>
  </si>
  <si>
    <t>99</t>
  </si>
  <si>
    <t>3.89</t>
  </si>
  <si>
    <t>Kết quả đánh giá chất lượng Đoàn viên năm học 2024 - 2025 đạt Hoàn thành xuất sắc nhiệm vụ.
Đạt danh hiệu “Thanh niên tiên tiến Trường Đại học Sài Gòn làm theo lời Bác” năm học 2024 – 2025.</t>
  </si>
  <si>
    <t>Có bài viết tham luận bằng tiếng Anh “ASEAN's Path to Sustainable Development: Navigating International Relations, Legal Frameworks in the Context of Globalization and Modernization” trình bày tại Hội thảo Quốc tế do Trường Đại học Luật Thành phố Hồ Chí Minh tổ chức tháng 7 năm 2025.</t>
  </si>
  <si>
    <t>Đạt danh hiệu “Thanh niên khỏe” cấp Trường năm 2024 và năm học 2024 - 2025.</t>
  </si>
  <si>
    <t>Nhận Giấy khen số 43/QĐ-BTK ngày 08/08/2025 của Hội Sinh viên trường vì thành tích tốt trong Chương trình Tiếp sức mùa thi năm 2025.
Tham gia và hoàn thành Chương trình Tiếp sức mùa thi trường Đại học Sài Gòn năm 2025.
Tham gia chương trình tình nguyện “Trung thu sẻ chia 2024”, “Xuân yêu thương” tại Mái ấm Tâm Đức và “Xuân nhân ái - Hái yêu thương” tại Tịnh xá Ngọc Quang.
Tham gia hoạt động “Thứ bảy tình nguyện”, chương trình “Hành trình xanh” và tham quan Bảo tàng Hồ Chí Minh (Bến Nhà Rồng).</t>
  </si>
  <si>
    <t>Đạt trình độ ngoại ngữ tiếng Anh chứng chỉ TOEIC trình độ B2.
Tham gia Ngày hội Sinh viên với ngoại ngữ năm 2025 chủ đề "GenZith Horizon" và chương trình Giao lưu tặng quà cho sinh viên Lào.
Xuất sắc lọt vào Vòng Chung kết cuộc thi Law's Conquerors 2025 do Trường Đại học Kinh tế - Tài chính Thành phố Hồ Chí Minh và Công ty Luật TNHH TA PHA tổ chức.
Xuất sắc hoàn thành nhiệm vụ tại khu vực “ASEAN Explorer - Sinh viên Đại học Sài Gòn tự tin hội nhập” trong Ngày hội Tân sinh viên SGU's Day 2024.
Hoàn thành khóa tập huấn Kỹ năng AI dành cho Cán bộ Đoàn – Hội và khóa học “Thanh niên tình nguyện hỗ trợ chính quyền địa phương hai cấp” của Trung ương Đoàn.
Tham gia chương trình kỹ năng nghề nghiệp “Khảo sát doanh nghiệp yêu thích 2025 – ENTERPRISE OF CHOICE”.
Tham gia tập huấn An toàn giao thông và chuyên đề Ứng dụng kỹ năng số cho sinh viên năm 2024.</t>
  </si>
  <si>
    <t>17.NGUYỄN TRƯƠNG DIỄM NGỌC .docx</t>
  </si>
  <si>
    <t>17. NGUYỄN TRƯƠNG DIỄM NGỌC</t>
  </si>
  <si>
    <t>Nguyễn Tấn Tài</t>
  </si>
  <si>
    <t>99\</t>
  </si>
  <si>
    <t>3.76</t>
  </si>
  <si>
    <t>Kết quả đánh giá chất lượng Đoàn viên năm học 2024 - 2025 đạt Hoàn thành xuất sắc nhiệm vụ.
Là thành viên chính thức tham dự bảng đội tuyển Hội thi Olympic các môn khoa học Mác - Lênin và Tư tưởng Hồ Chí Minh trường Đại học Sài Gòn năm 2025.</t>
  </si>
  <si>
    <t>Có bài viết khoa học “Tinh gọn Hội đồng nhân dân trong bối cảnh mới - Thực trạng và một số kiến nghị” đăng trên kỷ yếu Hội thảo khoa học cấp trường VSLF do Đại học Luật - Đại học Quốc gia Hà Nội tổ chức vào tháng 04/2025.</t>
  </si>
  <si>
    <t>Đạt danh hiệu “Thanh niên khỏe” trường Đại học Sài Gòn năm 2025 theo Giấy chứng nhận số 02 - GCN - BTK của Ban Thư ký Hội Sinh viên trường</t>
  </si>
  <si>
    <t>Nhận Giấy khen số 02/QĐ-BTK ngày 25/01/2025 của Hội Sinh viên trường vì thành tích xuất sắc trong Chiến dịch Xuân Tình nguyện lần thứ 17 năm 2025.
Nhận Giấy khen của Chủ tịch Ủy ban nhân dân Phường 12, Quận 6 vì thành tích xuất sắc trong công tác Đoàn và phong trào thanh thiếu nhi năm 2024.
Tham gia và hoàn thành Chiến dịch Xuân Tình nguyện trường Đại học Sài Gòn các năm 2024 và 2025.
Tham gia các chương trình tình nguyện cộng đồng như: Trung thu sẻ chia năm 2024, Xuân yêu thương tại mái ấm Tâm Đức, và Xuân nhân ái - Hái yêu thương tại Tịnh xá Ngọc Quang.
Tham gia hoạt động Thứ 7 tình nguyện, chương trình Hành trình xanh, chương trình Lan tỏa yêu thương và viếng văn bia tưởng niệm Xuân Mậu Thân 1968.</t>
  </si>
  <si>
    <t>Điểm trung bình các học phần Tiếng Anh đạt kết quả cao: Tiếng Anh 1 (9.0), Tiếng Anh 2 (9.3), và Tiếng Anh 3 (8.4).
Tham gia Chương trình giao lưu và tặng quà cho sinh viên Lào tại Ký túc xá Sinh viên Lào Thành phố Hồ Chí Minh ngày 01/02/2025.
Tham gia hỗ trợ đón tiếp đoàn Đại biểu Tàu thanh niên Đông Nam Á Nhật Bản (SSEAYP) năm 2024 trong chương trình Home Matching tại Quận 6.
Xuất sắc hoàn thành nhiệm vụ tại khu vực “ASEAN Explorer - Sinh viên Đại học Sài Gòn tự tin hội nhập” trong Ngày hội Tân Sinh viên SGU's Day 2024.
Đạt danh hiệu Cán bộ Hội tiêu biểu năm học 2024 - 2025.
Nhận Giấy khen vì có thành tích xuất sắc trong công tác Hội và phong trào sinh viên khoa Luật nhiệm kỳ 2023 - 2025 và năm học 2023 - 2024.
Hoàn thành chuyên đề “Ứng dụng kỹ năng số cho sinh viên năm 2024” và tập huấn “An toàn giao thông và kỹ năng phòng tránh va chạm trong hoạt động tình nguyện”.</t>
  </si>
  <si>
    <t>18.NGUYỄN TẤN TÀI - BẢNG KHAI.docx</t>
  </si>
  <si>
    <t>18. NGUYỄN TẤN TÀI</t>
  </si>
  <si>
    <t>Đào Trần Thanh</t>
  </si>
  <si>
    <t>100</t>
  </si>
  <si>
    <t>3.63</t>
  </si>
  <si>
    <t>Kết quả đánh giá chất lượng Đoàn viên cuối năm đạt Hoàn thành xuất sắc nhiệm vụ.
Nhận Giấy khen của Ban Chấp hành Đảng bộ trường Đại học Sài Gòn vì thành tích trong “Học tập và làm theo tư tưởng, đạo đức, phong cách Hồ Chí Minh” ngày 12/05/2025.
Được vinh danh là Gương điển hình tiên tiến trường Đại học Sài Gòn giai đoạn 2020 - 2025 theo Quyết định số 1416/QĐ-ĐHSG ngày 04/06/2025.
Đạt danh hiệu "Thanh niên tiên tiến trường Đại học Sài Gòn" năm học 2023 - 2024.
Là Đảng viên chính thức từ ngày 09/11/2024.</t>
  </si>
  <si>
    <t>Đạt giải Nhì Giải thưởng sinh viên nghiên cứu khoa học - Euréka lần thứ 26 năm 2024 cấp Thành phố và cấp Trường.
Tốt nghiệp đại học loại Giỏi chuyên ngành Luật.
Đạt học bổng Khuyến khích học tập qua nhiều kỳ học.</t>
  </si>
  <si>
    <t>Đạt giải Nhì bộ môn cầu lông nam nữ tại Hội thao chào mừng Đại hội đại biểu Hội Sinh viên Việt Nam trường Đại học Sài Gòn lần thứ IX năm 2025.
Đạt danh hiệu "Thanh niên khỏe" trường Đại học Sài Gòn năm 2024 theo Giấy chứng nhận số 02-QĐGCN/HSV ngày 05/10/2024.</t>
  </si>
  <si>
    <t>Nhận Bằng khen của Ban Chấp hành Trung ương Hội Sinh viên Việt Nam vì thành tích xuất sắc trong Chiến dịch tình nguyện Mùa hè xanh năm 2024.
Nhận Bằng khen của Ban Chấp hành Hội Sinh viên Thành phố Hồ Chí Minh vì thành tích xuất sắc trong Chiến dịch Xuân tình nguyện lần thứ 17 năm 2025.
Hoàn thành Chiến dịch tình nguyện Mùa hè xanh năm 2024 và Chiến dịch Xuân tình nguyện lần thứ 17 năm 2025.
Tham gia đầy đủ 05 ngày tình nguyện trong năm học theo xác nhận của Hội Sinh viên trường.</t>
  </si>
  <si>
    <t>Đạt chứng chỉ tiếng Anh Vstep trình độ B1 theo khung tham chiếu châu Âu.
Nhận Bằng khen của Ban Chấp hành Trung ương Hội Sinh viên Việt Nam vì thành tích xuất sắc trong công tác Hội và phong trào sinh viên năm học 2024 - 2025.
Tham gia Ngày hội Sinh viên với ngoại ngữ English Camp 2025 do Hội Sinh viên Thành phố Hồ Chí Minh tổ chức.
Tham gia Chương trình giao lưu và tặng quà cho sinh viên Lào tại Ký túc xá Sinh viên Lào Thành phố Hồ Chí Minh ngày 01/02/2025.
Xuất sắc hoàn thành nhiệm vụ tại khu vực "ASEAN Explorer - Sinh viên Đại học Sài Gòn tự tin hội nhập" năm 2024.
Hoàn thành Chương trình "Phổ cập AI" dành cho cán bộ Đoàn - Hội do Trung ương Đoàn tổ chức.
Tham gia tập huấn chuyên đề An toàn giao thông và chuyên đề Ứng dụng kỹ năng số cho sinh viên trường Đại học Sài Gòn.
Có chứng chỉ Ứng dụng Công nghệ thông tin cơ bản.</t>
  </si>
  <si>
    <t>19. ĐÀO TRẦN THANH</t>
  </si>
  <si>
    <t>Đặng Thị Cúc</t>
  </si>
  <si>
    <t>VĂN HOÁ VÀ DU LỊCH</t>
  </si>
  <si>
    <t xml:space="preserve">Số 133-GCN/ĐU ngày 12/5/2025 Đạt danh hiệu Thanh niên tiên tiến trường Đại học Sài Gòn làm theo lời Bác năm học 2024-2025
Số 01-GCN/ĐTN-VHDL ngày 20/3/2025 Đạt danh hiệu Điển hình Thanh niên tiên tiến khoa 
Văn hoá và Du lịch làm theo lời Bác năm học 2024 – 2025
</t>
  </si>
  <si>
    <t>Đã có đóng góp tích cực cho các hoạt động của CLB Truyền thông và Đối ngoại HKII năm học 2024-2025</t>
  </si>
  <si>
    <t>Giấy chứng nhận Thanh niên khỏe trường Đại học Sài Gòn năm học 2024 - 2025</t>
  </si>
  <si>
    <t>Đội trưởng Đội hình Sắc màu Văn hoá thuộc chiến dịch tình nguyện Mùa hè xanh trường Đại học Sài Gòn lần thứ 32, năm 2025</t>
  </si>
  <si>
    <t xml:space="preserve">Giấy chứng nhận đã hoàn thành nhiệm vụ tại khu vực 
“ASEAN Explorer – Sinh viên Đại học Sài Gòn tự tin hội nhập”
Số 15-QĐKT/ĐTN-VP ngày 24/10/2025 Khen thưởng Đã có đóng góp tích cực trong công tác Đoàn và phong trào thanh niên Trường Đại học Sài Gòn năm học 2024-2025
Đạt chứng chỉ B1 Aptis Esol, cấp vào ngày 31.7.2025 bởi tổ chức British Council
</t>
  </si>
  <si>
    <t>ĐẶNG THỊ CÚC - 3122350030 - VĂN HOÁ VÀ DU LỊCH - BẢNG KHAI THÀNH TÍCH.docx</t>
  </si>
  <si>
    <t>ĐẶNG THỊ CÚC - 3122350030 - VĂN HOÁ VÀ DU LỊCH - MINH CHỨNG THÀNH TÍCH.docx</t>
  </si>
  <si>
    <t>30 SV5T KHOA
6 SV5TTB KHOA</t>
  </si>
  <si>
    <t>Hà Thái Toàn</t>
  </si>
  <si>
    <t>Thiếu tiêu chuẩn "Về ngoại ngữ"</t>
  </si>
  <si>
    <t>MẪU 1 - HÀ THÁI TOÀN - 3123350177 - BẢNG KHAI THÀNH TÍCH..docx</t>
  </si>
  <si>
    <t>MẪU 02 - HÀ THÁI TOÀN - 3123350177 -MINH CHỨNG THÀNH TÍCH CÁ NHÂN - 2025.docx</t>
  </si>
  <si>
    <t>Huỳnh Thị Xu Kiên</t>
  </si>
  <si>
    <t>Thiếu MC tiêu chuẩn khác</t>
  </si>
  <si>
    <t>Không đủ 05 ngày tình nguyện</t>
  </si>
  <si>
    <t>HUỲNH THỊ XU KIÊN – 3122540036 – VĂN HÓA VÀ DU LỊCH – BẢNG KHAI THÀNH TÍCH.docx</t>
  </si>
  <si>
    <t>HUỲNH THỊ XU KIÊN_3122540036 – VĂN HÓA VÀ DU LỊCH – MINH CHỨNG THÀNH TÍCH.docx</t>
  </si>
  <si>
    <t>Khưu Mỹ Hoàng</t>
  </si>
  <si>
    <t>- Hoàn thành Lớp Bồi Dưỡng Nhận Thức Đảng 16-20/8/2025
 Hoàn thành nội dung học tập nghị quyết Đại hội Đoàn toàn quốc lần thứ XII, nhiệm kỳ 2022-2027</t>
  </si>
  <si>
    <t>Giải thưởng Best Participation Award in the “Discover- The magic of Travel” of the Third “Tourism+Chinese Language” Programme</t>
  </si>
  <si>
    <t xml:space="preserve"> Tham gia Sinh viên khỏe tại SGU day       ( 19/10/2025)</t>
  </si>
  <si>
    <t xml:space="preserve">Tình nguyện viên tháp tùng Đại biểu quốc tế tại Lễ kỷ niệm 50 năm ngày giải phóng miền Nam, thống nhất đất nước ( 30/04/1975-30/04/2025) : Tháp tùng hai bác đại biểu Mr JOSE MIGUEL MEJIA ABREU- Tổng Bí Thư Đảng MIU, Cộng Hòa Dominica và Ms ALTAGRACIA MARHA PEREZ CAMPUSANO - Bí thư phụ trách đối ngoại Cộng hòa Dominica.
Tháp tùng Đoàn đại biểu tại Đại lễ Phật Đản Vesak 2025   (05-09/5/2025)
Tình nguyện viên hỗ trợ thuộc Team Tổ  Thư ký ( Văn phòng- Trung tâm xúc tiến du lịch TPHCM)  tại sự kiện Hội chợ du lịch quốc tế TP HCM-ITE HCMC 2025 ( 20/8-5/9/2025) 
Tình nguyện viên lĩnh vực khoa học -xã hội của Giải thưởng nghiên cứu khoa học Euréka lần thứ 26  năm 2024 ( 11-12/2024) 
 Tình nguyện viên hỗ trợ thuộc team Lễ tân - Hậu cần ( Phòng Tổ chức sự kiện- Trung tâm xúc tiến du lịch TPHCM)  tại sự kiện Hội chợ du lịch quốc tế TP HCM-ITE HCMC 2024( 01-07/9/2024)
</t>
  </si>
  <si>
    <t xml:space="preserve">- Chứng chỉ tiếng Trung HSK5       
( 4/2024)
Tiếng Anh 1 : 10
Tiếng Anh 2:10
Tiếng Anh 3: 10
* Tham gia training nghiệp vụ tại Sở Du Lịch ( 09/08/2025) và Sở Ngọại Vụ ( 23/08/2025) cho nhóm Tình nguyện viên hỗ trợ thuộc Team Tổ  Thư ký ( Văn phòng- Trung tâm xúc tiến du lịch TPHCM)  tại sự kiện Hội chợ du lịch quốc tế TP HCM- ITE HCMC 2025 ( 20/8-5/9/2025) 
- Đoàn viên tiêu biểu năm học 2024-2025 
Tháp tùng Đại biểu quốc tế tại A50
Tham gia International Perspectives Series Webinar: Laboratory Prediction Energy Control System based on Artificial Intelligence held on 3 October, 2024 
(3)Tham gia International Experts Sharing webinar entitled Digital Economy and Global Sustainable Development held on  11 October, 2024
(4)Tham gia  “ Cultivation Techniques of Rice -Integrated Management of Rice Pests and Diseases” on 25 October,2024 
(5)Tham gia “No Cap, Just Clarity, The Real Deal on Explainable AI(XAI)”on 27 September,2024
(6)Tham gia “Cultivation Technology of Annual and Biennial Flower” on 27 September,2024
Đạt giấy chứng nhận xuất sắc tham gia trại đông online của trường đại học Chính Pháp Thượng Hải (Trung Quốc), 10-12/2024
 Đạt giấy chứng nhận xuất sắc tham gia trại xuân  online của trường đại học Hà Nam ( Trung Quốc), 15-18/01/2025
 Hoàn thành xuất sắc 3 khóa học online tại Học Viện Hoa Kiều ( Chiết Giang, Trung Quốc):
(10) Đạt giấy chứng nhận Hoàn thành xuất sắc trại hè trường Đại học Lan Châu (Trung Quốc)
</t>
  </si>
  <si>
    <t>KHƯU MỸ HOÀNG_3122570045_KHOA VĂN HÓA VÀ DU LỊCH_BẢNG KHAI THÀNH TÍCH.docx</t>
  </si>
  <si>
    <t>KHƯU MỸ HOÀNG_3122570045_KHOA VĂN HÓA VÀ DU LỊCH_MINH CHỨNG THÀNH TÍCH.docx</t>
  </si>
  <si>
    <t>Lê Hoàng Vinh</t>
  </si>
  <si>
    <t>Thiếu tiêu chuẩn khác</t>
  </si>
  <si>
    <t>Thiếu tiêu chuẩn kỹ năng</t>
  </si>
  <si>
    <t>LÊ HOÀNG VINH - 3122570149 - BẢNG KHAI THÀNH TÍCH CÁ NHÂN - 2024-2025.docx</t>
  </si>
  <si>
    <t>LÊ HOÀNG VINH - 3122570149 - MINH CHỨNG THÀNH TÍCH CÁ NHÂN - 2025.docx</t>
  </si>
  <si>
    <t>Nguyễn Phạm Huy Phúc</t>
  </si>
  <si>
    <t xml:space="preserve"> MC không hợp lệ</t>
  </si>
  <si>
    <t>NGUYỄN PHẠM HUY PHÚC - 3122350184 - KHOA VĂN HÓA VÀ DU LỊCH - BẢNG KHAI THÀNH TÍCH.docx</t>
  </si>
  <si>
    <t>NGUYỄN PHẠM HUY PHÚC - 3122350184 - KHOA VĂN HÓA VÀ DU LỊCH - MINH CHỨNG THÀNH TÍCH.docx</t>
  </si>
  <si>
    <t>Nguyễn Thị Tuyết Ngân</t>
  </si>
  <si>
    <t>* Đạt danh hiệu: Sao tháng “Thanh niên SGU nghĩ đúng - sống đẹp”.</t>
  </si>
  <si>
    <t>Tham gia CLB Tiếng Anh khoa Văn hóa &amp; Du lịch - Republic Of English.</t>
  </si>
  <si>
    <t>- Tham gia Sân chơi “Thanh niên khỏe”: số thứ tự 1384</t>
  </si>
  <si>
    <t>Tham gia Chiến dịch Xuân Tình nguyện 2025 - Đội hình Xuân Sẻ Chia:
- Ngày 1: Tham gia hỗ trợ hiến máu ngày 22/03/2025: số thứ tự số 1.
- Ngày 2: Tham gia dọn vệ sinh kênh rạch cùng Sài Gòn Xanh của Đội Công tác Xã hội tại
Tam Phú, Thủ Đức ngày 16/03/2025
- Ngày 3: Tổ chức, tham gia Hành trình Yêu thương 07 của Đội CTXH tại Trung tâm Bảo trợ
Người già Thiên Ân ngày 08/03/2025
Ngày 4: Tổ chức, tham gia Hưởng ứng Giờ Trái Đất 2025 - Hướng dẫn di chuyển bằng Metro
với Chủ đề “Chiến dịch Xanh, Tương lai Xanh” ngày 15/03/2025
- Ngày 5: Tham gia hỗ trợ thả hoa đăng Đại lễ Vesak 2025 ngày 06/05/2025:</t>
  </si>
  <si>
    <t>- Đạt chứng chỉ: Aptis B1:
- Tham gia hỗ trợ thả hoa đăng trong Đại lễ Vesak 2025.
Giấy khen của Ủy ban Hội Liên hiệp Thanh niên Việt Nam Quận 3 theo quyết định số 21/QĐ- UBH ngày 28/05/2025 về việc Đã đạt danh hiệu “Đã có thành tích xuất sắc trong hoạt động Đội
Công tác Xã hội Quận 3 nhiệm kỳ 2022 - 2025”.</t>
  </si>
  <si>
    <t>BẢNG KHAI THÀNH TÍCH CÁ NHÂN - SV5T CẤP TRƯỜNG - 2024-2025 - NGUYỄN THỊ TUYẾT NGÂN.pdf</t>
  </si>
  <si>
    <t>MINH CHỨNG THÀNH TÍCH CÁ NHÂN - SV5T TRƯỜNG ĐHSG - 2025 - NGUYỄN THỊ TUYẾT NGÂN..pdf</t>
  </si>
  <si>
    <t>Thông Thị Diệu Hiền</t>
  </si>
  <si>
    <t xml:space="preserve">- Giấy chứng nhận thanh niên tiên tiến Trường Đại học Sài Gòn làm theo lời Bác  năm học 2024 - 2025 ngày 12/5/2025 của Đảng ủy Trường Đại học Sài Gòn.
- Giấy chứng nhận Điển hình Thanh niên tiên tiến khoa Văn hóa và Du lịch làm theo lời Bác năm học 2024 - 2025 ngày 20 tháng 03 năm 2025 của BTV Đoàn khoa VH&amp;DL.
- Đạt danh hiệu “Cán bộ Đoàn tiêu biểu” năm học 2024-2025, Kỷ niệm 94 năm Ngày thành lập Đoàn TNCS Hồ Chí Minh (26/03/1931- 26/03/2025), ngày 18/4/2025 của Ban Chấp hành Đoàn trường Đại học Sài Gòn.
</t>
  </si>
  <si>
    <t>- Giấy chứng nhận thành viên CLB ROE - CLB tiếng Anh khoa Văn hóa và Du lịch</t>
  </si>
  <si>
    <t>- Tham gia Sân chơi “Thanh niên khỏe” trong khuôn khổ ngày hội Tân sinh viên năm 2025 với chủ đề “SGU’s Day 2025”</t>
  </si>
  <si>
    <t xml:space="preserve">- Đã tham gia và đạt danh hiệu “Chiến sĩ giỏi tiêu biểu “ Chiến dịch tình nguyện mùa hè xanh Trường Đại học Sài Gòn lần thứ 32 năm 2025 của Ban chỉ huy chiến dịch Mùa hè xanh Trường Đại học Sài Gòn.
- Giấy chứng nhận “ Là chiến sĩ đội hình Xuân sẻ chia” Chiến dịch Xuân tình nguyện Trường Đại học Sài Gòn của Ban chỉ huy Chiến dịch Xuân tình nguyện Trường Đại học Sài Gòn lần thứ 17 năm 2025.
- Giấy chứng nhận “Là sinh viên tình nguyện Chương trình “TIẾP SỨC MÙA THI” năm 2025, ngày 01 tháng 7 năm 2025 của Giám đốc Trung tâm hỗ trợ học sinh, sinh viên Thành Phố Hồ Chí Minh.
- Giấy xác nhận “ Đã tham gia 07 ngày tình nguyện  Chương trình “TIẾP SỨC MÙA THI 2025” do Hội sinh viên Việt Nam Tp.Hồ Chí Minh và Trung tâm hỗ trợ học sinh sinh viên Thành phố Hồ Chí Minh Tổ Chức”, ngày 01 tháng 7 năm 2025, của Giám đốc Trung tâm hỗ trợ học sinh, sinh viên Thành Phố Hồ Chí Minh.
</t>
  </si>
  <si>
    <t xml:space="preserve">Chứng chỉ IELTS - Tiếng Anh - Trình độ: B2 (5.5). Đơn vị cấp: IDP. Thời gian cấp: 23/4/2023.
- Giấy khen “Đã có đóng góp tích cực trong công tác Đoàn và phong trào Thanh niên Trường Đại học Sài Gòn năm học 2024 - 2025” của BCH Đoàn Trường Đại học Sài Gòn ngày 24/10/2025
- Tham gia cuộc  thi trắc nghiệm trực tuyến “Tự hào ngoại giao Việt Nam vững bước tiến vào kỷ nguyên mới của Thành Đoàn TP.Hồ Chí Minh ngày 29/8/2025 - Đạt 20/30 điểm, nằm trong TOP 50.
</t>
  </si>
  <si>
    <t>MẪU 01 - BẢNG KHAI THÀNH TÍCH CÁ NHÂN - 2024-2025.docx</t>
  </si>
  <si>
    <t>MẪU 03 - MINH CHỨNG THÀNH TÍCH CÁ NHÂN - 2025.docx</t>
  </si>
  <si>
    <t>Trang Võ Thảo Nhi</t>
  </si>
  <si>
    <t>TRANG VÕ THẢO NHI_3122570086_KHOAVHVDL_BẢNG KHAI THÀNH TÍCH.docx</t>
  </si>
  <si>
    <t>TRANG VÕ THẢO NHI_3122570086_KHOAVHVDL_MINH CHỨNG THÀNH TÍCH.docx</t>
  </si>
  <si>
    <t>Trần Thị Ánh Lan</t>
  </si>
  <si>
    <t>MC không có xác nhận</t>
  </si>
  <si>
    <t>TRẦN THỊ ÁNH LAN - 3122540040 - VHDL - BẢNG KHAI THÀNH TÍCH CÁ NHÂN.docx</t>
  </si>
  <si>
    <t>TRẦN THỊ ÁNH LAN - 3122540040 - VHDL  - MINH CHỨNG THÀNH TÍCH CÁ NHÂN.docx</t>
  </si>
  <si>
    <t>Trần Thị Thùy Duyên</t>
  </si>
  <si>
    <t>Giấy chứng nhận do Khoa Văn hóa và Du lịch cấp về việc Đã tham gia và hoàn thành tốt Minigame Tìm hiểu Luật biển Việt Nam
Cuộc thi trắc nghiệm tương tác trực tuyến tìm hiểu về 80 năm Ngày Tổng tuyển cử đầu tiên bầu Quốc hội Việt Nam (06/01/1946 – 06/01/2026)</t>
  </si>
  <si>
    <t xml:space="preserve">Giấy chứng nhận của trường Đại học Sài Gòn theo Quyết định số 157/GCN-ĐHSG ngày 15/05/2025 về việc Thực hiện hoàn thành đề tài nghiên cứu khoa học cấp trường
Giấy khen của Hiệu trưởng trường Đại học Sài Gòn theo Quyết định số 1223/QĐ-DHSG ngày 14/05/2025 về việc Đạt giải Khuyến khích lĩnh vực khoa học Xã hội và Nhân văn Cuộc thi Sinh viên nghiên cứu khoa học cấp trường năm 2025
</t>
  </si>
  <si>
    <t xml:space="preserve">Chứng nhận của Ban thư ký Hội sinh viên trường Đại học Sài Gòn theo Quyết định số 02/GCN-BTK ngày 18/08/2025 về việc Đã tham gia Hội thao Chào mừng Đại hội đại biểu Hội sinh viên Việt Nam trường Đại học Sài Gòn lần thứ IX, nhiệm kỳ 2025 - 2028 do Liên Chi hội sinh viên các khoa: Văn hóa và Du lịch, Ngoại ngữ, Khoa học Xã hội và Nghệ thuật , Luật đồng tổ chức. Đạt Danh hiệu “Sinh viên khỏe” trường Đại học Sài Gòn năm học 2024 – 2025
Giải nhất Kéo co Hội thao chào mừng Đại hội đại biểu Hội sinh viên trường Đại học Sài Gòn lần thứ IX, nhiệm kỳ 2025 – 2028 do Liên chi hội sinh viên các khoa: Văn hóa và Du lịch, Ngoại ngữ, Khoa học xã hội và Nghệ thuật, Luật đồng tổ chức
</t>
  </si>
  <si>
    <t xml:space="preserve"> Giấy chứng nhận của Câu lạc bộ Vòng tay lớn TP.Hồ Chí Minh theo quyết định số 021-GCN/VTL-MHX ngày 27/07/2025 về việc Là chiến sĩ chiến dịch thanh niên tình nguyện hè “Mùa hè xanh” năm 2025 tại phường Long An, tỉnh Tây Ninh
Thời gian: 9 ngày (Từ 19/07/2025 đến 27/07/2025)
Tiếp sức mùa thi kỳ thi Đánh giá năng lực năm 2025 Cụm thi trường Đại học Sài Gòn
Thời gian: 1 ngày, ngày 01/06/2025
</t>
  </si>
  <si>
    <t xml:space="preserve">Chứng chỉ Aptis Esol trình độ B1, cấp ngày 23/11/2025. Đơn vị cấp: British Council
Chứng nhận của Trung tâm hỗ trợ học sinh, sinh viên TP.Hồ Chí Minh theo Quyết định số 04.25/GCN-HTHSSV ngày 28/08/2025 về việc Hoàn thành lớp kỹ năng Tư duy sáng tạo
Giấy chứng nhận của  Câu lạc bộ Republic of English về việc Đã hoàn thành buổi workshop Take it out - Chinh phục kỹ năng nói
</t>
  </si>
  <si>
    <t>TRẦN THỊ THÙY DUYÊN - 3123540014 - KHOA VĂN HÓA VÀ DU LỊCH - BẢNG KHAI THÀNH TÍCH (1) (2).docx</t>
  </si>
  <si>
    <t>TRẦN THỊ THÙY DUYÊN - 3123540014 - KHOA VĂN HÓA VÀ DU LỊCH - MINH CHỨNG THÀNH TÍCH (3).docx</t>
  </si>
  <si>
    <t>Nguyễn Thị Thiện Nhàn</t>
  </si>
  <si>
    <t>3.87</t>
  </si>
  <si>
    <t>Kết quả đánh giá chất lượng Đoàn viên năm học 2024 - 2025 đạt Hoàn thành xuất sắc nhiệm vụ.
Là thành viên chính thức đội thi tham gia Hội thi Olympic các môn khoa học Mác – Lênin, tư tưởng Hồ Chí Minh năm 2025 do Trường Đại học Sài Gòn tổ chức.
Là Đảng viên dự bị từ ngày 05/10/2024.</t>
  </si>
  <si>
    <t>Thực hiện đề tài khóa luận tốt nghiệp: “Quá trình điều chỉnh chính sách đối ngoại của Hoa Kỳ đối với khu vực Đông Nam Á trong hai thập niên đầu của thế kỷ XIX (2000-2020)” đạt 9.2 điểm, loại Xuất sắc.</t>
  </si>
  <si>
    <t>Đạt danh hiệu “Thanh niên khỏe” trường Đại học Sài Gòn năm 2024 theo Giấy chứng nhận số 02 - QĐGCN/HSV ngày 05/10/2024.</t>
  </si>
  <si>
    <t>Nhận Giấy khen của Trường Đại học Sài Gòn vì đã có thành tích xuất sắc trong Chiến dịch Xuân Tình nguyện lần thứ 17 năm 2025.
Tham gia và nhận giấy chứng nhận hoàn thành Chiến dịch Xuân Tình nguyện trường Đại học Sài Gòn lần thứ 17 năm 2025.
Tham gia chương trình “Vui Hội Trăng Rằm” năm 2024 tương ứng 01 ngày tình nguyện.
Tham gia chương trình “Xuân san sẻ - Tết yêu thương” tương ứng 01 ngày tình nguyện.
Tham gia chương trình “Tô vẽ mảng tường” tương ứng 01 ngày tình nguyện.
Tham gia chương trình “Ngày Chủ nhật xanh lần thứ 156 năm 2025” và “Ngày Thứ bảy tình nguyện năm 2025”.</t>
  </si>
  <si>
    <t>Đạt trình độ ngoại ngữ tiếng Anh Aptis ESOL trình độ B1.
Tham gia Chương trình Giao lưu và tặng quà cho sinh viên Lào tại ký túc xá sinh viên Lào Thành phố Hồ Chí Minh năm 2025.
Xuất sắc hoàn thành nhiệm vụ tại khu vực “ASEAN Explorer - Sinh viên Đại học Sài Gòn tự tin hội nhập” trong Ngày hội Tân Sinh viên SGU's Day 2024.
Nhận Giấy khen của Hội sinh viên Trường Đại học Sài Gòn vì có thành tích xuất sắc trong công tác Hội và phong trào sinh viên khoa Văn hoá và Du lịch nhiệm kỳ 2023-2025.
Hoàn thành lớp tập huấn chuyên đề “Ứng dụng kỹ năng số cho sinh viên năm 2024” và chuyên đề “An toàn giao thông và kỹ năng phòng tránh va chạm trong hoạt động tình nguyện”.</t>
  </si>
  <si>
    <t>32.NGUYỄN THIỆN NHÀN .docx</t>
  </si>
  <si>
    <t>32. NGUYỄN THỊ THIỆN NHÀN</t>
  </si>
  <si>
    <t>Trần Trung Trí</t>
  </si>
  <si>
    <t>Kết quả phân tích chất lượng Đoàn viên năm học 2024 - 2025 đạt Hoàn thành xuất sắc nhiệm vụ.
Đạt danh hiệu Thanh niên tiên tiến làm theo lời Bác khoa Văn hóa và Du lịch năm học 2024 - 2025 theo Giấy chứng nhận số 01-GCN/ĐTN-VHDL ngày 20/03/2025.</t>
  </si>
  <si>
    <t>Tham gia và có đóng góp tích cực cho hoạt động của Câu lạc bộ Truyền thông và đối ngoại khoa Văn hóa và Du lịch trong năm học 2024 - 2025</t>
  </si>
  <si>
    <t>Tham gia sân chơi Thanh niên khỏe trong chuỗi các hoạt động thuộc ngày hội Tân Sinh viên SGU's Day 2025.</t>
  </si>
  <si>
    <t>Nhận Bằng khen của Ban Chấp hành Hội Sinh viên Thành phố Hồ Chí Minh vì đã có thành tích xuất sắc trong chiến dịch Xuân Tình Nguyện năm 2025.
Nhận Giấy khen của Ban Chấp hành Đoàn Thanh niên Cộng sản Hồ Chí Minh Huyện Đảo Phú Quý vì thành tích xuất sắc trong chiến dịch Thanh niên tình nguyện hè năm 2025.
Nhận Giấy khen của Ban Chấp hành Hội Sinh viên trường Đại học Sài Gòn vì thành tích tích cực trong chiến dịch Xuân Tình Nguyện năm 2025.
Đảm nhận vai trò Đội trưởng đội hình Xuân Sẻ Chia và là thành viên Ban chỉ huy chiến dịch Xuân Tình Nguyện năm 2025.
Đảm nhận vai trò thành viên Ban chỉ huy, phụ trách địa bàn xã Thái Mỹ và phường Phú Định trong chiến dịch Mùa hè Xanh trường Đại học Sài Gòn lần thứ 32.
Tham gia hoạt động tình nguyện theo tuyến hoạt động của Thành Đoàn Thành phố Hồ Chí Minh tại Huyện Đảo Phú Quý trong 15 ngày.</t>
  </si>
  <si>
    <t>Đạt chứng chỉ ngoại ngữ Aptis trình độ B1 cấp ngày 22/09/2025.
Nhận Bằng khen của Ban Chấp hành Hội Sinh viên Thành phố Hồ Chí Minh vì đã có thành tích xuất sắc trong công tác Hội và phong trào Sinh viên thành phố năm học 2024 - 2025.
Đảm nhận vai trò phụ trách khu vực Myanmar và Philippines trong chuỗi các hoạt động quốc tế tại ngày hội Youth Fest 2025 theo chỉ đạo của Ủy ban Nhân dân Thành phố Hồ Chí Minh.</t>
  </si>
  <si>
    <t>BẢNG KHAI - TRẦN TRUNG TRÍ - 3123570142.docx</t>
  </si>
  <si>
    <t>MINH CHỨNG - TRẦN TRUNG TRÍ - 3123570142.docx</t>
  </si>
  <si>
    <t>Hồ Đông Quân</t>
  </si>
  <si>
    <t>SƯ PHẠM KHOA HỌC
TỰ NHIÊN</t>
  </si>
  <si>
    <t>Giấy khen của Ban Chấp hành Đảng bộ Trường Đại học Sài Gòn theo quyết định số 557-QĐ/ĐU ngày 12/05/2025 về việc Đạt danh hiệu Điển hình Thanh niên tiên tiến Trường Đại học Sài Gòn làm theo lời Bác năm học 2024 – 2025.
Giấy chứng nhận của Đoàn Khoa Sư phạm Khoa học Tự nhiên ngày 11/05/2025 về việc Đạt danh hiệu Thanh niên tiên tiến Khoa Sư phạm Khoa học Tự nhiên Trường Đại học Sài Gòn làm theo lời Bác năm học 2024 – 2025.
Giấy chứng nhận của Ban Thường vụ Đoàn trường – Ban Thư ký Hội sinh viên trường theo quyết định số 06-QĐCN/ĐTN-VP ngày 17/04/2025 về việc Đạt danh hiệu “Sao tháng thanh niên SGU – Nghĩ đúng Sống đẹp năm 2025”.
Cuộc thi trực tuyến Tháng Thanh niên năm 2024 – 2025.</t>
  </si>
  <si>
    <t>Đề tài: Sử dụng mô hình máy phát điện mini trong dạy học chuyên đề “Vật lí trong một số ngành nghề” Vật lí 10 theo giáo dục STEM.
Vai trò: Chủ nhiệm đề tài. Số điểm: 98/100. Xếp loại: Xuất sắc.
Tên bài báo: Sử dụng mô hình máy phát điện mini trong dạy học chuyên đề "Vật lí trong một số ngành nghề" Vật lí 10 theo giáo dục STEM.
Nhóm tác giả: Th.S Bùi Thị Cẩm Huệ - Hồ Đông Quân, Nguyễn Hoàng Khánh Linh, Vũ Hà Kiều Trang, Nguyễn Thị Mỹ Trâm.
Tạp chí Thiết bị Giáo dục - Số 325 - Năm 2024 - Trang 10; 11; 39
Ngày phát hành: 20/12/2024.
Giấy khen của Hiệu trưởng Trường Đại học Sài Gòn theo quyết định số 1224/QĐ-ĐHSG ngày 14/05/2025 về việc Đạt giải Giải Ba cuộc thi “Sinh viên nghiên cứu khoa học cấp trường năm 2025”.
Bằng khen của Hội Vật lý Việt Nam theo quyết định số 043/HVLVN ngày 01/12/2024 về việc Đã đạt Giải Khuyến khích phần trắc nghiệm trong kì thi Olympic Vật lý Sinh viên toàn quốc lần thứ XXVI – năm 2024.</t>
  </si>
  <si>
    <t xml:space="preserve">Đạt giải  Nhì  Bóng đá nam  trong hội thao truyền thống sinh viên Khoa SP KHTN năm học 2024 – 2025
Đạt hạng Nhất môn Kéo co trong hội thao truyền thống sinh viên Đại học Sài Gòn năm học 2025 – 2026. </t>
  </si>
  <si>
    <t>Chiến dịch Xuân tình nguyện khoa Sư phạm Khoa học Tự nhiên năm 2025.
Chương trình Tiếp sức mùa thi 2025.
1 ngày: Chương trình Hành động nhỏ - Ý nghĩa to khoa Sư phạm Khoa học Tự nhiên năm 2024.
2 ngày: Giọt máu tình nguyện năm học 2024 – 2025.
1 ngày: Chương trình “Trung thu cho em” năm học 2024 – 2025.
3 ngày: Chiến dịch Xuân tình nguyện khoa Sư phạm Khoa học Tự nhiên năm 2025.
1 ngày: Thứ bảy tình nguyện năm 2025 – Xóa sơn, sạch đường phố.
1 ngày: Ngày chủ nhật xanh lần thứ 156 - năm 2025.
1 ngày: Chương trình một ngày tình nguyện 2025.
11 ngày: Chương trình Tiếp sức mùa thi 2025.
Tham gia lực lượng diễu hành của thanh thiếu nhi Thành phố trong Lễ kỷ niệm 50 năm Ngày Giải phóng miền Nam, thống nhất nước (30/4/1975 – 30/4/2025).</t>
  </si>
  <si>
    <t xml:space="preserve">Chứng chỉ Aptis Esol Mức trình độ: B2  Đơn vị cấp: British Council Vietnam Ho Chi Minh City Ngày cấp: 05/10/2025
Giấy khen của Ban Chấp hành Hội Sinh viên Trường Đại học Sài Gòn theo quyết định số 48/QĐ-BTK ngày 23/10/2025 về việc “Đã có thành tích xuất sắc trong công tác Hội và phong trào sinh viên Trường Đại học Sài Gòn năm học 2024 – 2025”.
Cuộc thi trực tuyến Chiếm lĩnh tri thức ASEAN năm 2025.
</t>
  </si>
  <si>
    <t>HỒ ĐÔNG QUÂN – 3123020023 – KHOA SƯ PHẠM KHOA HỌC TỰ NHIÊN – BẢNG KHAI THÀNH TÍCH.docx</t>
  </si>
  <si>
    <t>HỒ ĐÔNG QUÂN – 3123020023 – KHOA SƯ PHẠM KHOA HỌC TỰ NHIÊN – MINH CHỨNG THÀNH TÍCH.docx</t>
  </si>
  <si>
    <t>25 SV5T KHOA
4 SV5TTB KHOÁ</t>
  </si>
  <si>
    <t>Nguyễn Công Minh</t>
  </si>
  <si>
    <t xml:space="preserve">- Thanh niên tiến tiến khoa sư phạm khoa học tự nhiên trường đại học sài gòn làm theo lời Bác năm học 2024 – 2025.
- Đạt danh hiệu “Sao tháng thanh niên – Nghĩ đúng sống đẹp” năm 2025.
- Cuộc thi trực tuyến tháng thanh niên năm học 2024 – 2025 Khoa Sư phạm Khoa học Tự nhiên
- Cuộc thi trực tuyến “Tự hào Việt Nam” tuần 2 – tuần 3
- Cuộc thi trực tuyến “Việt Nam với chủ quyền biển đảo”
</t>
  </si>
  <si>
    <t xml:space="preserve">- Đề tài “Vận dụng mô hình giáo dục STEM vào dạy học chuyên đề “Mở đầu về điện tử học” – Vật lý 11”, thành viên nhóm nghiên cứu, 99/100, đạt giải khuyến khích lĩnh vực khoa học giáo dục cuộc thi “Sinh viên nghiên cứu khoa học cấp trường năm 2025”
Bài viết “Vận dụng mô hình giáo dục STEM vào dạy học chuyên đề “Mở đầu về điện tử học” – Vật lý 11”, số 327, tạp chí thiết bị giáo dục, 29/12/2024
Sinh viên nghiên cứu khoa học trường Đại học Sài Gòn năm 2025, Trường Đại học Sài Gòn, Giải khuyến khích lĩnh vực Khoa học giáo dục cuộc thi “Sinh viên nghiên cứu khoa học cấp trường năm 2025”
</t>
  </si>
  <si>
    <t>Tham gia và đạt giải Nhì môn bóng đá  nam Hội thao truyền thống Khoa sư phạm khoa học tự nhiên</t>
  </si>
  <si>
    <t>- Chương trình Hành động nhỏ - Ý nghĩa to
- Chương trình “Tiếp Sức Mùa Thi” năm 2025
- Chiến dịch “Xuân Tình Nguyện” Khoa Sư phạm Khoa học Tự nhiên năm 2025
- Hoạt động “Một ngày tình nguyện” Khoa Sư phạm Khoa học Tự nhiên năm 2025 
- Chương trình “Trung thu cho em” năm học 2024 – 2025
- Chương trình chủ nhật xanh năm 2025 Khoa Sư phạm Khoa học Tự nhiên 
- Tham gia hiến máu tình nguyện
- 12 ngày Chương trình “Tiếp Sức Mùa Thi” năm 2025
- 3 ngày Chiến dịch “Xuân Tình Nguyện” Khoa Sư phạm Khoa học Tự nhiên năm 2025
- 1 ngày Hoạt động “Một ngày tình nguyện” Khoa Sư phạm Khoa học Tự nhiên năm 2025 
- 1 ngày Chương trình “Trung thu cho em” năm học 2024 – 2025
- 1 ngày Chương trình chủ nhật xanh năm 2025 Khoa Sư phạm Khoa học Tự nhiên 
- 1 lần Tham gia hiến máu tình nguyện
- Tham gia biểu diễn phục vụ tổ chức lễ kỉ niệm 50 năm ngày giải phóng miền nam thống nhất đất nước (30/4/1975 – 30/4/2025)</t>
  </si>
  <si>
    <t xml:space="preserve">APTIS ESOL, Tiếng Anh, B1, British Council, 05/10/2025
Tập huấn “Kỹ năng phòng, chống tội phạm công nghệ cao và lừa đảo trên nền tảng số” năm học 2024-2025
Cuộc thi trực tuyến “Chiếm lĩnh tri thức ASEAN”
</t>
  </si>
  <si>
    <t>NGUYỄN CÔNG MINH - 3123020016- KHOA SƯ PHẠM KHOA HỌC TỰ NHIÊN - BẢNG KHAI THÀNH TÍCH CÁ NHÂN - 2024-2025.docx</t>
  </si>
  <si>
    <t>NGUYỄN CÔNG MINH - 3123020016 - KHOA SƯ PHẠM KHOA HỌC TỰ NHIÊN - MINH CHỨNG THÀNH TÍCH CÁ NHÂN - 2025.docx</t>
  </si>
  <si>
    <t>Nguyễn Hoàng Khánh Linh</t>
  </si>
  <si>
    <t xml:space="preserve">Thanh niên Tiên tiến Khoa Sư phạm Khoa học Tự nhiên làm theo lời Bác năm học 2024 - 2025 - 11/05/2025
 Cuộc thi trực tuyến “Tự hào Việt Nam” tuần 2 và tuần 3.
Cuộc thi trực tuyến “Việt Nam với chủ quyền biển đảo”
Cuộc thi trực tuyến Tháng thanh niên năm học 2024 – 2025.
Cuộc thi trực tuyến “Quân đội nhân dân Việt Nam 80 năm xây dựng, chiến đấu và trưởng thành”
</t>
  </si>
  <si>
    <t xml:space="preserve">Nghiên cứu Khoa học cấp Trường.
+ Tên đề tài: Sử dụng mô hình máy phát điện mini trong dạy học chuyên đề “Vật lý trong một số ngành nghề” Vật lí 10 theo giáo dục STEM.
+ 98/100, loại Xuất sắc.
+ Hạng Ba cấp Trường lĩnh vực Khoa học Giáo dục.
+ Tạp chí Thiết bị Giáo dục, kỳ 2 – tháng 11 – 2024, số 325, ISSN 2859-0810, tên bài báo “Sử dụng mô hình máy phát điện mini trong dạy học chuyên đề “Vật lí trong một số ngành nghề” Vật lí 10 theo giáo dục STEM”
+ Nghiên cứu Khoa học cấp Trường - Xuất sắc - Hạng Ba lĩnh vực Khoa học Giáo dục.
</t>
  </si>
  <si>
    <t xml:space="preserve">Đạt hạng Nhất môn Kéo co trong hội thao truyền thống sinh viên Đại học Sài Gòn năm học 2025 – 2026. 
</t>
  </si>
  <si>
    <t>- Tham gia và được cấp giấy chứng nhận hoàn thành một trong các chiến dịch, chương trình tình nguyện:
Chương trình Hành động nhỏ - Ý nghĩa to 2024.
Chương trình Tiếp Sức Mùa Thi năm 2025.
Chiến dịch Xuân Tình Nguyện Khoa Sư phạm Khoa học Tự nhiên năm 2025.
Chương trình “Trung thu cho em” năm học 2024 – 2025.
05 ngày Tiếp Sức Mùa Thi.
1 ngày Hành động nhỏ - Ý nghĩa to 2024.
1 ngày Trung thu cho em.
3 ngày Xuân Tình Nguyện.
1 ngày Thứ bảy tình nguyện.</t>
  </si>
  <si>
    <t xml:space="preserve">Chứng chỉ APTIS ESOL - Tiếng Anh -B2 - British Council - 05/10/2025.
Thành viên chính chức Hội thi Nghiệp vụ sư phạm 2025 - cấp Trường - Đội thi Sư phạm Vật lý.
Đoàn viên tiêu biểu năm học 2024 - 2025.
Cuộc thi trực tuyến “Chiếm lĩnh tri thức Asean”
</t>
  </si>
  <si>
    <t>NGUYỄN HOÀNG KHÁNH LINH - 3123020013 - KHOA SPKHTN - BẢNG KHAI THÀNH TÍCH CÁ NHÂN - 2024-2025.docx</t>
  </si>
  <si>
    <t>NGUYỄN HOÀNG KHÁNH LINH - 3123020013 - KHOA SPKHTN - MINH CHỨNG THÀNH TÍCH CÁ NHÂN - 2025.docx</t>
  </si>
  <si>
    <t>Nguyễn Thị Mỹ Linh</t>
  </si>
  <si>
    <t xml:space="preserve">Giấy chứng nhận của ban chấp hành đoàn khoa ngày 11/05/2025 về đạt danh hiệu thanh niên tiên tiến khoa Sư phạm Khoa học Tự nhiên trường Đại học Sài Gòn làm theo lời Bác năm học 2024-2025 
Giấy khen của ban chấp hành đoàn trường QD số 07-QDKT/DTN-VP ngày 18/04/2025 về việc đạt danh hiệu đoàn viên tiêu biểu năm 2024-2025
Tham gia Cuộc thi Tự hào Việt Nam
</t>
  </si>
  <si>
    <t xml:space="preserve">Giấy chứng nhận của ban thường vụ đoàn khoa ngày 10/05/2025 về việc đã có đóng góp tích cực trong hoạt động của CLB Khoa học trẻ
</t>
  </si>
  <si>
    <t xml:space="preserve">Giải Nhất bóng đá nữ Khoa
Giấy Chứng nhận của liên đoàn taekwondo TP.HCM ngày 24/11/2024 về đã có thành tích thi đấu xuất sắc (Huy chương đồng)
Thành viên CLB taewondo SGU
</t>
  </si>
  <si>
    <t xml:space="preserve">- 3 ngày xuân tình nguyện khoa
- 1 ngày tham gia “ một ngày tình nguyện”
- 1 ngày tham gia Hành động nhỏ - Ý nghĩa to
</t>
  </si>
  <si>
    <t xml:space="preserve">Bằng APTIS B1
Chuyên đề ngành Sinh
Giao lưu văn hóa Việt - Ấn khoa Khoa học xã hội và nghệ thuật
</t>
  </si>
  <si>
    <t>Nguyễn Thị Mỹ Linh - 3123060018 - Khoa SPKHTN - Bảng khai thành tích.docx</t>
  </si>
  <si>
    <t>Nguyễn Thị Mỹ Linh - 3123060018 - Khoa SPKHTN - Minh chứng thành tích.docx</t>
  </si>
  <si>
    <t>Phạm Thái Hoài An</t>
  </si>
  <si>
    <t xml:space="preserve">Là thành viên chính thức đội thi tìm hiểu về chủ nghĩa Mác - Lênin, tư tưởng Hồ Chí Minh từ cấp khoa trở lên
Là Thanh niên tiên tiến Trường Đại học Sài Gòn làm theo lời Bác năm học 2024 – 2025, tuyên dương ngày 19/5/2025
Đạt danh hiệu “Sao tháng thanh niên – Nghĩ đúng sống đẹp SGU” năm 2025
</t>
  </si>
  <si>
    <t xml:space="preserve">Tham gia nghiên cứu khoa học sinh viên: Đề tài “Vận dụng mô hình giáo dục STEM vào dạy học Chuyên đề “Mở đầu về điện tử học” – Vật lý 11”, thành viên nhóm nghiên cứu, 99/100, đạt giải Khuyến khích lĩnh vực Khoa học Giáo dục cuộc thi “Sinh viên nghiên cứu khoa học cấp trường năm 2025.
Bài viết “Vận dụng mô hình giáo dục STEM vào dạy học chuyên đề “Mở đầu về điện tử học” – Vật lý 11”; số 327, Tạp chí Thiết bị giáo dục, 29/12/2024
Đạt giải Khuyến khích lĩnh vực Khoa học Giáo dục cuộc thi “Sinh viên nghiên cứu khoa học cấp trường năm 2025.
</t>
  </si>
  <si>
    <t xml:space="preserve">Giải Bóng đá truyền thống Sinh viên khoa Sư phạm Khoa học Tự nhiên năm 2024, giải Ba
</t>
  </si>
  <si>
    <t xml:space="preserve">Bằng khen của Hội Sinh viên Việt Nam Thành phố Hồ Chí Minh về việc Đã có thành tích xuất sắc trong Chương trình “Tiếp sức mùa thi” năm 2025.
GCN Hành động nhỏ - Ý nghĩa to
GCN Chương trình Tiếp Sức Mùa Thi năm 2025.
GCN Chiến dịch Xuân Tình Nguyện Khoa Sư phạm Khoa học Tự nhiên năm 2025.
GCN Chương trình Một ngày tình nguyện năm 2025.
GCN Chương trình Thứ Bảy tình nguyện 2025.
Tham gia diễu binh – diễu hành kỷ niệm 50 năm Ngày Giải phóng Miền Nam thống nhất đất nước.
</t>
  </si>
  <si>
    <t xml:space="preserve">APTIS ESOL, Tiếng Anh, B2, British Council
Giấy khen của Đoàn trường về việc Đã có thành tích xuất sắc trong công tác Đoàn và phong trào thanh niên trường Đại học Sài Gòn năm học 2024 – 2025.
Cuộc thi “Chiếm lĩnh tri thức ASEAN”, LCH SV Khoa Sư phạm Khoa học Tự nhiên, trực tuyến, 13-15/5/2025.
</t>
  </si>
  <si>
    <t>PHẠM THÁI HOÀI AN - 3123020002 - KHOA SƯ PHẠM KHOA HỌC TỰ NHIÊN - BẢNG KHAI THÀNH TÍCH CÁ NHÂN - 2024-2025.docx</t>
  </si>
  <si>
    <t>PHẠM THÁI HOÀI AN - 3123020002 - MINH CHỨNG THÀNH TÍCH CÁ NHÂN.docx</t>
  </si>
  <si>
    <t>Thái Thị Kim Ngân</t>
  </si>
  <si>
    <t xml:space="preserve">Thành viên Ban Tổ chức Cuộc thi trực tuyến “Việt Nam với chủ quyền biển đảo” khoa Sư phạm Khoa học Tự nhiên năm 2025.
</t>
  </si>
  <si>
    <t>Giấy khen của Hiệu trưởng trường Đại học Sài Gòn khen thưởng vì đã đạt giải nhất lĩnh vực Khoa học Tự nhiên Cuộc thi “Sinh viên nghiên cứu khoa học cấp trường năm 2025”</t>
  </si>
  <si>
    <t>Giấy chứng nhận tham gia Giải Việt dã Học sinh, Sinh viên TP. Hồ Chí Minh mở rộng năm 2025 cúp “Chị Ngã Em Nâng”.</t>
  </si>
  <si>
    <t>Trưởng ban tổ chức Chiến dịch Xuân tình nguyện khoa Sư phạm Khoa học Tự nhiên năm 2025
BTC Ngày Chủ nhật Xanh lần thứ 152, năm 2024 (1 ngày)
BTC Chương trình “Trung thu cho em” năm 2025 (1 ngày)
BTC Chiến dịch Xuân tình nguyện khoa Sư phạm Khoa học Tự nhiên năm 2025 (3 ngày)</t>
  </si>
  <si>
    <t xml:space="preserve">- Chứng chỉ ngoại ngữ Tiếng Anh VSTEP (B1, trường Đại học Sài Gòn, 25/8/2025).
- Giấy khen của BCH HSV trường Đại học Sài Gòn vì đã có đóng góp tích cực trong công tác Hội và phong trào sinh viên khoa Sư phạm Khoa học Tự nhiên, nhiệm kỳ 2023-2025.
- BTC Cuộc thi trực tuyến “Chiếm lĩnh tri thức ASEAN” khoa Sư phạm Khoa học Tự nhiên năm 2025.
</t>
  </si>
  <si>
    <t>THÁI THỊ KIM NGÂN - 3122030009 - KHOA SPKHTN - BẢNG KHAI THÀNH TÍCH.docx</t>
  </si>
  <si>
    <t>THÁI THỊ KIM NGÂN - 3122030009 - KHOA SPKHTN - MINH CHỨNG.docx</t>
  </si>
  <si>
    <t>Trần Ngọc Tuyết Như</t>
  </si>
  <si>
    <t xml:space="preserve">- Đạt danh hiệu Thanh niên tiên tiến làm theo lời Bác Khoa Sư phạm Khoa học Tự nhiên năm học 2024 – 2025
- Đạt danh hiệu Sao tháng “Thanh niên SGU nghĩ đúng – sống đẹp” năm 2025.
- Tham gia và đạt chứng nhận các cuộc thi:
+ Cuộc thi trực tuyến “tự hào Việt Nam” tuần 2 + tuần 3
+ Cuộc thi trực tuyến “Việt Nam với chủ quyền biển đảo” năm học 2024 – 2025.
+ Cuộc thi trực tuyến tháng Thanh niên năm học 2024 – 2025.
+ Cuộc thi trực tuyến “Quân đội nhân dân Việt Nam 80 năm xây dựng, chiến đấu và trưởng thành.”
</t>
  </si>
  <si>
    <t>- Đề tài “Vận dụng mô hình giáo dục STEM vào dạy học chuyên đề “Mở đầu về điện tử học” – Vật lý 11”
- Vai trò: Chủ nhiệm đề tài
- Nghiệm thu xuất sắc 99 điểm
- Đạt giải Khuyến khích lĩnh vực Khoa học Giáo dục cuộc thi “Sinh viên nghiên cứu khoa học cấp trường năm 2025.”
- Bài báo “Vận dụng mô hình giáo dục STEM vào dạy học chuyên đề “Mở đầu về điện tử học” – Vật lý 11”; Tạp chí Thiết bị giáo dục – số 327.
- Đạt giải Khuyến khích lĩnh vực Khoa học Giáo dục cuộc thi “Sinh viên nghiên cứu khoa học cấp trường năm 2025.”
- Thành viên tham gia tích cực CLB Khoa học trẻ Khoa Sư phạm Khoa học Tự nhiên</t>
  </si>
  <si>
    <t xml:space="preserve">- Đạt giải Ba môn Bóng đá nữ cấp khoa năm học 2024 - 2025
- Thành viên chính thức đội tuyển kéo co cấp trường.
</t>
  </si>
  <si>
    <t xml:space="preserve">- Tham gia và đạt giấy chứng nhận các chiến dịch, chương trình sau:
+ Chiến dịch Xuân tình nguyện Khoa Sư phạm Khoa học Tự nhiên năm 2025.
+ Chương trình Tiếp sức mùa thi năm 2025.
+ Chương trình “Trung thu cho em” năm học 2024 – 2025
+ Chương trình “Một ngày tình nguyện” năm học 2024 – 2025.
+ Hành động nhỏ - Ý nghĩa to năm học 2024 - 2025
- Số ngày thực tế tham gia các hoạt động tình nguyện cộng đồng trong năm:
+ 2 ngày chiến dịch Xuân tình nguyện Khoa Sư phạm Khoa học Tự nhiên năm 2025.
+ 12 ngày chương trình Tiếp sức mùa thi năm 2025.
+ 1 ngày chương trình “Trung thu cho em” năm học 2024 – 2025
+ 1 ngày chương trình “Một ngày tình nguyện” năm học 2024 – 2025.
+ 1 ngày hành động nhỏ - Ý nghĩa to năm học 2024 - 2025
- Tham gia các hoạt động đặc biệt do Nhà trường huy động như:
+ Chương trình âm nhạc dân tộc học đường 2025: chủ đề nghệ thuật Hát Bội
+ Danh sách đăng ký tham gia biểu diễn phục vụ Tổ chức lễ kỷ niệm 50 năm ngày giải phóng miền nam, thống nhất đất nước (30/4/1975 – 30/4/2025) đội hình biểu diễn chương trình nghệ thuật
</t>
  </si>
  <si>
    <t>- Chứng chỉ tiếng anh Aptis ESOL B2, British Council Vietnam Ho Chi Minh City, 12/10/2025.
- Thành viên chính thức hội thi “Nghiệp vụ Sư phạm” Trường Đại học Sài Gòn năm học 2024 – 2025
- Giấy khen Ban Chấp hành Hội Sinh viên Trường đã có thành tích xuất sắc trong công tác Hội và phong trào sinh viên Trường Đại học Sài Gòn năm học 2024 – 2025.
- Thành viên Ban Tổ chức cuộc thi trực tuyến “Chiếm lĩnh tri thức Asean” khoa Sư phạm Khoa học Tự nhiên</t>
  </si>
  <si>
    <t>TRẦN NGỌC TUYẾT NHƯ - 3123020019 - KHOA SƯ PHẠM KHOA HỌC TỰ NHIÊN - BẢNG KHAI THÀNH TÍCH CÁ NHÂN - 2024-2025.docx</t>
  </si>
  <si>
    <t>TRẦN NGỌC TUYẾT NHƯ - 3123020019 - KHOA SƯ PHẠM KHOA HỌC TỰ NHIÊN - MINH CHỨNG THÀNH TÍCH.docx</t>
  </si>
  <si>
    <t>Trần Thanh Tiến</t>
  </si>
  <si>
    <t>Không đạt</t>
  </si>
  <si>
    <t>TRẦN THANH TIẾN - 3123020031 - KHOA SPKHTN - BẢNG KHAI THÀNH TÍCH CÁ NHÂN - 2024-2025.docx</t>
  </si>
  <si>
    <t>TRẦN THANH TIẾN - 3123020031 - MINH CHỨNG THÀNH TÍCH CÁ NHÂN.docx</t>
  </si>
  <si>
    <t>Trần Thị Huỳnh Như</t>
  </si>
  <si>
    <t>- Đạt danh hiệu Thanh niên tiên tiến Khoa Sư phạm Khoa học Tự nhiên làm theo lời Bác năm học 2024 – 2025
- Đạt danh hiệu Thanh niên tiên tiến Trường Đại học Sài Gòn làm theo lời Bác năm học 2024 – 2025.</t>
  </si>
  <si>
    <t>CLB Khoa học trẻ Khoa Sư phạm Khoa học Tự nhiên</t>
  </si>
  <si>
    <t>Tham gia Hội thao Đảng viên Sinh viên trường Đại học Sài Gòn năm 2025 và đạt giải khuyến khích môn bóng đá</t>
  </si>
  <si>
    <t xml:space="preserve">Giấy khen của Chủ tịch Uỷ ban nhân dân xã Đắk  Mil  Đã có thành tích xuất sắc trong Chiến dịch Mùa hè Xanh xã Đắk Mil năm 2025.
Chiến dịch Xuân tình nguyện Khoa Sư phạm Khoa học Tự nhiên năm 2025.
Chương trình Tiếp sức mùa thi năm 2025.
Chương trình “Trung thu cho em” năm học 2024 – 2025
 Tham gia ít nhất 05 lượt hoạt động tình nguyện/ năm
Chiến dịch tình nguyện Mùa hè xanh trường Đại học Sài Gòn lần thứ 32 năm 2025: 12 ngày
Chương trình Tiếp sức mùa thi năm 2025.
Chương trình “Một ngày tình nguyện” năm học 2024 – 2025.
</t>
  </si>
  <si>
    <t xml:space="preserve">- Đạt Chứng chỉ Aptis ESOL General, trình độ B1, Aptis Council VietNam, cấp ngày 04/9/2024.
4. Số lớp kỹ năng thực hành xã hội hoàn thành trong năm học 2024 – 2025
- Thành viên chính thức hội thi “Nghiệp vụ Sư phạm” Trường Đại học Sài Gòn năm học 2024 – 2025
- Được Đoàn Thanh niên - Hội Sinh viên từ cấp trường trở lên khen thưởng về thành tích xuất sắc trong công tác Đoàn và phong trào thanh niên hoặc công tác Hội và phong trào sinh viên năm học 2024 – 2025
Cuộc thi trực tuyến “Chiếm lĩnh tri thức Asean
</t>
  </si>
  <si>
    <t>TRẦN THỊ HUỲNH NHƯ - 3121020023 - KHOA SƯ PHẠM KHOA HỌC TỰ NHIÊN - BẢNG KHAI THÀNH TÍCH CÁ NHÂN - 2024-2025.docx</t>
  </si>
  <si>
    <t>TRẦN THỊ HUỲNH NHƯ - 3121020023 - KHOA SƯ PHẠM KHOA HỌC TỰ NHIÊN - MINH CHỨNG THÀNH TÍCH.docx</t>
  </si>
  <si>
    <t>Trương Ngọc Thảo My</t>
  </si>
  <si>
    <t>Đạt danh hiệu Sao tháng thanh niên trường ĐH Sài Gòn
Thanh niên tiên tiến làm theo lời Bác khoa SP KHTN
Cuộc thi trực tuyến VN với chủ quyền biển đảo
Cuộc thi trực tuyến Tự hào Việt Nam</t>
  </si>
  <si>
    <t>Thành viên CLB Khoa học trẻ - khoa SPKHTN</t>
  </si>
  <si>
    <t>Thanh niên khỏe trường ĐHSG NH24-25</t>
  </si>
  <si>
    <t>Tham gia chương trình Tiếp sức mùa thi – 5 ngày tình nguyện
Tham gia 3 ngày tình nguyện – chiến dịch Xuân tình nguyện khoa SP KHTN năm 2025
Tham gia phát quà trung thu tại mái ấm Tâm Đức – 1 ngày tình nguyện
Tham gia bán cơm tại quán ăn từ thiện 2000 – 1 ngày tình nguyện
Cổ vũ Giải bóng đá Thanh niên Sinh viên Việt Nam lần III
Lễ khai giảng năm học mới 2025 – 2026, kỷ niệm 80 năm thành lập Bộ Quốc gia Giáo dục (chưa có danh sách chính thức)</t>
  </si>
  <si>
    <t xml:space="preserve">Chứng chỉ TOEIC
Tham gia báo cáo chuyên đề ngành Sinh
Người tham gia chương trình giao lưu văn hóa Việt - Ấn qua phim điện ảnh do khoa Khoa học xã hội và nghệ thuật tổ chứ
</t>
  </si>
  <si>
    <t>Trương Ngọc Thảo My - 3123060021 - BẢNG KHAI THÀNH TÍCH CÁ NHÂN - 2024-2025.docx</t>
  </si>
  <si>
    <t>Trương Ngọc Thảo My - 3123060021 - MINH CHỨNG THÀNH TÍCH CÁ NHÂN - 2025.docx</t>
  </si>
  <si>
    <t>Trương Thùy Trang</t>
  </si>
  <si>
    <t>Kết quả phân tích chất lượng Đoàn viên năm học 2024 - 2025 đạt Hoàn thành xuất sắc nhiệm vụ.
Đảm nhận vai trò Đội trưởng đội thi tìm hiểu về chủ nghĩa Mác - Lênin, tư tưởng Hồ Chí Minh khoa Sư phạm Khoa học Tự nhiên.
Đạt danh hiệu Thanh niên tiên tiến làm theo lời Bác cấp Khoa Sư phạm Khoa học Tự nhiên và cấp Trường Đại học Sài Gòn năm học 2024 – 2025.
Tham gia ủng hộ bão lũ thông qua quỹ của Chi bộ Sinh viên 4.
Tham gia các cuộc thi trực tuyến Tự hào Việt Nam, Quân đội nhân dân Việt Nam 80 năm xây dựng, chiến đấu và trưởng thành.</t>
  </si>
  <si>
    <t>Đảm nhận vai trò Chủ nhiệm Câu lạc bộ Khoa học trẻ và có đóng góp tích cực trong hoạt động của câu lạc bộ năm học 2024 - 2025.</t>
  </si>
  <si>
    <t>Tham gia Hội thao truyền thống Sinh viên trường Đại học Sài Gòn môn bóng bàn nội dung đơn nữ.
Điểm trung bình các học phần Giáo dục Thể chất đã hoàn thành đạt 9.6.
Đạt giải Nhất cuộc thi Giải bóng đá truyền thống khoa Sư phạm Khoa học Tự nhiên năm 2024.
Được cấp giấy chứng nhận Sinh viên khỏe năm 2024 cấp khoa.
Là vận động viên tham gia Hội thao cấp Trường Đợt 1 năm 2024 môn bóng bàn.</t>
  </si>
  <si>
    <t>Tham gia lực lượng diễu hành của thanh thiếu nhi Thành phố trong Lễ kỷ niệm 50 năm Ngày Giải phóng miền Nam, thống nhất đất nước.
Tham gia chương trình Tiếp sức mùa thi năm 2025 với 4 ngày tình nguyện.
Tham gia Chiến dịch Xuân tình nguyện Khoa Sư phạm Khoa học Tự nhiên năm 2025 với 3 ngày tình nguyện.
Tham gia chương trình Hành động nhỏ - Ý nghĩa to năm học 2024 – 2025 tương ứng 1 ngày tình nguyện.
Tham gia làm Tình nguyện viên Online Mùa hè xanh năm 2024 tương ứng 1 ngày tình nguyện.</t>
  </si>
  <si>
    <t>Đạt chứng chỉ ngoại ngữ Aptis ESOL General trình độ B1 do Aptis Council Việt Nam cấp ngày 17/11/2024.
Điểm trung bình các học phần Ngoại ngữ đạt 8.0/10.0.
Tham gia vòng sơ loại Olympic Tiếng Anh học sinh – sinh viên toàn quốc lần thứ 6.
Đạt giải Khuyến khích Hội thi Nghiệp vụ Sư phạm trường Đại học Sài Gòn với vai trò đội trưởng đội thi ngành Sư phạm Sinh học tháng 12/2024.
Đạt giải Nhì Cuộc thi sinh viên thanh lịch cấp khoa năm học 2024 – 2025.
Đảm nhận vai trò Báo cáo viên tại diễn đàn Chia sẻ giải pháp nâng cao chất lượng hoạt động các Câu lạc bộ - Đội – Nhóm cấp trường.
Có chứng chỉ Tin học trình độ Công nghệ thông tin cơ bản và chứng chỉ Ứng dụng Công nghệ thông tin trong dạy học.
Đạt danh hiệu Đoàn viên tiêu biểu trường Đại học Sài Gòn năm học 2024 - 2025
Được khen thưởng Sinh viên hoàn thành xuất sắc đợt Thực tập Sư phạm 1 tại trường Trung học Thực hành Sài Gòn và đợt Thực tập Sư phạm 2 tại trường Trung học phổ thông Trưng Vương.</t>
  </si>
  <si>
    <t>TRƯƠNG THÙY TRANG - 3121060033 - KHOA SƯ PHẠM KHOA HỌC TỰ NHIÊN -BẢNG KHAI THÀNH TÍCH CÁ NHÂN.docx</t>
  </si>
  <si>
    <t>TRƯƠNG THÙY TRANG - 3121060033 - KHOA SƯ PHẠM KHOA HỌC TỰ NHIÊN - MINH CHỨNG THÀNH TÍCH CÁ NHÂN.docx</t>
  </si>
  <si>
    <t>Vũ Hà Kiều Trang</t>
  </si>
  <si>
    <t xml:space="preserve">Giấy chứng nhận của Đoàn Khoa Sư phạm Khoa học Tự nhiên ngày 11/05/2025 về việc Đạt danh hiệu Thanh niên tiên tiến Khoa Sư phạm Khoa học Tự nhiên Trường Đại học Sài Gòn làm theo lời Bác năm học 2024 – 2025.
Giấy chứng nhận của Ban Thường vụ Đoàn trường – Ban Thư ký Hội sinh viên trường theo quyết định số 06-QĐCN/ĐTN-VP ngày 17/04/2025 về việc Đạt danh hiệu “Sao tháng thanh niên SGU – Nghĩ đúng Sống đẹp năm 2025”.
</t>
  </si>
  <si>
    <t>Đề tài: Sử dụng mô hình máy phát điện mini trong dạy học chuyên đề “Vật lí trong một số ngành nghề” Vật lí 10 theo giáo dục STEM. Vai trò: Thành viên. Số điểm: 98/100. Xếp loại: Xuất sắc.
Tên bài báo: Sử dụng mô hình máy phát điện mini trong dạy học chuyên đề "Vật lí trong một số ngành nghề" Vật lí 10 theo giáo dục STEM.
Nhóm tác giả: Th.S Bùi Thị Cẩm Huệ - Hồ Đông Quân, Nguyễn Hoàng Khánh Linh, Vũ Hà Kiều Trang, Nguyễn Thị Mỹ Trâm.
Tạp chí Thiết bị Giáo dục - Số 325 - Năm 2024 - Trang 10; 11; 39. Ngày phát hành: 20/12/2024. 
Giấy khen của Hiệu trưởng Trường Đại học Sài Gòn theo quyết định số 1224/QĐ-ĐHSG ngày 14/05/2025 về việc Đạt giải Giải Ba cuộc thi “Sinh viên nghiên cứu khoa học cấp trường năm 2025”.</t>
  </si>
  <si>
    <t>- Giải Bóng đá truyền thống Sinh viên khoa Sư phạm Khoa học Tự nhiên năm 2024, giải Ba</t>
  </si>
  <si>
    <t xml:space="preserve">Chiến dịch Xuân tình nguyện khoa Sư phạm Khoa học Tự nhiên năm 2025.
Chương trình Tiếp sức mùa thi 2025.
Ngày chủ nhật xanh lần thứ 156 - năm 2025
Chương trình “Một ngày tình nguyện” năm học 2024 – 2025.
Hành động nhỏ - Ý nghĩa to năm học 2024 - 2025
</t>
  </si>
  <si>
    <t xml:space="preserve">Chứng chỉ Aptis Esol
Mức trình độ: B1
Đơn vị cấp: British Council Vietnam Ho Chi Minh City
Ngày cấp: 12/10/2025
Chương trình tuyên truyền về sức khoẻ sinh sản với chủ đề “Phòng tránh các bệnh lây lan qua đường tình dục” HKII năm học 2024-2025
Cuộc thi trực tuyến Chiếm lĩnh tri thức ASEAN năm 2025.
6. Tiêu chuẩn ưu tiên
</t>
  </si>
  <si>
    <t>VŨ HÀ KIỀU TRANG - 3123020035 - KHOA SƯ PHẠM KHOA HỌC TỰ NHIÊN - BẢNG KHAI THÀNH TÍCH CÁ NHÂN - 2024-2025.docx</t>
  </si>
  <si>
    <t>VŨ HÀ KIỀU TRANG  – 3123020035 – KHOA SƯ PHẠM KHOA HỌC TỰ NHIÊN – MINH CHỨNG THÀNH TÍCH.docx</t>
  </si>
  <si>
    <t>Lê Minh Khánh Duy</t>
  </si>
  <si>
    <t>98.5</t>
  </si>
  <si>
    <t>4.0</t>
  </si>
  <si>
    <t xml:space="preserve">Giải nhì Hội thi OLYMPIC Mác – Lê Nin và Tư tưởng Hồ Chí Minh trường Đại học Sài Gòn năm 2025.
Giấy khen của Ban Chấp hành Đảng bộ Trường Đại học Sài Gòn theo quyết định số 557-QĐ/ĐU ngày 12/05/2025 về việc Đạt danh hiệu Điển hình Thanh niên tiên tiến Trường Đại học Sài Gòn làm theo lời Bác năm học 2024 – 2025.
Giấy chứng nhận của Đoàn Khoa Sư phạm Khoa học Tự nhiên ngày 11/05/2025 về việc Đạt danh hiệu Thanh niên tiên tiến Khoa Sư phạm Khoa học Tự nhiên Trường Đại học Sài Gòn làm theo lời Bác năm học 2024 – 2025.
</t>
  </si>
  <si>
    <t>Giải BA trong cuộc thi Olympic Sinh học Sinh viên toàn quốc lần thứ V năm 2025 tổ chức tại Trường Đại học Sư phạm, Đại học Huế. (Số 03/20255/QĐ-HSVVN ngày 24/8/2025)</t>
  </si>
  <si>
    <t>Thành viên đội tuyển kéo co đạt giải I – hội thao Đảng viên các chi bộ sinh viên (mở rộng) trường Đại học Sài Gòn năm 2025. (ngày 17/5/2025)</t>
  </si>
  <si>
    <t>Bằng khen đã có thành tích xuất sắc trong Chương trình “Tiếp sức mùa thi” năm 2024 của Hội sinh viên thành phố Hồ Chí Minh. (Số 13QĐ-TĐKT ngày 26/8/2024
- Chiến dịch Xuân tình nguyện khoa Sư phạm Khoa học Tự nhiên năm 2025.
- Chương trình Tiếp sức mùa thi 2025.</t>
  </si>
  <si>
    <t xml:space="preserve">- Chứng chỉ Aptis ESOL 
Giải Khuyến khích Hội thi Nghiệp vụ Sư phạm trường Đại học Sài Gòn năm học 2024 -2025
- Đã đạt danh hiệu “Sinh viên 5 tốt” Khoa Sư phạm Khoa học Tự nhiên năm học 2023 – 2024.
- Giấy khen đã có thành tích xuất sắc trong công tác Hội và phong trào sinh viên Trường Đại học Sài Gòn năm học 2024 – 2025.
- Giấy khen Đã đạt danh hiệu Cán bộ Hội tiêu biểu năm học 2024 – 2025.
- Giấy khen Đã có thành tích xuất sắc trong công tác Hội và phong trào sinh viên khoa Sư phạm Khoa học Tự nhiên nhiệm kì 2023 – 2025.
NGÀY HỘI SINH VIÊN VỚI NGOẠI NGỮ LẦN 10 - NĂM 2025, VỚI CHỦ ĐỀ "GENZITH HORIZON - GEN Z VƯƠN TỚI TƯƠNG LAI"
Ngày 17/5/2025
Tại Trường Đại học Y khoa Phạm Ngọc Thạch.
</t>
  </si>
  <si>
    <t>LÊ MINH KHÁNH DUY - 3122060003 - KHOA SƯ PHẠM KHOA HỌC TỰ NHIÊN - BẢNG KHAI THÀNH TÍCH.docx</t>
  </si>
  <si>
    <t>LÊ MINH KHÁNH DUY - 3122060003 - KHOA SƯ PHẠM KHOA HỌC TỰ NHIÊN - MINH CHỨNG THÀNH TÍCH.docx</t>
  </si>
  <si>
    <t>Đinh Thị Lan Anh</t>
  </si>
  <si>
    <t>KỸ THUẬT VÀ CÔNG NGHỆ</t>
  </si>
  <si>
    <t>ĐINH THỊ LAN ANH - 3123500003 - KỸ THUẬT VÀ CÔNG NGHỆ - BẢNG KHAI THÀNH TÍCH.docx</t>
  </si>
  <si>
    <t>ĐINH THỊ LAN ANH - 3123500003 - KỸ THUẬT VÀ CÔNG NGHỆ -MINH CHỨNG THÀNH TÍCH.docx</t>
  </si>
  <si>
    <t>12 SV5T KHOA
7 SV5TTB KHOA</t>
  </si>
  <si>
    <t>Nguyễn Đức Thắng</t>
  </si>
  <si>
    <t xml:space="preserve">Giấy Chứng nhận của Ban Thường vụ Đoàn trường - Ban Thư ký Hội Sinh viên trường theo quyết định số 06/QĐCN/ĐTN-VP ngày 17/04/2025 về Đạt danh hiệu Sao tháng thanh niên SGU Nghĩ đúng sống đẹp năm 2025.
Giấy Chứng nhận của Ban Thường vụ Đoàn khoa theo quyết định số 01/GCN/ĐTN ngày 27/04/2025 về Đạt danh hiệu Điển hình Thanh niên tiên tiến khoa Kỹ thuật và Công nghệ làm theo lời Bác năm học 2024 - 2025.
</t>
  </si>
  <si>
    <t xml:space="preserve">Giấy số 11/GCN-ĐHSG ngày 15/05/2025 về Thực hiện hoàn thành đề tài NCKH cấp trường sinh viên 
Đề tài “Đánh giá hiện trạng các điểm phát sinh chất thải rắn sinh hoạt trên địa bàn phường An Phú, thành phố Thủ Đức” 90,6 điểm, xếp loại Xuất sắc
</t>
  </si>
  <si>
    <t>Đạt giải 3 Kéo co hội thao Cụm hoạt động số 3 năm học 2024 - 2025.</t>
  </si>
  <si>
    <t xml:space="preserve">Giấy khen của Ban Chấp hành Đoàn trường theo quyết định số 14/QĐKT/ĐTN-VP ngày 08/8/2025 về “Đã đóng góp tích cực trong Chiến dịch tình nguyện mùa hè xanh trường Đại học Sài Gòn lần thứ 32 năm 2025.
</t>
  </si>
  <si>
    <t xml:space="preserve">Chứng chỉ Aptis Esol B1, được British Council Vietnam  Ho Chi Minh city cấp, ngày 5/9/2025
Giấy khen của Ban Chấp hành Hội Sinh viên trường Đại học Sài Gòn theo quyết định số 48/QĐ-BTK ngày 23/10/2025 về “Đã có thành tích xuất sắc trong công tác Hội và phong trào sinh viên trường Đại học Sài Gòn năm học 2024 - 2025.
Giấy khen của Ban Chấp hành Đoàn trường theo quyết định số 14/QĐKT/ĐTN-VP ngày 08/8/2025 về “Đã đóng góp tích cực trong Chiến dịch tình nguyện mùa hè xanh trường Đại học Sài Gòn lần thứ 32 năm 2025.
Giấy chứng nhận của Trung tâm hỗ trợ học sinh, sinh viên TP.HCM về việc tham gia Hội thảo chuyên đề Hội nhập quốc tế trong Ngày hội sinh viên với ngoại ngữ năm 2025. "Global Ready: Skills for International Integration", do SAC tổ chức, tại Đại học Y Phạm Ngọc Thạch, 17/5/2025
</t>
  </si>
  <si>
    <t>NGUYỄN ĐỨC THẮNG-3123340038-KHOA KỸ THUẬT VÀ CÔNG NGHỆ-BẢNG KHAI THÀNH TÍCH.docx</t>
  </si>
  <si>
    <t>NGUYỄN ĐỨC THẮNG-3123340038-KHOA KỸ THUẬT VÀ CÔNG NGHỆ-MINH CHỨNG THÀNH TÍCH.docx</t>
  </si>
  <si>
    <t>Ngô Thị Kim Tuyền</t>
  </si>
  <si>
    <t xml:space="preserve">Giấy Chứng nhận của Ban Thường vụ Đoàn khoa theo quyết định số 01/GCN/ĐTN ngày 27/04/2025 về Đạt danh hiệu Thanh niên tiên tiến khoa Kỹ thuật và Công nghệ làm theo lời Bác năm học 2024 - 2025.
Giấy chứng nhận số 45-QĐ/NVHSV ngày 15/05/2025 của Nhà văn hóa sinh viên Thành phố Hồ Chí Minh đã tham gia cuộc thi trực tuyến “Khi cờ giải phóng tung bay”- Kỷ niệm 50 năm  ngày giải phóng miền Nam, thống nhất Đất nước (30/4/1975-30/4/2025)
</t>
  </si>
  <si>
    <t>- Giấy chứng nhận ngày 7/11/2024 của Câu lạc bộ Sáng tạo trẻ Đoàn – Hội khoa Môi trường vì: “Đã có thành tích tốt trong hoạt động học thuật của Câu lạc bộ Sáng tạo trẻ khoa Môi trường năm 2024.”</t>
  </si>
  <si>
    <t xml:space="preserve">Đạt giải 3 Kéo co hội thao Cụm hoạt động số 3 năm học 2024 - 2025.
Giấy chứng nhận số 03/QĐCN-BTK ngày 11/11/2025 của Ban thư ký Hội sinh viên trường Đại học Sài Gòn đã tham gia sân chơi thanh niên khỏe trong khuôn khổ Ngày Hội Tân sinh viên năm 2025 chủ đề: “SGU’s Day 2025”.
</t>
  </si>
  <si>
    <t xml:space="preserve">Tiếp sức mùa thi năm 2025
Giấy chứng nhận tham gia chiến dịch TNV online “Người gieo mầm xanh” năm 2025 của Doanh nghiệp xã hội ước mơ vùng biên.
</t>
  </si>
  <si>
    <t xml:space="preserve">Chứng chỉ Aptis, nơi cấp British Council, năm đạt được 2024
3 học phần tiếng anh
Chứng nhận hoàn thành lớp tập huấn/chuyên đề “Phổ cập AI” do Trung ương Đoàn TNCS Hồ Chí Minh tổ chức.
Giấy chứng nhận tham gia chương trình trang bị kỹ năng nghề nghiệp chủ đề;” Khảo sát doanh nghiệp yêu thích 2025- ENTERPRISE OF CHOICE” do trung tâm Hỗ trợ học sinh, sinh viên TP.HCM tổ chức.
</t>
  </si>
  <si>
    <t>NGÔ THỊ KIM TUYỀN - 3123340048 - KHOA KỸ THUẬT VÀ CÔNG NGHỆ - BẢNG KHAI THÀNH TÍCH.docx</t>
  </si>
  <si>
    <t>NGÔ THỊ KIM TUYỀN-3123340048-KHOA KỸ THUẬT VÀ CÔNG NGHỆ-MINH CHỨNG THÀNH TÍCH.docx</t>
  </si>
  <si>
    <t>Ngô Thị Ngọc Tuyền</t>
  </si>
  <si>
    <t>NGÔ THỊ NGỌC TUYỀN-3123340049-KHOA KỸ THUẬT VÀ CÔNG NGHỆ-BẢNG KHAI THÀNH TÍCH_.docx</t>
  </si>
  <si>
    <t>NGÔ THỊ NGỌC TUYỀN-3123340049-KHOA KỸ THUẬT VÀ CÔNG NGHỆ-MINH CHỨNG THÀNH TÍCH.docx</t>
  </si>
  <si>
    <t>Nguyễn Thị Thảo Quỳnh</t>
  </si>
  <si>
    <t>3.81</t>
  </si>
  <si>
    <t>Kết quả đánh giá chất lượng Đoàn viên năm học 2024 - 2025 đạt Hoàn thành xuất sắc nhiệm vụ.
Đạt danh hiệu “Thanh niên tiên tiến làm theo lời Bác” cấp trường Đại học Sài Gòn năm học 2024 – 2025 theo Giấy chứng nhận số 76 – GCN/ĐU ngày 12/05/2025.</t>
  </si>
  <si>
    <t>Thực hiện đề tài nghiên cứu khoa học: “Đánh giá hiện trạng các điểm phát sinh chất thải rắn sinh hoạt trên địa bàn phường An Phú, thành phố Thủ Đức” đạt 90,6 điểm, loại Xuất sắc.</t>
  </si>
  <si>
    <t>Đạt danh hiệu “Thanh niên khỏe” trường Đại học Sài Gòn năm 2024 theo Giấy chứng nhận số 02 - QĐGCN/HSV ngày 05/10/2024.
Đạt giải Ba môn Cầu lông nữ tại Hội thao năm 2025 chào mừng Đại hội đại biểu Hội sinh viên Việt Nam trường Đại học Sài Gòn lần thứ IX theo Giấy khen số 42/QĐ-BTK ngày 13/07/2025.</t>
  </si>
  <si>
    <t>Nhận Giấy khen số 693/QĐ-UBND ngày 22/08/2025 của Ủy ban Nhân dân phường Chợ Lớn vì đã có thành tích xuất sắc trong hoạt động hè năm 2025.
Tham gia và nhận giấy chứng nhận hoàn thành chiến dịch Mùa hè xanh năm 2024.
Tham gia hỗ trợ nấu ăn chống bão Yagi tại phường Xóm Củi tương ứng 03 ngày tình nguyện.
Tham gia hoạt động trang trí Tết tại phường Xóm Củi tương ứng 02 ngày tình nguyện.
Tham gia hoạt động Thứ Bảy tình nguyện tại phường Xóm Củi và ra quân dọn vệ sinh xây dựng văn minh đô thị tại phường Phú Lâm.</t>
  </si>
  <si>
    <t>Đạt trình độ ngoại ngữ tiếng Anh Bậc 3 (tương đương B1).
Tham gia Chương trình giao lưu và tặng quà cho sinh viên Lào tại Ký túc xá Sinh viên Lào Thành phố Hồ Chí Minh ngày 01/02/2025.
Tham gia Ngày hội sinh viên với ngoại ngữ năm 2025 chủ đề Genzith HORIZON và Hội thảo chuyên đề Hội nhập quốc tế do Trung tâm hỗ trợ học sinh, sinh viên tổ chức.
Xuất sắc hoàn thành nhiệm vụ tại khu vực “ASEAN Explorer - Sinh viên Đại học Sài Gòn tự tin hội nhập” trong Ngày hội Tân Sinh viên SGU's Day 2024.
Đảm nhận chức vụ Ủy viên Ban Chấp hành Liên Chi hội Sinh viên khoa Kỹ thuật và Công nghệ.
Hoàn thành lớp tập huấn “Phổ cập AI” do Trung ương Đoàn tổ chức và lớp tập huấn kỹ năng xác định mục tiêu học tập tại Nhà văn hóa sinh viên TP. HCM.
Tham gia tập huấn chuyên đề “An toàn giao thông” và buổi chuyên đề “Ứng dụng kỹ năng số cho sinh viên năm 2024”.</t>
  </si>
  <si>
    <t>Trần Ngọc Minh Thư</t>
  </si>
  <si>
    <t>96</t>
  </si>
  <si>
    <t>3.4</t>
  </si>
  <si>
    <t>Kết quả đánh giá chất lượng Đoàn viên năm học 2024 - 2025 đạt Hoàn thành xuất sắc nhiệm vụ.
Đạt danh hiệu “Thanh niên tiên tiến làm theo lời Bác” cấp trường Đại học Sài Gòn năm học 2024 - 2025.</t>
  </si>
  <si>
    <t>Thực hiện đề tài nghiên cứu khoa học: “Đánh giá hiện trạng các điểm phát sinh chất thải rắn sinh hoạt trên địa bàn phường Hiệp Phú, thành phố Thủ Đức” đạt 90 điểm, loại Xuất sắc.</t>
  </si>
  <si>
    <t>Nhận Giấy khen số 02/QĐ-BTK ngày 25/01/2025 của Hội Sinh viên trường vì đã có thành tích xuất sắc trong Chiến dịch Xuân Tình nguyện lần thứ 17 năm 2025.
Tham gia và nhận giấy chứng nhận hoàn thành Chiến dịch Xuân Tình nguyện trường Đại học Sài Gòn lần thứ 17 năm 2025.
Tham gia hỗ trợ nấu ăn chống bão Yagi tại phường Xóm Củi tương ứng 03 ngày tình nguyện.
Tham gia trang trí Tết tại phường Xóm Củi tương ứng 02 ngày tình nguyện.
Tham gia hoạt động Thứ Bảy tình nguyện tại phường Xóm Củi và ra quân dọn vệ sinh xây dựng văn minh đô thị tại phường Phú Lâm.</t>
  </si>
  <si>
    <t>Đạt trình độ ngoại ngữ tiếng Anh Bậc 3 (tương đương B1).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SGU's Day 2024.
Đảm nhận chức vụ Liên Chi hội Phó Liên Chi hội Sinh viên khoa Kỹ thuật và Công nghệ.
Hoàn thành lớp tập huấn “Phổ cập AI” do Trung ương Đoàn tổ chức và buổi chuyên đề “Ứng dụng kỹ năng số cho sinh viên năm 2024”.
Tham gia tập huấn chuyên đề “An toàn giao thông và kỹ năng phòng tránh va chạm trong hoạt động tình nguyện”.</t>
  </si>
  <si>
    <t>Lê Thái Bảo Ngọc</t>
  </si>
  <si>
    <t>94</t>
  </si>
  <si>
    <t>3.8</t>
  </si>
  <si>
    <t>Kết quả đánh giá chất lượng Đoàn viên năm học 2024 - 2025 đạt Hoàn thành xuất sắc nhiệm vụ.
Đạt danh hiệu “Thanh niên tiên tiến làm theo lời Bác” cấp trường Đại học Sài Gòn năm học 2024 - 2025 theo Giấy chứng nhận số 78 – GCN/ĐU ngày 12/05/2025.
Là Đảng viên dự bị từ ngày 25/04/2025.</t>
  </si>
  <si>
    <t>Thực hiện đề tài nghiên cứu khoa học: “Hoạt động giáo dục nhận thức hướng tới xây dựng lối sống xanh dành cho học sinh khối THCS tại Trường THTH Sài Gòn – Quận 5 Thành phố Hồ Chí Minh” đạt 90,67 điểm, loại Xuất sắc.</t>
  </si>
  <si>
    <t>Nhận Giấy khen số 02/QĐ-BTK ngày 25/01/2025 của Hội Sinh viên trường vì đã có thành tích xuất sắc trong Chiến dịch Xuân Tình nguyện lần thứ 17 năm 2025.
Tham gia và nhận giấy chứng nhận hoàn thành Chiến dịch Xuân Tình nguyện trường Đại học Sài Gòn lần thứ 17 năm 2025.
Tham gia hỗ trợ nấu ăn chống bão Yagi tại phường Xóm Củi tương ứng 02 ngày tình nguyện.
Tham gia trang trí Tết tại phường Xóm Củi tương ứng 03 ngày tình nguyện.
Tham gia hoạt động Thứ Bảy tình nguyện tại phường Xóm Củi và ra quân dọn vệ sinh xây dựng văn minh đô thị tại phường Phú Lâm</t>
  </si>
  <si>
    <t>Đạt trình độ ngoại ngữ tiếng Anh Bậc 3 (tương đương B1).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SGU's Day 2024.
Đạt danh hiệu Cán bộ Đoàn tiêu biểu năm học 2024 – 2025 theo Giấy khen số 06 – QĐKT/ĐTN-VP.
Nhận Giấy khen vì có thành tích xuất sắc trong công tác Hội và phong trào sinh viên khoa Môi trường nhiệm kỳ 2023 – 2025.
Hoàn thành tập huấn “Phổ cập AI” do Trung ương Đoàn tổ chức và chuyên đề “Ứng dụng kỹ năng số cho sinh viên năm 2024”.
Tham gia tập huấn chuyên đề “An toàn giao thông và kỹ năng phòng tránh va chạm trong hoạt động tình nguyện”.</t>
  </si>
  <si>
    <t>Nguyễn Hoàng Phương Linh</t>
  </si>
  <si>
    <t>92</t>
  </si>
  <si>
    <t>Kết quả đánh giá chất lượng Đoàn viên cuối năm đạt Hoàn thành xuất sắc nhiệm vụ.
Đạt danh hiệu “Thanh niên tiên tiến Trường Đại học Sài Gòn làm theo lời Bác” năm học 2024 - 2025 theo Giấy chứng nhận số 79-GCN/ĐU ngày 12/05/2025.</t>
  </si>
  <si>
    <t>Hoàn thành khóa luận tốt nghiệp được hội đồng khoa học cấp Trường nghiệm thu đánh giá đạt 9.0 điểm với đề tài Đánh giá hiện trạng phát sinh, thu gom và phân loại chất thải rắn sinh hoạt trên PGS.TS. Phạm Nguyễn Kim Tuyến địa bàn phường An Lợi Đông, Thành Phố Thủ Đức</t>
  </si>
  <si>
    <t>Đạt thành tích xuất sắc trong Chiến dịch Xuân Tình nguyện trường Đại học Sài Gòn lần thứ 17 năm 2025 theo Giấy khen số 02/QĐ-BTK ngày 25/01/2025.
Tham gia và hoàn thành Chiến dịch tình nguyện Mùa hè xanh năm 2024 và Chiến dịch Xuân tình nguyện năm 2025.
Tham gia nấu ăn hỗ trợ người dân chịu ảnh hưởng của bão Yagi tương ứng 03 ngày tình nguyện.
Tham gia trang trí các khu vực check-in và làm lồng đèn tại chương trình Trang trí Tết tương ứng 02 ngày tình nguyện.
Tham gia chương trình Ra quân dọn vệ sinh xây dựng văn minh đô thị (nhặt rác, vệ sinh kênh rạch, xóa biển quảng cáo) tương ứng 01 ngày tình nguyện.
Tham gia hoạt động Thứ bảy tình nguyện trong năm học.</t>
  </si>
  <si>
    <t>Đạt trình độ ngoại ngữ tiếng Anh VSTEP trình độ B1.
Tham gia Chương trình giao lưu và tặng quà cho sinh viên Lào tại Ký túc xá Sinh viên Lào Thành phố Hồ Chí Minh ngày 01/02/2025.
Xuất sắc hoàn thành nhiệm vụ tại khu vực ASEAN Explorer - Sinh viên Đại học Sài Gòn tự tin hội nhập năm 2024.
Được khen thưởng vì đã có đóng góp tích cực trong hoạt động Tháng Thanh niên trường Đại học Sài Gòn năm 2025 theo Giấy khen số 08-QĐKT/ĐTN-VP ngày 18/04/2025.
Hoàn thành khóa học Ứng dụng AI cho Thanh niên Việt Nam do Trung ương Đoàn tổ chức.
Tham gia Tập huấn chuyên đề An toàn giao thông và buổi chuyên đề Ứng dụng kỹ năng số cho sinh viên năm 2024.
Có chứng chỉ tin học quốc tế MOS.</t>
  </si>
  <si>
    <t>Tô Nguyễn Thảo Quyên</t>
  </si>
  <si>
    <t>GIÁO DỤC TIỂU HỌC</t>
  </si>
  <si>
    <t>- Giấy chứng nhận của Ban thường vụ đoàn Khoa về việc Đã đạt danh hiệu “Điển hình thanh niên tiên tiến khoa Giáo dục Tiểu học làm theo lời Bác” năm học 2024 – 2025.
Tham gia chương trình Hành trình về nguồn - Du hành sử kí</t>
  </si>
  <si>
    <t>- Thực hiện đề tài “Thực trạng và giái pháp khắc phục lỗi viết câu, viết đoạn cho HS lớp 3” - Theo ngữ liệu Chân trời sáng tạo - đạt 9.5 điểm..
- Tham gia Cuộc thi Becoming Global V;
- Thành viên CLB “Sinh viên 5 tốt” khoa Giáo dục Tiểu học</t>
  </si>
  <si>
    <t>- Đã tích cực tham gia Hội thao “Youth Energy -Sức trẻ khoa Giáo dục Tiểu học”và đạt giải Ba môn Kéo co khoa Giáo dục Tiểu học năm học 2024 - 2025”</t>
  </si>
  <si>
    <t>- Tham gia chiến dịch Mùa hè xanh trường Đại học Sài Gòn lần thứ 32 năm 2024.
- Tham gia chiến dịch Xuân tình nguyện trường Đại học Sài Gòn lần thứ 17 năm 2025;
- Tham gia hiến máu tình nguyện;</t>
  </si>
  <si>
    <t>- Đạt chứng chỉ Ngoại ngữ Bậc 4 theo Khung năng lực ngoại ngữ bậc 6 dùng cho Việt Nam – Nơi cấp: Trung tâm ngoại ngữ trường Đại học Sài Gòn – Năm 2025.
- Giấy khen của Ban Chấp hành Hội Sinh viên trường theo quyết định số 48/QĐ-BTK ngày 23/10/2025 về việc Đã có thành tích xuất sắc trong công tác Hội và phong trào sinh viên Trường Đại học Sài Gòn năm học 2024 – 2025.
- Tham gia Cuộc thi Becoming Global V;
+ Chương trình Tọa đàm “Sơ cấp cứu – Hành trang học đường”.
+ Chương trình “Tọa đàm Ứng dụng Stem tromg dạy học”;
- Tham gia Cuộc thi Becoming Global V;</t>
  </si>
  <si>
    <t>TÔ NGUYỄN THẢO QUYÊN - 3121150147 - GDTH - BẢNG KHAI THÀNH TÍCH CÁ NHÂN  (1).docx</t>
  </si>
  <si>
    <t>TÔ NGUYỄN THẢO QUYÊN  - 3121150147 - GDTH - MINH CHỨNG THÀNH TÍCH CÁ NHÂN  (1).docx</t>
  </si>
  <si>
    <t>63 SV5T KHOA
15 SV5TTB KHOA</t>
  </si>
  <si>
    <t>Võ Hoàng Duy</t>
  </si>
  <si>
    <t>Minh chứng không phù hợp</t>
  </si>
  <si>
    <t>VÕ HOÀNG DUY - 3121150036 - GIÁO DỤC TIỂU HỌC - BẢNG KHAI THÀNH TÍCH CÁ NHÂN.docx</t>
  </si>
  <si>
    <t>VÕ HOÀNG DUY - 3121150036 - GIÁO DỤC TIỂU HỌC - MINH CHỨNG THÀNH TÍCH CÁ NHÂN.docx</t>
  </si>
  <si>
    <t>Trần Bùi Thảo My</t>
  </si>
  <si>
    <t>- Thanh niên tiên tiến Khoa Giáo dục Tiểu học làm theo lời Bác năm học 2024-2025 số 13 – GCN/ĐTN – ngày 13 tháng 4 năm 2025 do Ban Thường vụ Đoàn khoa Giáo dục Tiểu học cấp.
- Hành trình Sử Việt Mùa 2</t>
  </si>
  <si>
    <t xml:space="preserve">- Khóa luận tốt nghiệp đạt 9.7
- Đề tài: Thiết kế và tổ chức dự án học tập theo định hướng Giáo dục STEM trong môn Khoa học lớp 4 được đăng trên tạp chí Thiết bị Giáo dục – Số 331 kỳ 1 tháng 6/2025 (ISSN 1859 – 0810)
- CLB Sinh viên 5 tốt Khoa Giáo dục Tiểu học </t>
  </si>
  <si>
    <t>- Đồng diễn chào mừng 30/4
- 07 ngày tình nguyện TSMT</t>
  </si>
  <si>
    <t>Chứng chỉ tiếng anh Vstep
Giấy chứng nhận tham gia sân chơi “Sắc màu văn hóa: Explore the world - Live the culture”
- Đạt chứng chỉ Ứng dụng Công nghệ Thông tin trong dạy học.</t>
  </si>
  <si>
    <t>TRẦN BÙI THẢO MY - BẢNG KHAI THÀNH TÍCH.docx</t>
  </si>
  <si>
    <t>TRẦN BÙI THẢO MY - MINH CHỨNG THÀNH TÍCH CÁ NHÂN (TBTM) - 2025.docx</t>
  </si>
  <si>
    <t>Phan Thị Hồng Ánh</t>
  </si>
  <si>
    <t>Kết quả phân tích chất lượng Đoàn viên năm học 2024 - 2025 đạt Hoàn thành xuất sắc nhiệm vụ.
Đạt danh hiệu Điển hình Thanh niên tiên tiến Khoa Giáo dục Tiểu học Làm theo lời Bác năm học 2024 – 2025.
Đạt danh hiệu Thanh niên tiên tiến Trường Đại học Sài Gòn làm theo lời Bác năm học 2024 – 2025.
Đạt danh hiệu Đảng viên trẻ tiêu biểu Chi bộ sinh viên 3 năm 2024.
Đạt giấy khen Dân vận khéo năm 2025 trường Đại học Sài Gòn.
Tham gia chương trình Hành trình về nguồn – Du hành sử kí do khoa Giáo dục Tiểu học tổ chức.</t>
  </si>
  <si>
    <t>Thực hiện đề tài nghiên cứu khoa học Ứng dụng công nghệ AI thiết kế video hỗ trợ dạy học đọc hiểu văn bản thơ cho học sinh lớp 2 bộ sách chân trời sáng tạo.
Có bài báo khoa học về Ứng dụng công nghệ AI thiết kế video hỗ trợ dạy học đọc hiểu văn bản thơ cho học sinh lớp 2 đăng trên kỷ yếu hội thảo quốc tế đào tạo giáo viên tiểu học trong bối cảnh chuyển đổi số của Bộ Giáo dục và Đào tạo.
Đạt giải Nhất Hội thi Nghiệp vụ sư phạm năm học 2024 – 2025 khoa Giáo dục Tiểu học.
Đạt giải Năng khiếu sư phạm tốt nhất tại hội thi Nghiệp vụ sư phạm năm học 2024 – 2025 khoa Giáo dục Tiểu học.
Đảm nhận vai trò Chủ nhiệm Câu lạc bộ Sinh viên 5 tốt trong năm học 2024 – 2025.</t>
  </si>
  <si>
    <t>Đạt danh hiệu Thanh niên khỏe trường Đại học Sài Gòn năm 2024.
Đạt giải Nhì bộ môn Nhảy bao bố tiếp sức tại Hội thao Đảng viên các Chi bộ sinh viên mở rộng Trường Đại học Sài Gòn năm 2025.</t>
  </si>
  <si>
    <t>Tham gia chương trình Tiếp sức mùa thi trường Đại học Sài Gòn năm 2025 vào ngày 28/06/2025.
Tham gia chương trình Chào mừng kỉ niệm 20 năm ngày truyền thống Hội sinh viên trường với chủ đề Sinh viên hành động vì trường học xanh.
Tham gia chương trình Thứ Bảy tình nguyện Em vẽ ước mơ tại mái ấm Từ Hạnh ngày 19/10/2024.
Tham gia chương trình Thứ Bảy tình nguyện Lớp học sắc màu ngày 16/11/2024.
Tham gia chương trình Ngày Chủ nhật xanh với chủ đề Save water - Stay green giữ gìn nước sạch cho cuộc sống xanh.
Tham gia hiến máu tình nguyện trong năm học 2024 – 2025.
Tham gia đóng góp quyên góp cho các chương trình Xuân tình nguyện, học bổng Thắp sáng ước mơ và Tiếp sức đến trường.
Tham gia hoạt động Thứ Bảy tình nguyện Hoa yêu thương tại mái ấm Từ Hạnh.</t>
  </si>
  <si>
    <t>Đạt chứng chỉ tiếng Anh Aptis ESOL trình độ bậc B2.
Thành viên Ban Tổ chức chương trình VSTEP READING SKILLS - JOURNEY TO MASTERY.
Thành viên Ban Tổ chức cuộc thi Tiếng Anh Becoming Global lần thứ 5.
Có chứng chỉ Ứng dụng Công nghệ thông tin trong dạy học và chứng chỉ tin học cơ bản do Trung tâm tin học trường Đại học Sài Gòn cấp
Đạt danh hiệu Cán bộ Đoàn tiêu biểu và có thành tích xuất sắc trong công tác Đoàn và phong trào sinh viên Trường Đại học Sài Gòn năm học 2024 – 2025.
Tham gia tích cực sân chơi Sắc màu văn hóa EXPLORE THE WORLD – LIVE THE CULTURE.</t>
  </si>
  <si>
    <t>MẪU 01 - PHAN THỊ HỒNG ÁNH - 3122150011-GDTH-BẢNG KHAI THÀNH TÍCH.docx</t>
  </si>
  <si>
    <t>MẪU 3- PHAN THỊ HỒNG ÁNH- 3122150011- GDTH- MINH CHỨNG THÀNH TÍCH.docx</t>
  </si>
  <si>
    <t>Vương Huỳnh Bảo Hân</t>
  </si>
  <si>
    <t>Thực hiện đề tài nghiên cứu khoa học Ứng dụng công nghệ AI thiết kế video hỗ trợ dạy học đọc hiểu văn bản thơ cho học sinh lớp 2 bộ sách chân trời sáng tạo.
Có bài báo khoa học về Ứng dụng công nghệ AI thiết kế video hỗ trợ dạy học đọc hiểu văn bản thơ cho học sinh lớp 2 đăng trên kỷ yếu hội thảo quốc tế đào tạo giáo viên tiểu học trong bối cảnh chuyển đổi số của Bộ Giáo dục và Đào tạo
Đạt giải Nhất Hội thi Nghiệp vụ sư phạm năm học 2024 – 2025 khoa Giáo dục Tiểu học.
Đạt giải Năng khiếu sư phạm tốt nhất tại hội thi Nghiệp vụ sư phạm năm học 2024 – 2025 khoa Giáo dục Tiểu học.
Đảm nhận vai trò Chủ nhiệm Câu lạc bộ Sinh viên 5 tốt trong năm học 2024 – 2025.</t>
  </si>
  <si>
    <t>Đạt chứng chỉ tiếng Anh Aptis ESOL trình độ bậc B2.
Tham gia Ban Tổ chức chương trình VSTEP READING SKILLS - JOURNEY TO MASTERY.
Tham gia Ban Tổ chức cuộc thi Tiếng Anh Becoming Global lần thứ 5.
Có chứng chỉ Ứng dụng Công nghệ thông tin trong dạy học và chứng chỉ tin học cơ bản do Trung tâm tin học trường Đại học Sài Gòn cấp.
Đạt danh hiệu Cán bộ Đoàn tiêu biểu và có thành tích xuất sắc trong công tác Đoàn và phong trào sinh viên Trường Đại học Sài Gòn năm học 2024 – 2025.
Tham gia tích cực sân chơi Sắc màu văn hóa EXPLORE THE WORLD – LIVE THE CULTURE.</t>
  </si>
  <si>
    <t>_VƯƠNG HUỲNH BẢO HÂN - 3122150033 - KHOA GIÁO DỤC TIỂU HỌC - BẢNG KHAI THÀNH TÍCH CÁ NHÂN - 2024-2025.docx</t>
  </si>
  <si>
    <t>VƯƠNG HUỲNH BẢO HÂN - 3122150033 - KHOA GIÁO DỤC TIỂU HỌC - MINH CHỨNG THÀNH TÍCH CÁ NHÂN - 2025.docx</t>
  </si>
  <si>
    <t>Nguyễn Phan Thảo Huyên</t>
  </si>
  <si>
    <t>Kết quả phân tích chất lượng Đoàn viên năm học 2024 - 2025 đạt Hoàn thành xuất sắc nhiệm vụ.
Tham gia lớp bồi dưỡng nhận thức về Đảng do Đảng bộ Thành phố Hồ Chí Minh tổ chức và được cấp giấy chứng nhận ngày 30/09/2025.
Đạt danh hiệu Sinh viên 5 tốt khoa Giáo dục Tiểu học năm học 2024 - 2025.
Đạt danh hiệu Đoàn viên ưu tú cấp trường năm học 2024 - 2025.
Tham gia buổi Sinh hoạt chính trị với chủ đề Hành trình Người Cộng sản Trẻ ngày 02/03/2025.
Tham gia Minigame Uống nước nhớ nguồn chào mừng ngày Giỗ Tổ Hùng Vương.
Tham gia chuỗi hoạt động Sinh viên hiểu luật sống văn minh và Thử thách Check-in tuân thủ pháp luật.
Tham gia Minigame Bầu trời Thành phố Bác và Sân chơi SGU-ers Harmony Giao thoa bản sắc dân tộc Việt Nam.</t>
  </si>
  <si>
    <t>Là thành viên nhóm nghiên cứu đề tài cấp trường Ứng dụng phần mềm Wizer.me hỗ trợ dạy học viết bài văn lớp 5 bộ sách Chân trời sáng tạo đạt 92 điểm xếp loại tốt.
Có bài báo nghiên cứu khoa học đăng trên kỷ yếu tóm tắt Hội thảo khoa học quốc tế Đào tạo giáo viên trong bối cảnh chuyển đổi số tại trường Đại học Vinh ngày 25/10/2025.
Đạt giải Nhất Hội thi nghiệp vụ sư phạm khoa Giáo dục Tiểu học năm học 2024 - 2025.
Đạt giải Năng khiếu sư phạm tốt nhất khoa Giáo dục Tiểu học năm học 2024 - 2025.
Đạt giải Khuyến khích Sân chơi Tranh tài đỉnh sách năm học 2024 - 2025.
Tham gia Câu lạc bộ Học thuật Tôi - Người giáo viên Tiểu học và Câu lạc bộ Sách Ươm mầm tri thức khoa Giáo dục Tiểu học</t>
  </si>
  <si>
    <t>Đạt danh hiệu Thanh niên khỏe trường Đại học Sài Gòn năm học 2024 - 2025.
Đạt giải Nhất hội thi kéo co tại Hội thao Youth Energy - Sức trẻ khoa Giáo dục Tiểu học ngày 15/03/2025.
Tham gia thi đấu môn kéo co tại Hội thao truyền thống sinh viên trường Đại học Sài Gòn năm học 2024 - 2025.</t>
  </si>
  <si>
    <t>Tham gia hiến máu tình nguyện vào các ngày 16/05/2024, 28/12/2024 và 10/08/2025.
Tham gia chuỗi hoạt động Xuân tình nguyện 2025 chủ đề Xuân đoàn kết - Tết an lành từ ngày 23/12/2024 đến 15/01/2025.
Tham gia chương trình Thứ bảy tình nguyện Hoa yêu thương ngày 01/03/2025.
Tham gia chương trình Save water - Stay green Giữ gìn nước sạch - Cho cuộc sống xanh ngày 23/03/2025.
Tham gia Workshop Sắc màu hồi sinh ngày 26/10/2025 và Workshop Chạm ly – Chạm yêu thương.
Tham gia chương trình Đêm hội Trăng rằm năm 2024 và quyên góp chương trình Vui hội trung thu năm 2025.
Tham gia quyên góp ủng hộ đồng bào các tỉnh bị thiệt hại do lũ lụt và các học bổng Thắp sáng ước mơ, Tiếp sức đến trường.
Hỗ trợ công tác tiếp nhận vật phẩm ủng hộ bà con vùng bão lũ ngày 24/11/2025.</t>
  </si>
  <si>
    <t>Đạt chứng chỉ tiếng Anh Vstep trình độ bậc B1 do Trung tâm ngoại ngữ tin học trường Đại học Sài Gòn cấp năm 2025.
Đạt chứng chỉ Ứng dụng công nghệ thông tin trong dạy học năm 2024 và chứng chỉ Ứng dụng công nghệ thông tin cơ bản năm 2025.
Tham gia cuộc thi Tiếng Anh Becoming Global lần thứ 5 chủ đề Rise of the Wise ngày 30/03/2025.
Tham dự Hội thảo khoa học quốc tế Đào tạo giáo viên tiểu học trong bối cảnh chuyển đổi số.
Tham gia hoạt động tìm hiểu văn hóa Ấn Độ ngày 22/03/2025.
Tham gia các tọa đàm Kỹ năng giao tiếp trước công chúng, Sơ cứu học đường và Chăm sóc sức khỏe tâm thần.
Tham gia Ngày hội tân sinh viên SGU’s Day năm 2025 và cổ vũ các giải bóng đá Thanh niên Sinh viên Việt Nam, Sinh viên 7 người.</t>
  </si>
  <si>
    <t>Nguyễn Phan Thảo Huyên - 3122150042 - XÉT SV5T CẤP TRƯỜNG.docx</t>
  </si>
  <si>
    <t>Nguyễn Phan Thảo Huyên - 3122150042 - MINH CHỨNG  XÉT SV5T CẤP TRƯỜNG.docx</t>
  </si>
  <si>
    <t>Bùi Thanh Ngân</t>
  </si>
  <si>
    <t>Kết quả phân tích chất lượng Đoàn viên năm học 2024 - 2025 đạt Hoàn thành xuất sắc nhiệm vụ.
Đạt danh hiệu Thanh niên tiên tiến khoa Giáo dục Tiểu học làm theo lời Bác năm học 2024 – 2025 vào ngày 13/04/2025.
Đạt danh hiệu Sao tháng Thanh niên SGU nghĩ đúng – sống đẹp trường Đại học Sài Gòn năm 2025 theo quyết định số 06-QĐCN/ĐTN-VP ngày 17/04/2025.
Tham gia Buổi sinh hoạt chính trị Hành trình Người Cộng sản trẻ vào ngày 02/03/2025.</t>
  </si>
  <si>
    <t>Đạt giải Nhất hội thi Nghiệp vụ sư phạm khoa Giáo dục Tiểu học năm học 2024 - 2025 cùng đội thi Tinh Tú.
Đạt giải Năng khiếu sư phạm tốt nhất tại hội thi Nghiệp vụ sư phạm khoa Giáo dục Tiểu học năm học 2024 - 2025.
Là thành viên tham gia hoạt động tích cực tại Câu lạc bộ Sách Ươm mầm tri thức trong học kỳ 2 năm học 2024 - 2025.</t>
  </si>
  <si>
    <t>Đạt danh hiệu Thanh niên khỏe trường Đại học Sài Gòn năm 2025 sau khi tham gia tích cực Ngày hội Tân sinh viên SGU’s Day.</t>
  </si>
  <si>
    <t>Tham gia 05 ngày tình nguyện trong chương trình Tiếp sức mùa thi năm 2025 vào ngày 01/07/2025.
Tham gia chương trình Ngày Chủ nhật xanh với chủ đề Save water – Stay Green Giữ gìn nước sạch – Cho cuộc sống xanh vào ngày 23/03/2025.
Tham gia Ngày hội hướng nghiệp và việc làm lần 3 năm 2024 vào ngày 28/09/2024.</t>
  </si>
  <si>
    <t>Đạt chứng chỉ Ngoại ngữ Bậc 4 theo Khung năng lực ngoại ngữ 6 bậc dùng cho Việt Nam do Trung tâm ngoại ngữ trường Đại học Sài Gòn cấp năm 2025.
Điểm trung bình các học phần Ngoại ngữ đạt kết quả cao với Tiếng Anh 1 đạt 8.8, Tiếng Anh 2 đạt 9.2 và Tiếng Anh 3 đạt 9.0.
Có Giấy chứng nhận bồi dưỡng nhận thức về Đảng do Đảng ủy Ủy ban nhân dân Thành phố Hồ Chí Minh cấp.
Có chứng chỉ Ứng dụng Công nghệ thông tin trong dạy học năm 2024 do trường Đại học Sài Gòn cấp và chứng chỉ Ứng dụng Công nghệ thông tin cơ bản năm 2020.
Tham gia tọa đàm Sơ cứu cấp cứu – Hành trang học đường ngày 30/11/2024 và tọa đàm Ứng dụng Stem trong dạy học ngày 01/03/2025.
Hoàn thành khóa học Ứng dụng Trí tuệ nhân tạo cho Thanh niên Việt Nam trong chương trình Phổ cập AI.
Được công nhận là Đoàn viên ưu tú trường Đại học Sài Gòn đợt 1 năm học 2024 - 2025 vào ngày 31/12/2024.
Tham gia tích cực cuộc thi Tiếng Anh Becoming Global lần thứ 5 với chủ đề Rise of the wise khoa Giáo dục Tiểu học năm học 2024 – 2025.
Đạt danh hiệu Sinh viên 5 tốt khoa Giáo dục Tiểu học liên tiếp hai năm học 2023 - 2024 và 2024 - 2025.</t>
  </si>
  <si>
    <t>BÙI THANH NGÂN - 3122150070 - GDTH - BẢNG KHAI THÀNH TÍCH .docx</t>
  </si>
  <si>
    <t>BÙI THANH NGÂN - 3122150070 - GDTH - MINH CHỨNG THÀNH TÍCH .docx</t>
  </si>
  <si>
    <t>Nguyễn Trọng Tín</t>
  </si>
  <si>
    <t>Kết quả phân tích chất lượng Đoàn viên năm học 2024 - 2025 đạt Hoàn thành xuất sắc nhiệm vụ.
Đạt giải Khuyến khích Hội thi Olympic về các môn học Mác Lênin và Tư tưởng Hồ Chí Minh trường Đại học Sài Gòn năm 2025.
Tham gia tổ bình chọn Hội thi Olympic các môn học Mác Lênin.
Đạt danh hiệu Thanh niên tiên tiến làm theo lời Bác cấp khoa được tuyên dương ngày 13/04/2025.
Đạt giấy chứng nhận bồi dưỡng nhận thức về Đảng loại Giỏi.</t>
  </si>
  <si>
    <t>Đạt giải Quán quân cuộc thi Becoming Global lần thứ 5 cấp khoa diễn ra từ ngày 16/03 đến 30/03/2025.
Đạt giải Nhì Sân chơi Sắc màu văn hóa cấp khoa tại trường Đại học Sài Gòn ngày 10/05/2025.</t>
  </si>
  <si>
    <t>Đạt danh hiệu Thanh niên khỏe tại ngày hội SGU’s day năm 2025.</t>
  </si>
  <si>
    <t>Tham gia chương trình Tiếp sức mùa thi năm 2025 trong thời gian 4 ngày.
Tham gia hiến máu nhân đạo 3 lần vào các ngày 01/11/2024, 21/03/2025 và 21/10/2025.
Tham gia quyên góp học bổng Thắp sáng ước mơ và học bổng Tiếp sức đến trường.
Tham gia quyên góp cho câu lạc bộ Công tác xã hội 2 lần vào ngày 19/12/2024 và 01/04/2025.</t>
  </si>
  <si>
    <t>Có chứng chỉ tiếng Anh Aptis trình độ B2.
Điểm trung bình các học phần Ngoại ngữ đạt tuyệt đối 10.0.
Tham gia tích cực Sân chơi Sắc màu văn hóa cấp khoa ngày 10/05/2025.
Tham gia Ngày hội việc làm lần thứ 4 năm 2025 tại trường Đại học Sài Gòn.
Có giấy chứng nhận Ứng dụng Công nghệ thông tin trong dạy học.
Tham gia tọa đàm Ứng dụng Stem trong dạy học.
Đạt danh hiệu Đoàn viên ưu tú trường Đại học Sài Gòn năm học 2024 – 2025.
Đạt danh hiệu Sinh viên 5 tốt tiêu biểu khoa Giáo dục Tiểu học năm học 2024 - 2025.</t>
  </si>
  <si>
    <t>NGUYỄN TRỌNG TÍN-3122150143-GDTH-BẢNG KHAI THÀNH TÍCH.docx</t>
  </si>
  <si>
    <t>NGUYỄN TRỌNG TÍN-3122150143-GDTH-MINH CHỨNG THÀNH TÍCH.docx</t>
  </si>
  <si>
    <t>Lê Nguyễn Đoan Trang</t>
  </si>
  <si>
    <t>Kết quả phân tích chất lượng Đoàn viên năm học 2024 - 2025 đạt Hoàn thành xuất sắc nhiệm vụ.
Đạt danh hiệu Thanh niên tiên tiến khoa Giáo dục Tiểu học làm theo lời Bác năm học 2024 – 2025 cấp ngày 13/04/2025.
Đạt danh hiệu Sao tháng thanh niên SGU - Nghĩ đúng sống đẹp năm 2025 cấp ngày 17/04/2025.</t>
  </si>
  <si>
    <t>Có bài viết khoa học mang tên Ứng dụng công nghệ AI trong thiết kế video hỗ trợ dạy học đọc hiểu văn bản thơ cho học sinh lớp 2 trình bày tại Hội thảo khoa học quốc tế năm 2025.
Tham gia cuộc thi Tiếng Anh Becoming Global lần thứ 5 cấp khoa từ ngày 16/03 đến ngày 30/03/2025.
Tham gia Sân chơi Sắc màu văn hóa cấp khoa vào ngày 10/05/2025.
Là thành viên Ban chủ nhiệm Câu lạc bộ Sinh viên 5 tốt khoa Giáo dục Tiểu học trong cả hai học kỳ năm học 2024 – 2025.</t>
  </si>
  <si>
    <t>Đạt danh hiệu Thanh niên khỏe tại ngày hội SGU’s day năm 2025.
Đạt giải Nhất môn kéo co tại Hội thao Youth Energy - Sức thể khoa Giáo dục Tiểu học năm học 2024- 2025</t>
  </si>
  <si>
    <t>Tham gia Chiến dịch Tiếp sức mùa thi năm 2025 với tổng cộng 4 ngày tình nguyện.
Tham gia Lễ chào cờ Tôi yêu Tổ quốc tôi và Chương trình đồng diễn Hòa bình đẹp lắm tương ứng 2 ngày tình nguyện.
Tham gia chương trình Thứ bảy tình nguyện Hoa yêu thương tương ứng 1 ngày tình nguyện.</t>
  </si>
  <si>
    <t>Có chứng chỉ tiếng Anh Aptis trình độ bậc B1.
Điểm trung bình các học phần Ngoại ngữ đạt tuyệt đối 4.0 trên 4.0.
Tham gia hội thảo khoa học quốc tế Đào tạo giáo viên tiểu học trong bối cảnh chuyển đổi số năm 2025 do Trường Đại học Vinh tổ chức.
Hoàn thành chuyên đề bồi dưỡng Luyện chữ đẹp tại trường Đại học Sư phạm Thành phố Hồ Chí Minh.
Hoàn thành khóa Bồi dưỡng kỹ năng luyện chữ đẹp do Trung tâm Nghiên cứu và Phát triển Chữ viết phối hợp với Trung tâm Luyện Chữ đẹp Như Hảo tổ chức.
Có chứng chỉ Ứng dụng công nghệ thông tin cơ bản và chứng nhận Ứng dụng công nghệ thông tin trong dạy học.
Đạt danh hiệu Đoàn viên tiêu biểu và Đoàn viên ưu tú trường Đại học Sài Gòn năm học 2024 – 2025.
Tham gia cuộc thi Tiếng Anh Becoming Global lần thứ 5 chủ đề Rise of the Wise cấp khoa ngày 30/03/2025.</t>
  </si>
  <si>
    <t>LÊ NGUYỄN ĐOAN TRANG - MẪU 01 - BẢNG KHAI THÀNH TÍCH CÁ NHÂN - 2024-2025.docx</t>
  </si>
  <si>
    <t>LÊ NGUYỄN ĐOAN TRANG - MẪU 03 - MINH CHỨNG THÀNH TÍCH CÁ NHÂN - 2025 (2).docx</t>
  </si>
  <si>
    <t>Nguyễn Thị Huyền Trân</t>
  </si>
  <si>
    <t>Nguyễn Thị Tuyết Trinh</t>
  </si>
  <si>
    <t>Kết quả phân tích chất lượng Đoàn viên năm học 2024 - 2025 đạt Hoàn thành xuất sắc nhiệm vụ.
Đạt danh hiệu Thanh niên tiên tiến làm theo lời Bác cấp khoa năm học 2024 – 2025.
Tham gia buổi Sinh hoạt chính trị Hành trình Người Cộng sản trẻ.
Tham gia lớp bồi dưỡng nhận thức về Đảng.</t>
  </si>
  <si>
    <t>Là thành viên Câu lạc bộ học thuật Tôi – Người giáo viên Tiểu học.</t>
  </si>
  <si>
    <t>Đạt giải Nhất hội thao Youth Energy – Sức trẻ khoa giáo dục Tiểu học năm học 2024 - 2025.</t>
  </si>
  <si>
    <t>Tham gia chương trình Tiếp sức mùa thi năm 2025 với tổng cộng 4 ngày tình nguyện.
Tham gia chuỗi chương trình Xuân tình nguyện 2025 bao gồm cả 3 đợt hoạt động.
Tham gia chương trình Thứ bảy tình nguyện Em vẽ ước mơ ngày 19/10/2024.
Tham gia chương trình Thứ bảy tình nguyện Điều ước của em ngày 18/10/2025.
Thực hiện hoạt động hiến tặng tóc vì mục đích nhân đạo ngày 03/03/2025.
Tham gia chương trình Ngày Chủ nhật xanh với chủ đề Save water – Stay green – Giữ gìn nước sạch – Cho cuộc sống xanh ngày 23/03/2025.
Tham gia chương trình Ngày Chủ nhật xanh Workshop Sắc màu hồi sinh ngày 26/10/2025.
Tham gia quyên góp ủng hộ đồng bào bị ảnh hưởng bởi bão số 3 và lũ lụt miền Trung.
Tham gia quyên góp các quỹ học bổng Thắp sáng ước mơ và Tiếp sức đến trường.
Tham gia quyên góp cho chương trình Đêm hội trăng rằm và Góc sẻ chia của Đội Công tác Xã hội trường Đại học Sài Gòn.
Tham gia hỗ trợ trực tiếp công tác tiếp nhận vật phẩm ủng hộ bà con vùng bão lũ ngày 24/11/2025.</t>
  </si>
  <si>
    <t>Đạt chứng chỉ Ngoại ngữ tiếng Anh VSTEP bậc 3 do trường Đại học Sài Gòn cấp năm 2025.
Điểm trung bình các học phần Ngoại ngữ đạt tuyệt đối 10 trên 10.
Đạt giải Khuyến khích sân chơi Sắc màu văn hóa Explore The World – Live The Culture năm 2025.
Tham gia cuộc thi Tiếng Anh Becoming Global lần thứ 5 chủ đề Rise Of The Wise ngày 16/03/2025.
Tham gia chương trình Tiếng Anh đầu vào Explore And Unlock ngày 18/10/2024.
Có chứng chỉ Ứng dụng Công nghệ thông tin cơ bản và chứng chỉ Ứng dụng Công nghệ thông tin trong dạy học.
Hoàn thành chương trình bồi dưỡng kỹ năng luyện chữ đẹp và tiền tiểu học chuyên sâu với xếp loại xuất sắc.
Tham gia tọa đàm Ứng dụng STEM trong dạy học và tọa đàm Sơ cứu cấp cứu – Hành trang học đường.
Đạt danh hiệu Đoàn viên ưu tú năm học 2024 – 2025.
Đạt danh hiệu Sinh viên 5 tốt liên tiếp hai năm học 2023 – 2024 và 2024 – 2025.</t>
  </si>
  <si>
    <t>NGUYỄN THỊ TUYẾT TRINH - 3122150158 - GIÁO DỤC TIỂU HỌC - BẢNG KHAI THÀNH TÍCH.docx</t>
  </si>
  <si>
    <t>NGUYỄN THỊ TUYẾT TRINH - 3122150158 - MINH CHỨNG THÀNH TÍCH CÁ NHÂN -.docx</t>
  </si>
  <si>
    <t>Nguyễn Ngọc Kim Trúc</t>
  </si>
  <si>
    <t>Nguyễn Ngọc Phương Anh</t>
  </si>
  <si>
    <t>Kết quả phân tích chất lượng Đoàn viên năm học 2024 - 2025 đạt Hoàn thành xuất sắc nhiệm vụ.
Đạt giải Khuyến khích Hội thi Olympic về các môn học Mác Lênin và Tư tưởng Hồ Chí Minh trường Đại học Sài Gòn năm 2025.
Tham gia tổ bình chọn Hội thi Olympic các môn học Mác Lênin.
Đạt danh hiệu Thanh niên tiên tiến làm theo lời Bác cấp khoa được tuyên dương ngày 13/04/2025.</t>
  </si>
  <si>
    <t>Đạt giải Ba hội thi Nghiệp vụ sư phạm cấp khoa.
Đạt giải Xử lí tình huống sư phạm hay nhất tại hội thi Nghiệp vụ sư phạm cấp khoa.
Đạt giải Ba sân chơi Tranh Tài Đỉnh Sách trường Đại học Sài Gòn.
Là thành viên hoạt động tại Câu lạc bộ sinh viên 5 tốt cấp khoa.</t>
  </si>
  <si>
    <t>Đạt giải Ba môn bóng đá nữ tại Hội thao truyền thống trường Đại học Sài Gòn ngày 23/03/2025.</t>
  </si>
  <si>
    <t>Đạt danh hiệu Chiến sĩ giỏi trong chiến dịch Mùa Hè Xanh năm 2025.
Được Đoàn trường tặng giấy khen về đóng góp tích cực trong chiến dịch tình nguyện Mùa hè xanh.
Hoàn thành chiến dịch tình nguyện Mùa Hè Xanh trường Đại học Sài Gòn diễn ra từ ngày 13/06 đến 03/08/2025.
Tham gia bán bánh tráng gây quỹ trong thời gian 2 tuần.
Tham gia chương trình Em vẽ ước mơ tương ứng 1 ngày tình nguyện.
Tham gia chương trình Ngày Chủ nhật xanh với chủ đề Giữ gìn nước sạch - Cho cuộc sống xanh tương ứng 1 ngày tình nguyện.
Thực hiện hoạt động hiến tóc nhân đạo tương ứng 1 ngày tình nguyện.</t>
  </si>
  <si>
    <t>Đạt chứng chỉ tiếng Anh VSTEP trình độ bậc 4 tương đương B2 do trường Đại học Sài Gòn cấp năm 2024.
Điểm tổng kết các học phần Tiếng Anh 1, Tiếng Anh 2 và Tiếng Anh 3 đạt tuyệt đối 10 trên 10.
Đạt ngôi vị Quán quân cuộc thi Tiếng Anh Becoming Global lần thứ 5 cấp khoa diễn ra từ ngày 16/03 đến 10/03/2025.
Đạt giải Ba sân chơi Sắc màu văn hóa cấp khoa tại trường Đại học Sài Gòn ngày 10/05/2025.
Tham gia Ngày hội việc làm lần thứ 4 năm 2025 tại trường Đại học Sài Gòn.
Đạt giải Nhì hội thi Tiếng hát Sinh viên trường Đại học Sài Gòn ngày 09/05/2025.
Hoàn thành tọa đàm Sơ cứu học đường hành trang vững bước và tọa đàm Ứng dụng trí tuệ nhân tạo trong dạy học.
Có giấy chứng nhận Ứng dụng Công nghệ thông tin trong dạy học.
Tham gia cuộc thi Rung chuông vàng với chủ đề Vượt rào cản, sáng tương lai.
Đạt danh hiệu Đoàn viên tiêu biểu và Đoàn viên ưu tú trường Đại học Sài Gòn năm học 2024 – 2025.</t>
  </si>
  <si>
    <t>NGUYỄN NGỌC PHƯƠNG ANH - 3122150005 - GIÁO DỤC TIỂU HỌC - BẢNG KHAI THÀNH TÍCH.docx</t>
  </si>
  <si>
    <t>NGUYỄN NGỌC PHƯƠNG ANH - 3122150005 - GIÁO DỤC TIỂU HỌC - MINH CHỨNG THÀNH TÍCH.docx</t>
  </si>
  <si>
    <t>Nguyễn Thị Thùy Linh</t>
  </si>
  <si>
    <t>Kết quả phân tích chất lượng Đoàn viên năm học 2024 - 2025 đạt Hoàn thành xuất sắc nhiệm vụ.
Đạt danh hiệu Sinh viên 5 tốt khoa Giáo dục Tiểu học năm học 2024 - 2025 được tuyên dương ngày 27/11/2025.
Tham gia và đạt giấy chứng nhận buổi Sinh hoạt chính trị với chủ đề Hành trình Người Cộng sản trẻ.
Tham gia và đạt giấy chứng nhận cuộc thi From Roots We Rise, To Future We Shine</t>
  </si>
  <si>
    <t>Đạt giải Khuyến khích cuộc thi Sân chơi tranh tài đỉnh sách năm học 2024 - 2025.
Là thành viên hoạt động tích cực tại Câu lạc bộ Sinh viên 5 tốt khoa Giáo dục Tiểu học.
Là thành viên hoạt động tích cực tại Câu lạc bộ Học thuật Tôi - Người giáo viên Tiểu học khoa Giáo dục Tiểu học.
Là thành viên hoạt động tích cực tại Câu lạc bộ Sách Ươm mầm tri thức khoa Giáo dục Tiểu học.</t>
  </si>
  <si>
    <t>Đạt danh hiệu Thanh niên khỏe trường Đại học Sài Gòn năm học 2024 - 2025.
Đạt giải Khuyến khích nội dung kéo co tại Hội thao Youth Energy - Sức trẻ khoa Giáo dục Tiểu học ngày 15/03/2025.</t>
  </si>
  <si>
    <t>Tham gia và đạt giấy chứng nhận Chiến dịch Tiếp sức mùa thi năm 2025 từ ngày 21/06/2025 đến 22/07/2025 với 4 ngày tình nguyện.
Tham gia Chiến dịch Xuân tình nguyện trường Đại học Sài Gòn lần thứ 17 năm 2025 chủ đề Đoàn kết - Tết an lành tương ứng 1 ngày tình nguyện.
Tham gia chương trình Thứ bảy tình nguyện Điều ước của em ngày 18/10/2025 tương ứng 1 ngày tình nguyện.
Tham gia chương trình Thứ bảy tình nguyện Em vẽ ước mơ ngày 19/10/2024 tương ứng 1 ngày tình nguyện.
Tham gia chương trình Thứ bảy tình nguyện Hoa yêu thương ngày 01/03/2025 tương ứng 1 ngày tình nguyện.
Tham gia chương trình Ngày Chủ nhật xanh với chủ đề Giữ gìn nước sạch - Cho cuộc sống xanh ngày 23/03/2025 tương ứng 1 ngày tình nguyện.
Tham gia hiến máu tình nguyện ngày 16/05/2025 và nhận giấy chứng nhận.</t>
  </si>
  <si>
    <t>Đạt chứng chỉ tiếng Anh Vstep trình độ bậc 4 tương đương B2 do Trung tâm ngoại ngữ tin học trường Đại học Sài Gòn cấp năm 2025.
Đạt giải Nhì tại Hội thi Tiếng hát Sinh viên trường Đại học Sài Gòn ngày 09/05/2025.
Tham gia và đạt giấy chứng nhận cuộc thi Tiếng Anh Becoming Global lần thứ 5 chủ đề Rise Of The Wise ngày 30/03/2025
Tham gia sân chơi Sắc màu văn hóa Explore The World - Live The Culture khoa Giáo dục Tiểu học ngày 10/05/2025.
Có giấy chứng nhận Ứng dụng công nghệ thông tin trong dạy học năm 2024 và chứng chỉ Ứng dụng công nghệ thông tin cơ bản năm 2025.
Tham gia các tọa đàm Sơ cứu học đường hành trang vững bước và tọa đàm Ứng dụng Stem trong dạy học.
Tham gia cuộc thi Rung chuông vàng với chủ đề Vượt rào cản sáng tương lai.
Tham gia và đạt thành tích tại cuộc thi Nét chữ tài hoa ngày 26/10/2024.</t>
  </si>
  <si>
    <t>Lê Văn Luận</t>
  </si>
  <si>
    <t>Cao Ngọc Thanh Thảo</t>
  </si>
  <si>
    <t>Kết quả phân tích chất lượng Đoàn viên năm học 2024 - 2025 đạt Hoàn thành xuất sắc nhiệm vụ.
Đạt danh hiệu Sao tháng thanh niên SGU Nghĩ đúng Sống đẹp năm 2025 theo quyết định số 06-QĐCN/ĐTN-VP của Đoàn trường và Hội Sinh viên trường.
Tham gia buổi sinh hoạt chính trị Hành trình Người Cộng sản trẻ do Khoa Giáo dục Tiểu học tổ chức.
Tham gia cuộc thi trắc nghiệm tương tác trực tuyến tìm hiểu 80 năm ngày Tổng tuyển cử đầu tiên bầu Quốc hội Việt Nam.
Tham gia cuộc thi trực tuyến Tuổi trẻ học tập và làm theo tư tưởng, đạo đức, phong cách Hồ Chí Minh năm học 2024 – 2025.
Hoàn thành việc học tập chuyên đề học tập và làm theo tư tưởng, đạo đức, phong cách Hồ Chí Minh năm 2024 do Trung ương Đoàn tổ chức.</t>
  </si>
  <si>
    <t>Đạt giải Nhì cuộc thi thiết kế video clip Cùng sách đến trường – Một ngày làm Sgu-er do Câu lạc bộ Sách Ươm mầm tri thức tổ chức tháng 11/2024.
Là thành viên hoạt động tích cực tại Câu lạc bộ Sách Ươm mầm tri thức khoa Giáo dục Tiểu học trong cả hai học kỳ năm học 2024 – 2025.</t>
  </si>
  <si>
    <t>Được công nhận đã tham gia sân chơi Thanh niên khỏe trong khuôn khổ Ngày hội Tân sinh viên SGU’s Day 2025 theo quyết định số 03/QĐCN-BTK.</t>
  </si>
  <si>
    <t>Được Ban Chấp hành Đoàn trường Đại học Sài Gòn tặng giấy khen vì đã đóng góp tích cực trong Chiến dịch tình nguyện Mùa hè xanh lần thứ 32 năm 2025.
Tham gia chương trình Tiếp sức mùa thi năm 2025 do Hội Sinh viên Việt Nam Thành phố Hồ Chí Minh tổ chức với 4 ngày tình nguyện.
Hoàn thành Chiến dịch tình nguyện Mùa hè xanh lần thứ 32 năm 2025 do trường Đại học Sài Gòn tổ chức.
Tham gia ngày Chủ nhật xanh lần thứ 156 năm 2025 với chủ đề Save water – Stay green tương ứng 1 ngày tình nguyện.
Tham gia chuỗi chương trình Xuân tình nguyện 2025 do Đoàn Hội khoa Giáo dục Tiểu học tổ chức tương ứng 1 ngày tình nguyện.</t>
  </si>
  <si>
    <t>Có chứng chỉ tiếng Anh Aptis ESOL trình độ bậc B2 do Hội đồng Anh cấp năm 2025.
Điểm trung bình các học phần Ngoại ngữ đạt tuyệt đối 10 trên 10.
Hoàn thành khóa học Ứng dụng Trí tuệ nhân tạo cho Thanh niên Việt Nam do Trung ương Đoàn cấp năm 2025.
Có chứng chỉ Ứng dụng công nghệ thông tin cơ bản và chứng chỉ Ứng dụng công nghệ thông tin trong dạy học do trường Đại học Sài Gòn cấp.
Hoàn thành chương trình Bồi dưỡng nhận thức về Đảng do Đảng ủy Ủy ban nhân dân Thành phố Hồ Chí Minh tổ chức với xếp loại Giỏi
Tham gia tọa đàm Ứng dụng trí tuệ nhân tạo trong dạy học do Đoàn Hội khoa Giáo dục Tiểu học tổ chức tháng 10/2025
Tham gia sân chơi SGU-ers Harmony giao thoa bản sắc dân tộc Việt Nam trong Ngày hội Tân sinh viên SGU’s Day 2025.
Tham gia cuộc thi Tiếng Anh Becoming Global lần thứ 5 chủ đề Rise of the wise năm học 2024 – 2025.
Đạt danh hiệu Sinh viên 5 tốt khoa Giáo dục Tiểu học hai năm học liên tiếp 2023 - 2024 và 2024 - 2025.
Được công nhận là Đoàn viên ưu tú trường Đại học Sài Gòn năm học 2024 - 2025.</t>
  </si>
  <si>
    <t>Bùi Nguyễn Phương Thùy</t>
  </si>
  <si>
    <t>Kết quả phân tích chất lượng Đoàn viên năm học 2024 - 2025 đạt Hoàn thành xuất sắc nhiệm vụ.
Đạt danh hiệu Thanh niên tiên tiến khoa Giáo dục Tiểu học làm theo lời Bác năm học 2024 – 2025 theo quyết định số 27-GCN/ĐTN của Ban Thường vụ Đoàn trường.
Tham gia buổi sinh hoạt chính trị Hành trình Người Cộng sản trẻ do Khoa Giáo dục Tiểu học tổ chức.
Là người thuyết minh cho Công trình Thanh niên Không gian văn hóa tư tưởng Hồ Chí Minh với chủ đề Nhi đồng – Theo dấu chân Bác.
Hoàn thành việc học tập chuyên đề học tập và làm theo tư tưởng, đạo đức, phong cách Hồ Chí Minh năm 2024.</t>
  </si>
  <si>
    <t>Là đồng tác giả bài tham luận Vận dụng AI trong thiết kế học liệu số trong dạy học môn tự nhiên và xã hội lớp 3 đăng trong kỷ yếu Hội thảo khoa học Quốc tế tại Đại học Vinh ngày 25/10/2025.
Đạt giải Nhì cuộc thi Nét chữ tài hoa do Câu lạc bộ Học thuật Tôi – Người giáo viên Tiểu học tổ chức tháng 10/2024.
Là thành viên hoạt động tích cực tại Câu lạc bộ Sách Ươm mầm tri thức khoa Giáo dục Tiểu học trong cả hai học kỳ năm học 2024 – 2025.</t>
  </si>
  <si>
    <t>Đạt giải Nhì môn Kéo co tại Hội thao Youth Energy – Sức trẻ khoa Giáo dục Tiểu học năm học 2024 – 2025 theo quyết định số 04-GCN/GDTH.</t>
  </si>
  <si>
    <t>Đạt danh hiệu Chiến sĩ giỏi tiêu biểu Chiến dịch Mùa hè xanh trường Đại học Sài Gòn lần thứ 32 năm 2025.
Tham gia hiến máu tình nguyện tại Bệnh viện Truyền máu huyết học vào tháng 05/2025 và tháng 09/2025.
Tham gia chương trình Tiếp sức mùa thi năm 2025 do Hội sinh viên Việt Nam Thành phố Hồ Chí Minh tổ chức với tổng cộng 7 ngày tình nguyện.
Hoàn thành Chiến dịch tình nguyện Mùa hè xanh lần thứ 32 năm 2025 do trường Đại học Sài Gòn tổ chức.
Tham gia các chương trình gây quỹ Đêm hội trăng rằm, quyên góp học bổng Thắp sáng ước mơ và Tiếp sức đến trường tháng 09/2024.
Tham gia chuỗi chương trình Thứ Bảy tình nguyện bao gồm các chủ đề Em vẽ ước mơ, Lớp học sắc màu và Điều ước của em.
Tham gia ngày Chủ nhật xanh lần thứ 156 năm 2025 với chủ đề Save water – Stay green.</t>
  </si>
  <si>
    <t>Có chứng chỉ tiếng Anh Aptis ESOL trình độ bậc B1 do Hội đồng Anh cấp năm 2024.
Điểm trung bình các học phần Ngoại ngữ đạt tuyệt đối 10 trên 10.
Là tác giả bài báo tham luận và trực tiếp tham gia Hội thảo khoa học Quốc tế Đào tạo giáo viên tiểu học trong bối cảnh chuyển đổi số tại Nghệ An ngày 25/10/2025.
Hoàn thành Khóa học ứng dụng Trí tuệ nhân tạo cho Thanh niên Việt Nam do Trung ương Đoàn cấp năm 2025.
Có chứng chỉ Ứng dụng công nghệ thông tin cơ bản do trường Đại học Sư phạm Thành phố Hồ Chí Minh cấp và chứng chỉ Ứng dụng công nghệ thông tin trong dạy học do trường Đại học Sài Gòn cấp.
Tham gia các tọa đàm Ứng dụng STEM trong dạy học và Sơ cứu học đường – Hành trang vững bước.
Tham gia cuộc thi Tiếng Anh Becoming Global lần thứ 5 chủ đề Rise of the wise và sân chơi Sắc màu văn hóa Explore the word – Live the Culture.
Được công nhận là Đoàn viên ưu tú trường Đại học Sài Gòn Đợt 2 năm học 2024 – 2025.
Đạt danh hiệu Sinh viên 5 tốt khoa Giáo dục Tiểu học hai năm liên tiếp 2023 - 2024 và 2024 - 2025.</t>
  </si>
  <si>
    <t>Lê Thị Huyền Trang</t>
  </si>
  <si>
    <t>Kết quả phân tích chất lượng Đoàn viên năm học 2024 - 2025 đạt Hoàn thành xuất sắc nhiệm vụ được giao.
Đạt danh hiệu Thanh niên tiên tiến làm theo lời Bác năm học 2024 - 2025 vào ngày 13/04/2025.
Đạt giải Nhì cuộc thi From roots we rise, to future we shine.
Tham gia buổi sinh hoạt chính trị Hành trình Người cộng sản trẻ.
Tham gia Lớp bồi dưỡng nhận thức về Đảng.
Thực hiện bài kiểm tra Tư tưởng đạo đức Hồ Chí Minh trên ứng dụng Thanh niên Việt Nam.</t>
  </si>
  <si>
    <t>Đạt giải Nhất trong cuộc thi Sân chơi Sắc màu văn hóa Explore the world – Live the culture do Câu lạc bộ Sinh viên 5 tốt khoa Giáo dục Tiểu học tổ chức.
Là thành viên Câu lạc bộ học thuật Tôi – Người giáo viên Tiểu học.</t>
  </si>
  <si>
    <t>Đạt giải Khuyến khích hội thao Youth Energy – Sức trẻ khoa Giáo dục Tiểu học năm 2025 vào ngày 15/03/2025</t>
  </si>
  <si>
    <t>Tham gia chương trình Thứ bảy tình nguyện Em vẽ ước mơ ngày 19/10/2024 tương ứng 1 ngày tình nguyện.
Tham gia chương trình Thứ bảy tình nguyện Lớp học sắc màu ngày 16/11/2024 tương ứng 1 ngày tình nguyện.
Tham gia chương trình Ngày chủ nhật xanh với chủ đề Save water – Stay green – Giữ gìn nước sạch – Cho cuộc sống xanh ngày 23/03/2025 tương ứng 1 ngày tình nguyện.
Tham gia chương trình Thứ bảy tình nguyện Điều ước của em ngày 18/10/2025 tương ứng 1 ngày tình nguyện.
Tham gia chương trình Thứ bảy tình nguyện Hoa yêu thương ngày 01/03/2025 tương ứng 1 ngày tình nguyện.
Tham gia chương trình Ngày chủ nhật xanh Workshop Sắc màu hồi sinh ngày 26/10/2025 tương ứng 1 ngày tình nguyện.
Tham gia quyên góp cho các quỹ học bổng Thắp sáng ước mơ và Tiếp sức đến trường.
Tham gia quyên góp cho chương trình Đêm hội trăng rằm và Xuân tình nguyện.
Tham gia quyên góp ủng hộ đồng bào lũ lụt miền Trung và Góc sẻ chia của Đội Công tác Xã hội.</t>
  </si>
  <si>
    <t>Đạt chứng chỉ tiếng Anh VSTEP trình độ bậc 3 do trường Đại học Sài Gòn cấp năm 2025.
Điểm trung bình các học phần Ngoại ngữ đạt tuyệt đối 4.0 trên 4.0.
Đạt giải Nhất trong cuộc thi Sân chơi Sắc màu văn hóa Explore the world – Live the culture.
Tham gia chương trình VSTEP Reading Skills – Journey to Mastery từ ngày 24/04 đến 27/04/2025.
Tham gia cuộc thi Rung chuông vàng Vượt rào cản - Sáng tương lai ngày 20/04/2025.
Tham gia cuộc thi Becoming Global lần thứ 5 chủ đề Rise of the wise ngày 16/03/2025.
Tham gia cuộc thi Nét đẹp sinh viên sư phạm khoa Giáo dục Tiểu học năm 2025 từ ngày 11/03 đến 14/03/2025.
Hoàn thành khóa học Ứng dụng Công nghệ thông tin cơ bản và Ứng dụng Công nghệ thông tin trong dạy học.
Tham gia tọa đàm Sơ cứu cấp cứu – Hành trang học đường và tọa đàm STEAM trong dạy học.
Tham gia chương trình Campus Tour 2025 chủ đề Làm chủ AI, làm chủ sự nghiệp.
Đạt danh hiệu Đoàn viên ưu tú năm học 2024 – 2025.
Đạt danh hiệu Sinh viên 5 tốt liên tiếp hai năm học 2023 - 2024 và 2024 - 2025.</t>
  </si>
  <si>
    <t>Đinh Thị Cẩm Tú</t>
  </si>
  <si>
    <t>Lê Quốc Vinh</t>
  </si>
  <si>
    <t>Mai Thị Minh Huyền</t>
  </si>
  <si>
    <t>Kết quả phân tích chất lượng Đoàn viên năm học 2024 - 2025 đạt Hoàn thành xuất sắc nhiệm vụ.
Đạt danh hiệu Điển hình Thanh niên tiên tiến khoa Giáo dục Tiểu học làm theo lời Bác năm học 2024 – 2025 vào ngày 13/04/2025.
Đạt danh hiệu Thanh niên tiên tiến trường Đại học Sài Gòn làm theo lời Bác năm học 2024 – 2025 vào ngày 12/05/2025.
Đạt danh hiệu Sao tháng Thanh niên SGU Nghĩ đúng sống đẹp năm học 2025 vào ngày 17/04/2025.
Tham gia Buổi sinh hoạt chính trị Hành trình Người Cộng sản trẻ ngày 02/03/2025.
Tham gia Hành trình về nguồn - Du hành sử kí ngày 17/05/2025.</t>
  </si>
  <si>
    <t>Là chủ nhiệm đề tài nghiên cứu khoa học Dạy học tiếng Việt cho học sinh lớp 4 từ bình diện ngữ dụng học bộ sách Chân trời sáng tạo.
Đạt giải Nhất hội thi Nghiệp vụ Sư phạm cấp khoa năm học 2024 – 2025.
Đạt giải Năng khiếu Sư phạm tốt nhất tại Hội thi Nghiệp vụ Sư phạm cấp khoa năm học 2024 – 2025.
Là thành viên hoạt động tích cực tại Câu lạc bộ Học thuật trong học kỳ 2 năm học 2024 – 2025.</t>
  </si>
  <si>
    <t>Đạt danh hiệu Thanh niên khỏe trường Đại học Sài Gòn liên tiếp hai năm học 2024 và 2025 sau khi tham gia tích cực Ngày hội Tân sinh viên SGU’s Day.
Đạt danh hiệu Thanh niên khỏe khoa Giáo dục Tiểu học năm học 2024 - 2025.</t>
  </si>
  <si>
    <t>Được khen thưởng vì đã có đóng góp tích cực trong chiến dịch tình nguyện Mùa hè xanh trường Đại học Sài Gòn lần thứ 32 năm 2025.
Tham gia và hoàn thành chiến dịch Xuân tình nguyện trường Đại học Sài Sòn lần thứ 17 năm 2025.
Tham gia hỗ trợ kỳ thi Đánh giá năng lực đợt 1 năm học 2025 vào ngày 20/05/2025.
Tham gia chương trình Tiếp sức đến trường trường Đại học Sài Gòn năm 2025 vào ngày 29/08/2025.
Tham gia chương trình Tiếp sức mùa thi trường Đại học Sài Gòn năm 2025 vào ngày 28/06/2025.
Tham gia hiến máu tình nguyện năm học 2024 – 2025 vào ngày 14/11/2024.
Tham gia các chương trình Thứ Bảy tình nguyện bao gồm Em vẽ ước mơ, Lớp học sắc màu và Hoa yêu thương.
Tham gia chương trình Ngày Chủ nhật xanh với chủ đề Giữ gìn nước sạch cho cuộc sống xanh.</t>
  </si>
  <si>
    <t>Đạt chứng chỉ Ngoại ngữ Bậc 3 theo Khung năng lực ngoại ngữ 6 bậc dùng cho Việt Nam do Trung tâm ngoại ngữ trường Đại học Sài Gòn cấp năm 2025.
Điểm trung bình các học phần Ngoại ngữ đạt 9.00.
Đạt chứng chỉ tin học quốc tế MOS tại IIG.
Hoàn thành Khóa tập huấn kỹ năng Trí tuệ nhân tạo dành cho Cán bộ Đoàn – Hội.
Đạt chứng nhận xuất sắc hoàn thành nhiệm vụ tại khu vực ASEAN Explorer – sinh viên Đại học Sài Gòn tự tin hội nhập ngày 05/10/2025.
Có giấy chứng nhận Ứng dụng Công nghệ thông tin trong dạy học.
Đạt danh hiệu Cán bộ Hội tiêu biểu năm học 2024 – 2025.
Có thành tích xuất sắc trong công tác Hội và phong trào sinh viên trường Đại học Sài Gòn năm học 2024 – 2025.
Tham gia cuộc thi Tiếng Anh Becoming Global lần thứ 5 chủ đề Rise of the Wise.
Tham gia sân chơi ngoại ngữ The Language Zone và chương trình SGU-ers Harmony Giao thoa bản sắc dân tộc Việt Nam ngày 19/10/2025.
Đạt danh hiệu Sinh viên 5 tốt trường Đại học Sài Gòn năm học 2023 - 2024.</t>
  </si>
  <si>
    <t>Đỗ Trần Kim Ngân</t>
  </si>
  <si>
    <t>Kết quả phân tích chất lượng Đoàn viên năm học 2024 - 2025 đạt Hoàn thành xuất sắc nhiệm vụ.
Đạt danh hiệu Thanh niên tiên tiến khoa Giáo dục Tiểu học làm theo lời Bác năm học 2024 – 2025 tuyên dương ngày 13/04/2025.
Tham gia Ban Tổ chức chương trình Hành trình về nguồn – Du hành sử kí.
Tham gia lớp Bồi dưỡng nhận thức về Đảng.</t>
  </si>
  <si>
    <t>Là thành viên Câu lạc bộ Học thuật Tôi - Người giáo viên Tiểu học.
Là thành viên Câu lạc bộ Micro Sài Gòn trường Đại học Sài Gòn.</t>
  </si>
  <si>
    <t>Đạt giải Khuyến khích môn Kéo co tại hội thao Youth Energy - Sức trẻ khoa Giáo dục Tiểu học năm 2025.</t>
  </si>
  <si>
    <t xml:space="preserve">1 ngày: Tham gia Thứ Bảy tình nguyện “Điều ước của em”
1 ngày: Tham gia Thứ Bảy tình nguyện “Hoa yêu thương”
1 ngày:  Tham gia Thứ Bảy tình nguyện “Lớp học sắc màu” 
1 ngày:  Tham gia Thứ Bảy tình nguyện “Em vẽ ước mơ” 
1 ngày:  Tham gia Ngày Chủ nhật xanh “Save water - Stay green” “Giữ gìn nước sạch - Cho cuộc sống xanh”
</t>
  </si>
  <si>
    <t>Đạt chứng chỉ tiếng Anh VSTEP trình độ bậc 4 tương đương B2 do trường Đại học Sư phạm Thành phố Hồ Chí Minh cấp ngày 24/07/2023.
Điểm trung bình các học phần Ngoại ngữ đạt tuyệt đối 10 trên 10.
Tham gia Ban Tổ chức cuộc thi Rung chuông vàng - Vượt rào cản, sáng tương lai.
Tham gia Ban Tổ chức tọa đàm Sơ cấp cứu - Hành trang học đường.
Tham gia Ban Tổ chức cuộc thi Tiếng Anh Becoming Global lần thứ 5 chủ đề Rise of the Wise.
Tham gia Ban Tổ chức sân chơi Sắc màu văn hóa.
Đạt danh hiệu Cán bộ Hội tiêu biểu trường Đại học Sài Gòn năm học 2024 – 2025.
Đạt thành tích xuất sắc trong công tác Hội và phong trào sinh viên trường Đại học Sài Gòn năm học 2024 - 2025.</t>
  </si>
  <si>
    <t>Trịnh Nguyễn Ngọc Nhi</t>
  </si>
  <si>
    <t>Kết quả phân tích chất lượng Đoàn viên năm học 2024 - 2025 đạt Hoàn thành xuất sắc nhiệm vụ.
Đạt danh hiệu Thanh niên tiên tiến làm theo lời Bác khoa Giáo dục Tiểu học vào ngày 13/04/2025.
Đạt danh hiệu Sao tháng Thanh niên SGU nghĩ đúng – sống đẹp trường Đại học Sài Gòn vào ngày 17/04/2025.
Đạt danh hiệu Đoàn viên tiêu biểu năm học 2024-2025 do Ban Chấp hành Đoàn trường Đại học Sài Gòn khen thưởng.
Tham gia Ban Tổ chức buổi Sinh hoạt chính trị Hành trình người cộng sản trẻ tại Bảo tàng thành phố Hồ Chí Minh.</t>
  </si>
  <si>
    <t>Đảm nhiệm vai trò Phó Chủ nhiệm Câu lạc bộ Sách Ươm mầm tri thức khoa Giáo dục Tiểu học trong 3 học kỳ</t>
  </si>
  <si>
    <t>Đạt danh hiệu Thanh niên khỏe trường Đại học Sài Gòn liên tiếp hai năm 2024 và 2025.</t>
  </si>
  <si>
    <t>Được khen thưởng danh hiệu Chiến sĩ giỏi trong chiến dịch tình nguyện Mùa hè xanh trường Đại học Sài Gòn ngày 15/10/2024.
Hoàn thành chiến dịch Mùa hè xanh tại tỉnh Đắk Nông với tổng cộng 28 ngày tình nguyện.
Hoàn thành chiến dịch Xuân tình nguyện trường Đại học Sài Gòn lần thứ 17 năm 2025 với tổng cộng 20 ngày tình nguyện.
Tham gia chương trình Hướng nghiệp và Việc làm lần thứ 4 năm 2025.
Tham gia tọa đàm Câu chuyện về hành trình khởi nghiệp vào ngày 13/12/2024.
Tham gia biểu diễn văn nghệ tuyên truyền Chung tay xây dựng chính quyền địa phương hai cấp.</t>
  </si>
  <si>
    <t>Đạt chứng chỉ tiếng Anh VSTEP mức B1 do trường Đại học Sài Gòn cấp ngày 27/10/2025.
Điểm trung bình các học phần Ngoại ngữ bao gồm Tiếng Anh 1, 2 và 3 đạt quy đổi 9 điểm.
Đạt giải Ba cuộc thi Nét đẹp sư phạm sinh viên khoa Giáo dục Tiểu học năm 2025.
Đạt giấy chứng nhận xuất sắc hoàn thành nhiệm vụ tại khu vực ASEAN Explorer – sinh viên Đại học Sài Gòn tự tin hội nhập ngày 05/10/2024.
Tham gia Ban Tổ chức cuộc thi Sân khấu hóa tác phẩm văn học khoa Giáo dục Tiểu học.
Tham gia Ban Tổ chức cuộc thi Rung chuông vàng – Vượt rào cản, sáng tương lai khoa Giáo dục Tiểu học.
Tham gia cuộc thi Becoming Global lần thứ 5 chủ đề Rise of the wise với vai trò thí sinh.
Có giấy chứng nhận Ứng dụng Công nghệ thông tin trong dạy học với kết quả lý thuyết đạt 8.5 và thực hành đạt 7.3.
Đạt danh hiệu Sinh viên 5 tốt khoa Giáo dục Tiểu học năm học 2024 – 2025.</t>
  </si>
  <si>
    <t>Lâm Tâm Như</t>
  </si>
  <si>
    <t>Kết quả phân tích chất lượng Đoàn viên năm học 2024 - 2025 đạt Hoàn thành tốt nhiệm vụ.
Tham gia triển lãm không gian văn hoá tư tưởng Hồ Chí Minh với chủ đề Nhi đồng – Theo chân Bác.
Đạt danh hiệu Thanh niên tiên tiến làm theo lời Bác khoa Giáo dục Tiểu học năm học 2024 – 2025.</t>
  </si>
  <si>
    <t>Thực hiện đề tài nghiên cứu khoa học sinh viên Ứng dụng trí tuệ nhân tạo trong dạy học chủ đề Con người và sức khoẻ môn Tự nhiên và Xã hội lớp 3.
Có bài tham luận Vận dụng trí tuệ nhân tạo trong thiết kế học liệu số trong dạy học môn Tự nhiên và Xã hội lớp 3 tại Hội thảo khoa học Đại học Vinh.
Tham gia và có chứng nhận hoạt động tích cực tại Câu lạc bộ Học thuật Tôi – người giáo viên Tiểu học.</t>
  </si>
  <si>
    <t>Đạt danh hiệu Thanh niên khỏe năm học 2024 – 2025.
Đạt giải Nhì môn kéo co tại Hội thao Youth Energy – Sức trẻ khoa Giáo dục Tiểu học ngày 15/03/2025</t>
  </si>
  <si>
    <t>Hoàn thành chương trình tình nguyện Đêm hội Trăng rằm 2026 – Chạm trăng vào ngày 28/09/2025.
Tham gia hoạt động Thứ Bảy tình nguyện với chủ đề Sân chơi khoa học dành cho thiếu nhi.
Tham gia hoạt động Thứ Bảy tình nguyện với chủ đề Hoa yêu thương.
Tham gia hoạt động Thứ Bảy tình nguyện với chủ đề Em vẽ ước mơ.
Tham gia chương trình Ngày chủ nhật xanh với chủ đề Save water – Stay green.
Tham gia hoạt động Thứ Bảy tình nguyện với chủ đề Điều ước của em.</t>
  </si>
  <si>
    <t>Đạt chứng chỉ tiếng Anh IELTS do Hội đồng Anh cấp.
Điểm trung bình các học phần Ngoại ngữ đạt tuyệt đối 10.0 trên 10.0.
Tham gia cuộc thi tiếng Anh Becoming Global lần thứ 5.
Có giấy chứng nhận hoàn thành hoạt động trang bị kỹ năng Ứng dụng công nghệ thông tin trong dạy học.
Đạt danh hiệu Đoàn viên ưu tú và Đoàn viên tiêu biểu năm học 2024 – 2025.
Tham gia Ban Tổ chức cuộc thi Becoming Global lần thứ 5.
Đạt danh hiệu Sinh viên năm Tốt tiêu biểu khoa Giáo dục Tiểu học năm học 2024 – 2025.</t>
  </si>
  <si>
    <t>Nguyễn Thị Trình</t>
  </si>
  <si>
    <t>Cao Trần Thảo Vy</t>
  </si>
  <si>
    <t>Nguyễn Thị Hải Yến</t>
  </si>
  <si>
    <t>Kết quả phân tích chất lượng Đoàn viên năm học 2024 - 2025 đạt Hoàn thành xuất sắc nhiệm vụ.
Là thành viên đội Giáo dục tiểu học 2 tham gia vòng bán kết hội thi Olympic các môn khoa học Mác Lênin và Tư tưởng Hồ Chí Minh.
Đạt danh hiệu Thanh niên tiên tiến làm theo lời Bác khoa Giáo dục Tiểu học năm học 2024 – 2025 vào ngày 10/04/2025.</t>
  </si>
  <si>
    <t>Đạt giải Nhất cuộc thi Sân khấu hóa tác phẩm văn học do Câu lạc bộ Học thuật Tôi - Người giáo viên Tiểu học phối hợp với Câu lạc bộ Sách Ươm mầm tri thức tổ chức.
Là thành viên hoạt động tích cực tại Câu lạc bộ Học thuật Tôi - Người giáo viên Tiểu học.</t>
  </si>
  <si>
    <t>Đạt danh hiệu Sinh viên khỏe khoa Giáo dục Tiểu học với điểm trung bình các học phần Giáo dục thể chất đạt 7.3.
Đạt giải Nhì cuộc thi Kéo co tại hội thao Youth energy – Sức trẻ khoa Giáo dục Tiểu học năm học 2025</t>
  </si>
  <si>
    <t>Tham gia chương trình Tiếp sức mùa thi năm 2024 từ ngày 22 đến ngày 28/06/2024 tương ứng 3 ngày tình nguyện.
Tham gia đồng diễn Lễ chào cờ Tôi yêu Tổ quốc kỷ niệm 50 năm ngày giải phóng miền Nam thống nhất đất nước tương ứng 2 ngày tình nguyện.
Đạt giải Nhất và hoàn thành 1 ngày tình nguyện chương trình Ngày chủ nhật xanh Save water – Stay green ngày 23/03/2025.
Tham gia chương trình Thứ 7 tình nguyện Nét vẽ xanh - Hành tinh sạch của Câu lạc bộ Trái tim vàng tương ứng 1 ngày tình nguyện.
Tham gia hiến máu tình nguyện vào ngày 15/03/2025 tương ứng 1 ngày tình nguyện.
Là thành viên tích cực của Câu lạc bộ Tình nguyện Trái Tim Vàng khoa Giáo dục Tiểu học.
Thực hiện quyên góp học bổng Thắp sáng ước mơ, học bổng Tiếp sức đến trường và ủng hộ đồng bào bị ảnh hưởng bởi bão số 3.</t>
  </si>
  <si>
    <t>Đạt chứng chỉ tiếng Anh Vstep trình độ bậc B1 với mức điểm 5.0 do trường Đại học Sài Gòn cấp năm 2024.
Điểm trung bình các học phần Ngoại ngữ 1, 2 và 3 đạt tuyệt đối 9.0 trên thang điểm 10.
Đạt Top 5 MV ca nhạc xuất sắc nhất tại Liên hoan phim sinh viên UNI TOUR - HÀNH TRÌNH XANH cấp thành phố tháng 03/2025.
Đạt giải Nhất cuộc thi chế tạo máy lọc nước trong chương trình Ngày chủ nhật xanh Save water – Stay green.
Tham gia cuộc thi Becoming Global lần thứ 5 và cuộc thi SGU’s Got Talent năm 2025.
Lọt vào vòng chung kết Liên hoan phim sinh viên Thành phố Hồ Chí Minh với video Hành động vì thiên nhiên.
Có chứng chỉ Ứng dụng công nghệ thông tin cơ bản năm 2023 và chứng chỉ Ứng dụng công nghệ thông tin trong dạy học năm 2025.
Có giấy chứng nhận Luyện chữ đẹp tại trung tâm Luyện chữ đẹp Bình An.
Đạt danh hiệu Đoàn viên ưu tú đợt 1 năm học 2024 - 2025.
Đạt danh hiệu Sinh viên 5 tốt khoa Giáo dục Tiểu học liên tiếp hai năm học 2023 - 2024 và 2024 - 2025.</t>
  </si>
  <si>
    <t>Nguyễn Hồng Nhạc</t>
  </si>
  <si>
    <t>Kết quả phân tích chất lượng Đoàn viên năm học 2024 - 2025 đạt Hoàn thành xuất sắc nhiệm vụ.
Đạt danh hiệu Thanh niên tiên tiến khoa Giáo dục Tiểu học làm theo lời Bác năm học 2024 - 2025 theo Giấy khen số 37-GCN/ĐTN ngày 13/04/2024.
Đảm nhận vai trò Ban Tổ chức buổi sinh hoạt chính trị Hành trình Người Cộng sản trẻ vào ngày 02/03/2025.
Đảm nhận vai trò Ban Tổ chức Hành trình về nguồn – Du hành sử kí cấp khoa.
Hoàn thành chương trình bồi dưỡng nhận thức về Đảng theo quy định của Trung ương và đạt loại Giỏi.
Hoàn thành chương trình bồi dưỡng các bài học Lý luận Chính trị cho Đoàn viên năm học 2024 - 2025 vào ngày 14/03/2025.
Hoàn thành học tập chuyên đề học tập và làm theo tư tưởng, đạo đức, phong cách Hồ Chí Minh năm 2024.</t>
  </si>
  <si>
    <t>Đảm nhận vai trò Phó Chủ nhiệm Câu lạc bộ Học thuật Tôi – Người Giáo viên Tiểu học trong học kỳ 2 năm học 2024 - 2025.
Đảm nhận vai trò Phó Chủ nhiệm Câu lạc bộ Sách Ươm mầm tri thức trong học kỳ 1 năm học 2024 - 2025.</t>
  </si>
  <si>
    <t>Đạt danh hiệu Thanh niên khỏe năm học 2024 - 2025 cấp khoa.
Tham gia sân chơi Thanh niên khỏe trong khuôn khổ Ngày hội Tân Sinh viên SGU’s Day năm 2025.
Đạt giải Nhì nội dung kéo co tại hội thao Youth Energy – Sức trẻ khoa Giáo dục Tiểu học ngày 15/03/2025.</t>
  </si>
  <si>
    <t>Được tặng Giấy khen số 08-QĐKT/ĐTN-VP vì đã có đóng góp tích cực trong hoạt động Tháng Thanh niên trường Đại học Sài Gòn năm 2025.
Đảm nhận vai trò Ban Tổ chức chương trình Chào mừng kỷ niệm 20 năm Ngày truyền thống Hội Sinh viên trường – Sinh viên hành động vì trường học xanh vào ngày 22/02/2025.
Đảm nhận vai trò Ban Tổ chức chuỗi chương trình Thứ Bảy tình nguyện bao gồm các chủ đề Em vẽ ước mơ, Lớp học sắc màu, Hoa yêu thương và Điều ước của em.
Đảm nhận vai trò Ban Tổ chức chương trình Ngày Chủ nhật xanh Save water – Stay green vào ngày 23/03/2025.
Đảm nhận vai trò Ban Tổ chức chương trình Thứ Bảy tình nguyện Sân chơi khoa học dành cho thiếu nhi vào ngày 29/03/2025.
Tham gia kiểm tra Nghị quyết số 57-NQ/TW của Bộ Chính trị về phát triển khoa học công nghệ và chuyển đổi số quốc gia.
Tham gia chương trình Câu chuyện hòa bình do Nhà trường huy động.</t>
  </si>
  <si>
    <t>Đạt giải Ba cuộc thi tiếng Anh Becoming Global lần thứ 5 chủ đề Rise of The Wise năm học 2024 - 2025.
Đảm nhận vai trò Ban Tổ chức sân chơi Sắc màu văn hóa Explore the world – Live the culture vào ngày 10/05/2025.
Đảm nhận vai trò Ban Tổ chức cuộc thi Nét chữ tài hoa và cuộc thi Sân khấu hóa tác phẩm Văn học.
Đảm nhận vai trò Ban Tổ chức hội thi Rung chuông vàng Vượt rào cản – Sáng tương lai vào ngày 13/04/2025.
Đảm nhận vai trò Ban Tổ chức các buổi tọa đàm chuyên môn bao gồm Ứng dụng Stem trong dạy học và Ứng dụng trí tuệ nhân tạo trong dạy học.
Đạt chứng chỉ Ứng dụng Công nghệ thông tin Cơ bản và hoàn thành hoạt động trang bị kỹ năng Ứng dụng Công nghệ thông tin trong dạy học.
Được tặng Giấy chứng nhận số 15-QĐKT/ĐTN-VP vì đóng góp tích cực trong công tác Đoàn và phong trào thanh niên trường Đại học Sài Gòn năm học 2024 – 2025.
Được công nhận là Đoàn viên ưu tú trường Đại học Sài Gòn Đợt 1 năm học 2024 – 2025.
Đạt danh hiệu Sinh viên 5 tốt trường Đại học Sài Gòn năm học 2023 - 2024.</t>
  </si>
  <si>
    <t>Đỗ Nguyễn Mai Uyên</t>
  </si>
  <si>
    <t>Kết quả phân tích chất lượng Đoàn viên năm học 2024 - 2025 đạt Đoàn viên hoàn thành xuất sắc nhiệm vụ.
Là thành viên chính thức tham gia hội thi Olympic các môn khoa học Mác – Lênin và tư tưởng Hồ Chí Minh trường Đại học Sài Gòn năm 2025.
Đạt danh hiệu Thanh niên tiên tiến làm theo lời Bác cấp khoa Giáo dục Tiểu học tuyên dương ngày 13/04/2025.
Hoàn thành Chương trình Bồi dưỡng các bài Lý luận Chính trị cho Đoàn viên năm học 2024 – 2025 theo giấy chứng nhận số 05-CN/ĐTN-BTC.
Hoàn thành chương trình bồi dưỡng nhận thức về Đảng theo quy định của Trung ương do Đảng ủy Ủy ban nhân dân Thành phố Hồ Chí Minh cấp.
Tham gia Hành trình về nguồn Du hành Sử kí tại Khu tưởng niệm Liệt sĩ Ngã Ba Giồng ngày 17/05/2025.</t>
  </si>
  <si>
    <t>Là thành viên hoạt động tích cực tại Câu lạc bộ Sách Ươm mầm tri thức.</t>
  </si>
  <si>
    <t>Đạt danh hiệu Thanh niên khỏe trường Đại học Sài Gòn năm học 2024 – 2025.</t>
  </si>
  <si>
    <t>Tham gia Chiến dịch Xuân tình nguyện trường Đại học Sài Gòn lần thứ 17 năm 2025 với tổng cộng 33 ngày tình nguyện.
Tham gia Chiến dịch tình nguyện Mùa hè xanh trường Đại học Sài Gòn lần thứ 31 năm 2024 với tổng cộng 29 ngày tình nguyện.
Tham gia hỗ trợ chương trình Tiếp sức mùa thi Kỳ thi Đánh giá năng lực Đại học Quốc gia Đợt 2 ngày 01/06/2025.
Đảm nhận vai trò Ban Tổ chức chương trình Thứ Bảy tình nguyện Chạm vào ký ức – Khắc lời tri ân ngày 15/11/2025.
Đảm nhận vai trò Ban Tổ chức chương trình Xuân tình nguyện 2025 tại cụm hoạt động số 1.
Đảm nhận vai trò Ban Tổ chức chương trình Thứ Bảy tình nguyện Em vẽ ước mơ ngày 19/10/2024.
Tham gia chương trình Thứ Bảy tình nguyện Lớp học sắc màu tương ứng 1 ngày tình nguyện.</t>
  </si>
  <si>
    <t>Đạt chứng chỉ ngoại ngữ VSTEP bậc 4 tương đương trình độ B2 do trường Đại học Sài Gòn cấp ngày 25/10/2025.
Điểm trung bình học phần Tiếng Anh 1 đạt 8.9 trên thang điểm 10.
Có chứng chỉ Ứng dụng Công nghệ thông tin Cơ bản do trường Đại học Sài Gòn cấp kỳ thi ngày 20/07/2025.
Đảm nhận vai trò Ban Tổ chức sân chơi Sắc màu văn hóa Explore the world – Live the culture ngày 10/05/2025.
Đảm nhận vai trò Ban Tổ chức chương trình Tọa đàm ứng dụng STEM trong dạy học và tọa đàm Ứng dụng trí tuệ nhân tạo trong dạy học.
Đảm nhận vai trò Ban Tổ chức cuộc thi Rung chuông vàng – Vượt rào cản, sáng tương lai và tọa đàm Sơ cứu cấp cứu – Hành trang học đường.
Đạt danh hiệu Cán bộ Hội tiêu biểu và Đoàn viên ưu tú trường Đại học Sài Gòn năm học 2024 – 2025.
Được tặng giấy khen đã có đóng góp tích cực trong công tác Hội và phong trào sinh viên trường Đại học Sài Gòn năm học 2024 – 2025.
Đạt danh hiệu Sinh viên 5 tốt tiêu biểu khoa Giáo dục Tiểu học và Sinh viên 5 tốt trường Đại học Sài Gòn năm học 2023 - 2024.
Hoàn thành xuất sắc nhiệm vụ tại khu vực ASEAN Explorer – sinh viên Đại học Sài Gòn tự tin hội nhập ngày 05/10/2024.</t>
  </si>
  <si>
    <t>Hồ Thị Thúy Diểm</t>
  </si>
  <si>
    <t>Kết quả phân tích chất lượng Đoàn viên năm học 2024 - 2025 đạt Hoàn thành xuất sắc nhiệm vụ.
Đạt danh hiệu Sao Tháng Thanh niên SGU Nghĩ đúng Sống đẹp năm 2025 trường Đại học Sài Gòn vào ngày 17/04/2025.
Đạt danh hiệu Đoàn viên ưu tú trường Đại học Sài Gòn năm học 2024 – 2025.
Tham gia Minigame Uống nước nhớ nguồn do khoa Giáo dục Tiểu học tổ chức.
Tham gia chuỗi hoạt động Tiếp bước truyền thống - Toả sáng Tháng Giêng khoa Giáo dục Tiểu học.
Tham gia chuỗi hoạt động Hào khí mùa thu lịch sử khoa Giáo dục Tiểu học.
Tham gia cuộc thi From roots we rise, to future we shine khoa Giáo dục Tiểu học.</t>
  </si>
  <si>
    <t>Đạt giải Ba cuộc thi Becoming Global lần thứ 5 chủ đề Rise of the wise khoa Giáo dục Tiểu học diễn ra từ ngày 16/03/2025 đến ngày 30/03/2025.
Tham gia và đạt giấy chứng nhận hoạt động tại Câu lạc bộ học thuật Tôi – Người Giáo viên Tiểu học năm học 2024 – 2025.</t>
  </si>
  <si>
    <t>Tham gia chương trình Thanh niên khỏe năm 2025 với chủ đề GO! Đếm bước chân, đong nhiệt huyết do Nhà Văn hóa Sinh viên tổ chức.</t>
  </si>
  <si>
    <t>Tham gia chương trình Tiếp sức mùa thi Thành phố Hồ Chí Minh năm 2025 với tổng cộng 4 lượt tình nguyện.
Tham gia chương trình Thứ Bảy Tình nguyện với chủ đề Em vẽ ước mơ tại mái ấm Truyền Tin ngày 19/10/2024.
Tham gia chương trình Thứ Bảy Tình nguyện với chủ đề Lớp học sắc màu tại mái ấm Tâm Đức ngày 16/11/2024.
Tham gia chương trình Thứ Bảy tình nguyện với chủ đề Hoa Yêu Thương tại mái ấm Bình An ngày 01/03/2025.
Tham gia chương trình Thứ Bảy Tình nguyện với chủ đề Điều ước của em tại mái ấm Tâm Đức ngày 18/10/2025.
Tham gia chương trình Ngày Chủ Nhật xanh với chủ đề Save Water – Stay Green – Giữ gìn nước sạch – Cho cuộc sống xanh ngày 23/03/2025.
Tham gia chương trình Ngày Chủ nhật xanh Workshop Sắc màu hồi sinh khoa Giáo dục Tiểu học ngày 26/10/2025.
Thực hiện hiến tóc cho bệnh nhân ung thư tại Thư viện tóc cho Mạng lưới ung thư vú Việt Nam ngày 24/09/2025.
Tham gia biểu diễn văn nghệ Lễ kỷ niệm 50 năm ngày Giải phóng miền Nam thống nhất đất nước.</t>
  </si>
  <si>
    <t xml:space="preserve">Đạt chứng chỉ tiếng Anh VSTEP trình độ bậc 4 tương đương B2 do trường Đại học Sài Gòn cấp ngày 29/09/2025.
Điểm trung bình các học phần Ngoại ngữ đạt tuyệt đối 4.0 trên thang điểm 4.0.
Đạt giải Ba cuộc thi tiếng Anh Becoming Global lần thứ 5 chủ đề Rise of the wise khoa Giáo dục Tiểu học.
Đạt giải Ba cuộc thi kỹ năng Becoming Global lần thứ 5 chủ đề Rise of the wise.
Tham gia Tọa đàm Ứng dụng trí tuệ nhân tạo trong dạy học do Câu lạc bộ học thuật Tôi – Người Giáo viên Tiểu học tổ chức
Đạt danh hiệu Sinh viên 5 tốt khoa Giáo dục Tiểu học năm học 2024 – 2025.
</t>
  </si>
  <si>
    <t>Diệc Thiên Hương</t>
  </si>
  <si>
    <t>Kết quả phân tích chất lượng Đoàn viên năm học 2024 - 2025 đạt Hoàn thành Xuất sắc nhiệm vụ.
Đạt danh hiệu Sao Tháng Thanh niên SGU nghĩ đúng - sống đẹp năm 2025.
Là thành viên chính thức đội thi tìm hiểu về chủ nghĩa Mác - Lênin, tư tưởng Hồ Chí Minh cấp trường</t>
  </si>
  <si>
    <t>Là thành viên hoạt động tích cực tại Câu lạc bộ Lý luận Trẻ trường Đại học Sài Gòn.</t>
  </si>
  <si>
    <t>Tham gia các hoạt động sát hạch thể lực và đạt danh hiệu Sinh viên khỏe cấp Thành phố năm 2025</t>
  </si>
  <si>
    <t>Được khen thưởng vì đã có thành tích xuất sắc trong Tháng Thanh niên năm 2025 do Đoàn phường Phú Nhuận trao tặng.
Tham gia và nhận giấy chứng nhận hoàn thành chương trình Tiếp sức mùa thi Thành phố Hồ Chí Minh năm 2025.</t>
  </si>
  <si>
    <t>Đạt chứng chỉ tiếng Anh quốc tế IELTS trình độ B2 do British Council cấp năm 2025.
Điểm trung bình các học phần Ngoại ngữ đạt tuyệt đối 4.0 trên thang điểm 4.0.
Tham gia thành phần đội thi Sân chơi Nói theo cách người trẻ trường Đại học Sài Gòn vào tháng 03 năm 2025.
Đạt danh hiệu Sinh viên 5 tốt khoa Giáo dục Tiểu học năm học 2024 - 2025.
Được công nhận là Đoàn viên ưu tú trường Đại học Sài Gòn năm học 2024 - 2025.</t>
  </si>
  <si>
    <t>Nguyễn Thị Trúc Lin</t>
  </si>
  <si>
    <t>Kết quả phân tích chất lượng Đoàn viên năm học 2024 - 2025 đạt hoàn thành xuất sắc nhiệm vụ.
Tham gia chương trình Hành trình về nguồn – Du hành sử kí.
Tham gia và đạt thành tích cao có giấy chứng nhận phần thi trực tuyến cá nhân Hội thi Olympic các môn khoa học Mác – Lênin và tư tưởng Hồ Chí Minh trường đại học Sài Gòn.
Tham gia tổ bình chọn sinh viên vòng chung kết bảng đội tuyển Hội thi Olympic các môn khoa học Mác – Lênin và tư tưởng Hồ Chí Minh trường đại học Sài Gòn.
Tham gia chuỗi hoạt động Tiếp bước truyền thống – Toả sáng Tháng Giêng.
Tham gia học tập chuyên đề về tư tưởng đạo đức phong cách Hồ Chí Minh năm 2024 vào ngày 13/09/2024.</t>
  </si>
  <si>
    <t>Tham gia hoạt động tích cực tại Câu lạc bộ Học thuật Tôi – Người Giáo viên Tiểu học.</t>
  </si>
  <si>
    <t>Đạt giải Nhì phần thi chạy tiếp sức tại Hội thao Youth Energy – Sức trẻ khoa Giáo dục Tiểu học ngày 15/03/2025.</t>
  </si>
  <si>
    <t>Tham gia chương trình Tiếp sức mùa thi năm 2025 vào ngày 01/07/2025 tương ứng 3 ngày tình nguyện.
Tham gia chương trình Thứ bảy tình nguyện Em vẽ ước mơ ngày 19/10/2024 tương ứng 1 ngày tình nguyện.
Tham gia hoạt động Chào mừng kỷ niệm 20 năm Ngày Truyền thống Hội sinh viên trường – Sinh viên hành động nhỏ vì trường học xanh ngày 28/02/2025 tương ứng 1 ngày tình nguyện.
Tham gia chương trình Thứ bảy tình nguyện Điều ước của em ngày 18/10/2025 tương ứng 1 ngày tình nguyện.
Tham gia cổ vũ vòng bảng giải bóng đá sinh viên 7 người Thành phố Hồ Chí Minh năm 2024.
Tham gia chương trình Bế mạc khảo sát chính thức kiểm định chất lượng 6 chương trình đào tạo trình độ đại học và trình độ thạc sĩ.
Tham gia ngày hội hướng nghiệp và việc làm lần thứ 3 năm 2024 ngày 28/09/2024.</t>
  </si>
  <si>
    <t>Đạt chứng chỉ tiếng Anh Aptis ESOL trình độ bậc B1 do Hội đồng Anh cấp ngày 28/08/2025.
Đạt chứng chỉ MOS PowerPoint 2019 Associate do Microsoft cấp ngày 23/07/2024.
Đạt chứng chỉ MOS Word 2019 Associate do Microsoft cấp ngày 23/07/2024.
Đạt chứng chỉ ứng dụng công nghệ thông tin trong dạy học do Trung tâm công nghệ thông tin trường đại học Sài Gòn cấp ngày 23/12/2024.
Tham gia và đạt giải Nhì sân chơi Sắc màu văn hoá Explore the world – live the culture.</t>
  </si>
  <si>
    <t>Lâm Tường Nhi</t>
  </si>
  <si>
    <t>Giấy chứng nhận của Ban Thường vụ Đoàn khoa Giáo dục Tiểu học theo quyết định số 41 - GCN/ĐTN về việc đạt danh hiệu “Thanh niên tiên tiến khoa Giáo dục Tiểu học làm theo lời Bác” năm học 2024 - 2025
Giấy chứng nhận của khoa Giáo dục Tiểu học theo quyết định số 16GCN/GDTH về việc đã tham gia Hành trình về nguồn - Du hành Sử kí
Giấy chứng nhận của Đoàn khoa Giáo dục Tiểu học - Câu lạc bộ Sách “Ươm mầm tri thức” về việc đã tham gia Buổi sinh hoạt chính trị “Hành trình Người Cộng sản trẻ”</t>
  </si>
  <si>
    <t xml:space="preserve">Giấy khen của khoa Giáo dục Tiểu học về việc đã đạt Giải Ba Hội thi “Nghiệp vụ sư phạm khoa Giáo dục Tiểu học” năm học 2024 - 2025
Giấy chứng nhận của Đoàn khoa Giáo dục Tiểu học - Câu lạc bộ Sách “Ươm mầm tri thức” khoa Giáo dục Tiểu học theo quyết định số 01 - GCN/CLBS - GDTH về việc đã tham gia đóng góp tích cực cho các hoạt động của Câu lạc bộ trong Học kì II năm học 2024 - 2025
</t>
  </si>
  <si>
    <t>Giấy chứng nhận của khoa Giáo dục Tiểu học theo quyết định số 04/GCN/GDTH về việc đã tích cực tham gia Hội thao “YOUTH ENERGY - SỨC TRẺ KHOA GIÁO DỤC TIỂU HỌC” và đạt giải Khuyến khích môn Kéo co khoa Giáo dục Tiểu học năm học 2024 - 2025</t>
  </si>
  <si>
    <t>Giấy khen của Ban chấp hành Hội sinh viên trường Đại học Sài Gòn theo quyết định số 02/QĐ-BTK về việc đã có thành tích xuất sắc trong Chiến dịch Xuân Tình nguyện trường Đại học Sài Gòn lần thứ 17 năm 2025
Giấy khen của Ban chấp hành Đoàn trường Đại học Sài Gòn theo quyết định số 14-QĐKT/ĐTN-VP về việc đã có đóng góp tích cực trong Chiến dịch tình nguyện Mùa hè xanh trường Đại học Sài Gòn lần thứ 32 năm 2025
Giấy chứng nhận của Ban chỉ huy chiến dịch Xuân Tình nguyện trường Đại học Sài Gòn lần thứ 17 - năm 2025 theo quyết định số 02 - QĐGCN/HSV về việc đã tham gia chiến dịch</t>
  </si>
  <si>
    <t>Trường Đại học Sài Gòn theo quyết định số 3015/QĐ-ĐHSG về việc đã tham dự kỳ thi đánh giá năng lực ngoại ngữ theo Khung năng lực ngoại ngữ 6 bậc dùng cho Việt Nam
Giấy khen của khoa Giáo dục Tiểu học về việc đã đạt Giải Ba Hội thi “Nghiệp vụ sư phạm khoa Giáo dục Tiểu học” năm học 2024 - 2025
Giấy chứng nhận của Liên chi hội sinh viên khoa Giáo dục Tiểu học về việc đã tham gia cuộc thi Tiếng Anh Becoming Global V - “Rise of the Wise” năm học 2024 - 2025
Minh chứng tham gia Tọa đàm “Sơ cứu cấp cứu - Hành trang học đường”
Minh chứng tham gia Tọa đàm ứng dụng công nghệ nhân tạo (AI) trong dạy học
Giấy chứng nhận của Liên chi hội sinh viên khoa Giáo dục Tiểu học và Câu lạc bộ “Sinh viên 5 tốt” theo quyết định số 51/GCN/GDTH về việc đã tham gia Sân chơi “Sắc màu văn hóa: Explore the world - Live the culture”</t>
  </si>
  <si>
    <t>LÂM TƯỜNG NHI - 3123150109 - GIÁO DỤC TIỂU HỌC - BẢNG KHAI THÀNH TÍCH.docx</t>
  </si>
  <si>
    <t>LÂM TƯỜNG NHI - 3123150109 - GIÁO DỤC TIỂU HỌC - MINH CHỨNG THÀNH TÍCH.docx</t>
  </si>
  <si>
    <t>Phạm Thị Nhi</t>
  </si>
  <si>
    <t>GCN của Ban Thường vụ Đoàn khoa số: 42-GCN/ĐTN ngày 13/4/2025 Đạt danh hiệu Thanh niên tiên tiến làm theo lời Bác năm 2024 – 2025 khoa Giáo dục Tiểu học
GCN của Ban Thường vụ Đoàn trường – Ban Thư ký Hội sinh viên trường số 06-QĐCN/ĐTN-VP ngày 17/04/2025 về việc Đạt danh hiệu Sao tháng “Thanh niên SGU Nghĩ đúng – Sống đẹp”năm 2025.
Chương trình “Hành trình về nguồn – Du hành sử kí”
Tham gia sinh hoạt chính trị với chủ đề “HÀNH TRÌNH NGƯỜI CỘNG SẢN” (cấp khoa).
Đạt GCN số 05-CN/ĐTN-BTC ngày 26/3/2025 của Ban Thường vụ Đoàn trường Đại học Sài Gòn, nội dung: Đã hoàn thành Chương trình Bồi dưỡng các bài Lý luận Chính trị cho Đoàn viên năm học 2024 – 2025.
Đạt GCN số 607/CN ngày 30/9/2025 của Đảng ủy Ủy ban nhân dân Thành phố, Thành phố Hồ Chí Minh cấp, nội dung: Đã hoàn thành chương trình bồi dưỡng nhận thức về Đảng theo quy định của Trung ương (do Đảng ủy ban nhân dân Thành phố Hồ Chí Minh tổ chức).</t>
  </si>
  <si>
    <t xml:space="preserve">Tham gia và đóng góp tích cực cho các hoạt động Câu lạc bộ Học thuật “Tôi – Người giáo viên Tiểu học”
</t>
  </si>
  <si>
    <t>Đạt danh hiệu “Thanh niên khoẻ” trường Đại học Sài Gòn năm 2024</t>
  </si>
  <si>
    <t xml:space="preserve">Chương trình “Tiếp sức mùa thi 2025”
Chiến dịch Xuân tình nguyện trường Đại học Sài Gòn lần thứ 17 - năm 2025,
từ ngày 22/12/2024 đến ngày 25/01/2025 (nhằm ngày 26 tháng Chạp Âm lịch)
04 ngày: Chương trình “Tiếp sức mùa thi 2025”
01 ngày: Giấy chứng nhận đã tham gia chương trình Thứ Bảy tình nguyện “Điều ước của em”
tại Mái âm Tâm Đức và Mái ấm Tân Bình
01 ngày: Tham gia Thứ Bảy tình nguyện “Em vẽ ước mơ” tại mái ấm Từ Hạnh
01 ngày: Chương trình Thứ Bảy tình nguyện  “Hoa yêu thương” tại mái ấm Bình An và Từ Hạnh
</t>
  </si>
  <si>
    <t>Cuộc thi Tiếng anh: BECOMING GLOBAL V – “RISE OF THE WISE” khoa Giáo dục Tiểu học và đạt “Giải Khuyến khích”.
Giấy chứng nhận “Đã tham gia tích cực Ngày hội Tân Sinh viên "SGU's Day" năm 2024 và xuất sắc hoàn thành nhiệm vụ tại Khu vực "ASEAN Explorer - Sinh viên Đại học Sài Gòn tự tin hội nhập".
Sân chơi “Sắc màu văn hoá: EXPLORE THE WORLD – LIVE THE CULTURE”
Toạ đàm “Sơ cứu cấp cứu – Hành trang học đường”
Chương trình “Toạ đàm ứng dụng Stem trong dạy học”
Toạ đàm “Ứng dụng trí tuệ nhân tạo (AI) trong dạy học”.
Chương trình “RUNG CHUÔNG VÀNG – VƯỢT RÀO CẢN – SÁNG TƯƠNG LAI”.</t>
  </si>
  <si>
    <t>PHẠM THỊ NHI - 3123150116 - GIÁO DỤC TIỂU HỌC - BẢNG KHAI THÀNH TÍCH.docx</t>
  </si>
  <si>
    <t>PHẠM THỊ NHI - 3123150116 - GIÁO DỤC TIỂU HỌC - MINH CHỨNG THÀNH TÍCH.docx</t>
  </si>
  <si>
    <t>Võ Minh Quyền</t>
  </si>
  <si>
    <t xml:space="preserve">Đạt danh hiệu “Thanh niên tiên tiến làm theo lời Bác” cấp khoa (Thời gian tuyên dương: 13/04/2025)..
Đạt GCN số 05-CN/ĐTN-BTC ngày 26/3/2025 của Ban Thường vụ Đoàn trường Đại học Sài Gòn, nội dung: Đã hoàn thành Chương trình Bồi dưỡng các bài Lý luận Chính trị cho Đoàn viên năm học 2024 – 2025.
Hành trình về nguồn “Du hành Sử kí” (cấp tổ chức: Khoa Giáo dục Tiểu học; địa điểm: Khu tưởng niệm Liệt sĩ Ngã Ba Giồng, thời gian: 17/5/2025).
</t>
  </si>
  <si>
    <t xml:space="preserve">Đã tham gia đóng góp tích cực cho các hoạt động của CLB Học thuật “Tôi - Người giáo viên Tiểu học” trong Học kì 1 năm học 2024 - 2025.
Thành viên BCN CLB “Sinh viên 5 tốt” HKI năm học 2024 - 2025.
Thành viên BCN CLB “Sinh viên 5 tốt” HKII năm học 2024 - 2025.
</t>
  </si>
  <si>
    <t>Đạt danh hiệu “Thanh niên khoẻ” trường Đại học Sài Gòn năm 2024 -  Ngày hội Tân Sinh viên “SGU’s Day năm 2024;</t>
  </si>
  <si>
    <t xml:space="preserve">Tham gia chiến dịch Xuân tình nguyện trường Đại học Sài Gòn lần thứ 17 - Từ ngày 22/12/2024 đến ngày 25/01/2025
Tham gia Tiếp sức mùa thi Đại học Sài Gòn 2025 (Thời gian diễn ra: Từ 25/6 đến 28/6/2025).
Tham gia chiến dịch Xuân tình nguyện trường Đại học Sài Gòn lần thứ 17 - Từ ngày 22/12/2024 đến ngày 25/01/2025 - 23 buổi.
Chương trình thứ bảy tình nguyện - "Lớp học sắc màu" - ngày 16/11/2024 (Thứ Bảy) - 1 ngày
Tham gia Tiếp sức mùa thi Đại học Sài Gòn 2025 (Thời gian diễn ra: Từ 25/6 đến 28/6/2025) - 3 buổi.
Tham gia chương trình Ngày Chủ Nhật Xanh “Save Water – Stay Green” – Giữ nước sạch – Cho cuộc sống xanh - 1 ngày.                                 </t>
  </si>
  <si>
    <t xml:space="preserve">Chứng chỉ IELTS (Nơi cấp: British Council, năm đạt được: 2023)
Minh chứng điểm trung bình các học phần Ngoại ngữ (trừ môn Ngoại ngữ chuyên ngành): 10.0
Cuộc thi “Becoming Global V - Rise of the Wise” khoa Giáo dục Tiểu học (Thời gian diễn ra: từ ngày 16/3/2025 đến ngày 30/3/2025 - Vai trò: người tham gia).
Đạt chứng chỉ Tin học Microsoft Office Specialist - Office Word 2013.
Giấy chứng nhận tham gia cuộc thi “Nét chữ tài hoa”
Tham gia chương trình “Sắc màu Văn hoá: Explore the World - Live the Culture”.
Tham gia và đạt Danh hiệu Hội nhập tốt - Ngày hội Tân Sinh viên “SGU’s Day” năm 2024 (Thời gian diễn ra: 05/10/2021 - Vai trò: Người tham gia).
</t>
  </si>
  <si>
    <t>VÕ MINH QUYỀN - 3123150135 - GDTH - BẢNG KHAI THÀNH TÍCH.docx</t>
  </si>
  <si>
    <t>VÕ MINH QUYỀN - 3123150135 - GDTH - MINH CHỨNG THÀNH TÍCH.docx</t>
  </si>
  <si>
    <t>Đỗ Minh Thy</t>
  </si>
  <si>
    <t xml:space="preserve">- Đạt GCN số 05-CN/ĐTN-BTC ngày 26/3/2025 của Ban Thường vụ Đoàn trường Đại học Sài Gòn, 
nội dung: Đã hoàn thành Chương trình Bồi dưỡng các bài Lý luận Chính trị cho Đoàn viên
 năm học 2024 – 2025;
- Đạt danh hiệu “Thanh niên tiên tiến làm theo lời Bác”
 (cấp tổ chức: Khoa Giáo dục Tiểu học, tuyên dương vào ngày 13/4/2025);
- Tham gia sinh hoạt chính trị với chủ đề “HÀNH TRÌNH NGƯỜI CỘNG SẢN” (cấp khoa);
- Đạt GCN số 603/CN ngày 30/9/2025 của Đảng ủy Ủy ban nhân dân Thành phố,
Thành phố Hồ Chí Minh cấp, nội dung: Đã hoàn thành chương trình bồi dưỡng nhận thức về Đảng theo quy định của Trung ương (do Đảng ủy ban nhân dân Thành phố Hồ Chí Minh tổ chức);
- Hành trình về nguồn “Du hành Sử kí” (cấp tổ chức: Khoa Giáo dục Tiểu học; địa điểm: 
Khu tưởng niệm Liệt sĩ Ngã Ba Giồng, thời gian: 17/5/2025);
</t>
  </si>
  <si>
    <t xml:space="preserve">
- BTC Cuộc thi Rung chuông vàng “Vượt rào cản – Sáng tương lai”; cấp tổ chức: Câu lạc bộ Học thuật “Tôi – Người Giáo viên Tiểu học”, Câu lạc bộ Sách “Ươm mầm tri thức”, Đoàn khoa Giáo dục Tiểu học (13/4/2025);
- Tham gia Câu lạc bộ học thuật "Tôi – Người Giáo viên Tiểu học” và nhận Giấy chứng nhận “Đã tham gia đóng góp tích cực cho các hoạt động của Câu lạc bộ Học kì 1 năm 2024 – 2025”;
</t>
  </si>
  <si>
    <t xml:space="preserve">- Đạt danh hiệu “Thanh niên khỏe” trường Đại học Sài Gòn, năm học 2024 – 2025;
- Đạt GCN “Đã tích cực tham gia Hội thao “YOUTH ENERGY – SỨC TRẺ KHOA GIÁO DỤC TIỂU HỌC” và đạt danh hiệu “Thanh niên khỏe khoa Giáo dục Tiểu học năm học 2024 – 2025”
</t>
  </si>
  <si>
    <t>- 1 ngày tham gia chương trình Thứ Bảy tình nguyện “Điều ước của em”;
- 1 ngày tham gia chương trình Thứ Bảy tình nguyện “Em vẽ ước mơ”;
- 1 ngày tham chương trình Thứ Bảy tình nguyện “Sân chơi khoa học dành cho thiếu nhi”;
- 1 ngày tham gia chương trình Thứ Bảy tình nguyện “Lớp học sắc màu”;
- 1 ngày tham gia chương trình Ngày Chủ Nhật Xanh 
“Save Water – Stay Green” – Giữ nước sạch – Cho cuộc sống xanh;
- 1 ngày tham gia hoạt động online Tiếp sức mùa thi 2025;
- Tham gia Chiến dịch Xuân tình nguyện 2025, trường Đại học Sài Gòn lần thứ 17 
(Thời gian từ: 05/01/2025 – 25/01/2025);</t>
  </si>
  <si>
    <t>- Becoming Global V (đơn vị tổ chức: Đoàn Hội Khoa Giáo dục Tiểu học, CLB “Sinh viên 5 tốt”; đạt “Giải Khuyến khích”;
- Tham gia tọa đàm “Sơ cứu cấp cứu – Hành trang học đường” 
(nội dung: về các kĩ năng sơ cứu cấp cứu khi gặp trong trường học).
- Tham gia tọa đàm “Ứng dụng STEM trong dạy học” (nội dung: về ứng dụng STEM vào các mộn dạy học cho học sinh Tiểu học);
- Đạt Giấy chứng nhận “Xuất sắc hoàn thành nhiệm vụ tại khu vực ASEAN EXPLORER - SINH VIÊN ĐẠI HỌC SÀI GÒN TỰ TIN HỘI NHẬP” (5/10/2024);
- Chứng chỉ ngoại ngữ đã đạt;
- Ứng dụng công nghệ thông tin trong dạy học (nội dung: các kĩ năng thiết kế bài giảng và các phần mềm hỗ trợ dạy học; nơi cấp: Trung tâm Tin học – Ngoại ngữ trường Đại học Sài Gòn, năm đạt được: 2025);
- Ban Chấp hành Đoàn trường tặng Giấy khen “Đã có đóng góp tích cực trong công tác Đoàn và phong trào thanh niên Trường Đại học Sài Gòn năm học 2024 – 2025” (cấp trường);
- Giấy khen “Đã có đóng góp tích cực trong hoạt động Tháng Thanh niên trường Đại học Sài Gòn năm 2025, chủ đề “Tuổi trẻ trường Đại học Sài Gòn tự hào, vững tin theo Đảng” (cấp trường);
- Đoàn – Hội khoa khen thưởng Giấy chứng nhận “đã tham gia và đóng góp tích cực cho các hoạt động của Đoàn – Hội khoa Giáo dục Tiểu học trong HKI, HKII, năm học 2024 - 2025” (cấp khoa);
- Sân chơi “Sắc màu văn hóa: Explore the world – Live the culture  (đơn vị tổ chức: Khoa Giáo dục Tiểu học, Câu lạc bộ “Sinh viên 5 tốt”; Địa điểm: Trường Đại học Sài Gòn; Thời gian: 10/5/2025;</t>
  </si>
  <si>
    <t>ĐỖ MINH THY - 3123150167- GDTH - BẢNG KHAI THÀNH TÍCH (1).docx</t>
  </si>
  <si>
    <t>ĐỖ MINH THY - 3123150167 - GDTH - MINH CHỨNG THÀNH TÍCH (1).docx</t>
  </si>
  <si>
    <t>Trần Thị Lan Anh</t>
  </si>
  <si>
    <t xml:space="preserve">Giấy chứng nhận danh hiệu “Thanh niên tiên tiến Khoa Giáo dục Tiểu học làm theo lời Bác” năm học 2024 – 2025
Tham gia “Hành trình về nguồn – Du hành sử kí”
</t>
  </si>
  <si>
    <t>Giấy chứng nhận thành viên CLB “Sinh viên 5 tốt”</t>
  </si>
  <si>
    <t>Danh hiệu “Thanh niên khỏe” trường Đại học Sài Gòn năm học 2024 – 2025</t>
  </si>
  <si>
    <t xml:space="preserve">- Tham gia Chiến dịch Xuân tình nguyện 2025, trường Đại học Sài Gòn lần thứ 17 (Thời gian từ: 05/01/2025 – 25/01/2025)
   - Chiến dịch tình nguyện Mùa hè xanh trường Đại học Sài Gòn lần thứ 32 - năm 2025 (Tháng 7 – 8/2025);
- Chương trình “Tiếp sức mùa thi ĐGNL” năm 2025 – Cấp tổ chức: Thành phố Hồ Chí Minh (Tháng 5 – 6/2025) tại Trường Đại học Sài Gòn; 
– 01 ngày: Chương trình Thứ 7 tình nguyện – “Em vẽ ước mơ” – Cấp tổ chức: CLB Tình
nguyện “Trái Tim Vàng” – Đoàn – Hội khoa Giáo dục Tiểu học (19/10/2024);
– 01 ngày Thứ Bảy tình nguyện “Hoa yêu thương” – Cấp tổ chức: CLB Tình nguyện
“Trái Timn Vàng” – Liên Chi hội Sinh viên khoa Giáo dục Tiểu học (01/03/2025);
</t>
  </si>
  <si>
    <t xml:space="preserve">-  Giải Khuyến khích Cuộc thi “Becoming Global V” – Cấp tổ chức: Câu lạc bộ “Sinh viên 5 tốt”, LCH SV khoa Giáo dục Tiểu học (Ngày 16/3 - 30/3/2025).
- Hoàn thành xuất sắc nhiệm vụ tại Khu vực “ASEAN Explorer - Sinh viên Đại học Sài Gòn tự tin hội nhập” (Ngày 02/10/2024);
- Tọa đàm “Sơ cứu học đường - Hành trang vững bước” - Cấp tổ chức: Liên Chi hội Sinh viên khoa Giáo dục Tiểu học (Ngày 30/11/2024).
- Chứng chỉ Ứng dụng Công nghệ thông tin trong dạy học (Nơi cấp: Trung tâm Ngoại ngữ - Tin học trường Đại học Sài Gòn; Năm đạt được: Năm 2025).
- Giấy khen số 16/QDD-BTK ngày 15/4/2025 của Ban Chấp hành Hội sinh viên trường Đại học Sài Gòn, nội dung: Đã đạt danh hiệu Cán bộ Hội tiêu biểu năm học 2024 – 2025;
- Giấy Chứng nhận số 48-QĐKT/ĐTN-VP, ngày 23/10/2025 của Ban Chấp hành
Hội sinh viên trường Đại học Sài Gòn, nội dung: Đã có thành tích xuất sắc trong công
tác Hội và phong trào sinh viên trường Đại học Sài Gòn năm học 2024 – 2025;
-  Giải Khuyến khích Cuộc thi “Becoming Global V” – Cấp tổ chức: Câu lạc bộ “Sinh viên 5 tốt”, LCH SV khoa Giáo dục Tiểu học (Ngày 16/3 - 30/3/2025).
- Tham gia Sân chơi “Sắc màu văn hóa: Explore The World – Live The Culture”
- Hoàn thành xuất sắc nhiệm vụ tại Khu vực “ASEAN Explorer - Sinh viên Đại học Sài Gòn tự tin hội nhập” (Ngày 02/10/2024);
</t>
  </si>
  <si>
    <t>TRẦN THỊ LAN ANH - 3123150015 - BẢNG KHAI THÀNH TÍCH CÁ NHÂN - 2024-2025 (1).docx</t>
  </si>
  <si>
    <t>TRẦN THỊ LAN ANH - 3123150015 - KHOA GIÁO DỤC TIỂU HỌC - MINH CHỨNG THÀNH TÍCH.docx</t>
  </si>
  <si>
    <t>Võ Quang Mỹ</t>
  </si>
  <si>
    <t>Giấy chứng nhận đã tham gia “Hành trình về nguồn – Du hành sử kí”</t>
  </si>
  <si>
    <t>Giấy chứng nhận thành viên Ban Chủ nhiệm Câu lạc bộ Học thuật “Tôi - Người Giáo viên Tiểu học”</t>
  </si>
  <si>
    <t xml:space="preserve">Danh sách hội thao truyền thống sinh viên Đại học Sài Gòn, môn bóng rổ
Biên bản thi đấu môn bóng rổ, hội thao truyền thống sinh viên Đại học Sài Gòn
Minh chứng Giải ba Hội thao truyền thống sinh viên Đại học Sài Gòn, môn bóng rổ
</t>
  </si>
  <si>
    <t>Chiến dịch Xuân tình nguyện, thời gian diễn ra: 22/12/2024 – 25/01/2025
Minh chứng tham gia Chiến dịch Mùa hè xanh, đội hình Ôn tập hè
Danh sách tham gia trình diễn nghệ thuật Chào mừng Lễ kỷ niệm 50 năm Giải phóng miền Nam, 
thống nhất đất nước (30-4-1975/ 30-4-2025), số thứ tự: 71</t>
  </si>
  <si>
    <t>Chứng chỉ ngoại ngữ bậc 4 (trình độ B2) theo Khung năng lực ngoại ngữ 6 bậc dùng cho Việt Nam, 
nơi cấp: trường Đại học Sài Gòn, năm đạt được: 2025.
Danh sách Ban tổ chức chương trình “Toạ đàm ứng dụng STEM trong dạy học”
Danh sách Ban tổ chức Toạ đàm “Ứng dụng trí tuệ nhân tạo (AI) trong dạy học”
Giấy khen CLB Học thuật “Tôi - Người Giáo viên Tiểu học” đã có thành tích tốt trong công tác Đoàn và phong trào thanh niên trường Đại học Sài Gòn năm học 2024 – 2025.
Giấy khen Giải ba Hội thi Nghiệp vụ sư phạm cấp khoa
Danh sách Ban tổ chức Cuộc thi “Rung chuông vàng - Vượt rào cản, sáng tương lai”,
số thứ tự 30
Giấy chứng nhận đã tham gia sân chơi “Sắc màu văn hoá: Explore the world – live the culture”
Danh sách tham gia trình diễn nghệ thuật Chào mừng Lễ kỷ niệm 50 năm Giải phóng miền Nam, 
thống nhất đất nước (30-4-1975/ 30-4-2025), số thứ tự: 71</t>
  </si>
  <si>
    <t>VÕ QUANG MỸ - 3123150092 - GDTH - BẢNG KHAI THÀNH TÍCH.docx</t>
  </si>
  <si>
    <t>VÕ QUANG MỸ - 3123150092 - GDTH - MINH CHỨNG THÀNH TÍCH.docx</t>
  </si>
  <si>
    <t>Trần Thanh Tâm</t>
  </si>
  <si>
    <t>Giấy chứng nhận đạt danh hiệu “Thanh niên tiên tiến Trường Đại học Sài Gòn làm theo lời Bác” khoa Giáo dục Tiểu học năm học 2024 - 2025.</t>
  </si>
  <si>
    <t>Giấy chứng nhận thành viên câu lạc bộ “Sinh viên 5 tốt” khoa Giáo dục Tiểu học năm học 2024 - 2025.</t>
  </si>
  <si>
    <t>Quyết định chứng nhận tham gia Sân chơi “Thanh niên khỏe” trong khuôn khổ ngày hội Tân Sinh viên năm 2025.</t>
  </si>
  <si>
    <t>Giấy khen của Ban Chấp hành Hội Sinh viên trường theo quyết định số 48/QĐKT/DNT-VP ngày 08/8/2025 về việc Đã đóng góp tích cực trong Chiến dịch tình nguyện Mùa hè xanh trường Đại học Sài Gòn lần thứ 32 - năm 2025.
Giấy chứng nhận tham gia chiến dịch tình nguyện “Xuân tình nguyện” lần thứ 17 - năm 2025.
Minh chứng tham gia chiến dịch tình nguyện “Mùa hè xanh” lần thứ 32 - năm 2025.</t>
  </si>
  <si>
    <t xml:space="preserve">Bằng khen của Ban Chấp hành Hội Sinh viên Thành phố Hồ Chí Minh theo quyết định số 25/QĐ-TĐKT ngày 02/10/2025 về việc Đã có thành tích xuất sắc trong công tác Hội và phong trào sinh viên Trường Đại học Sài Gòn nhiệm kỳ 2023 - 2025.
Giấy khen của Ban Chấp hành Hội Sinh viên trường theo quyết định số 16/QĐ-BTK ngày 15/4/2025 về việc Đã đạt danh hiệu Cán bộ Hội tiêu biểu năm học 2024 - 2025.
Bằng khen của Ban Chấp hành Hội Sinh viên trường Thành phố Hồ Chí Minh theo quyết định số 33/QĐ-TĐKT ngày 10/10/2025 về việc Đã có thành tích xuất sắc trong công tác Hội và phong trào sinh viên Thành phố năm học 2024 - 2025.
Giấy chứng nhận đạt giải Khuyến khích Cuộc thi Tiếng Anh “Becoming Global V – Rise Of The Wise” do LCH SV khoa GDTH và CLB “Sinh viên 5 tốt” tổ chức tại trường Đại học Sài Gòn.
Giấy chứng nhận tham gia Sân chơi “Sắc Màu Văn Hóa” do LCH SV khoa GDTH và CLB “Sinh viên 5 tốt” tổ chức tại trường Đại học Sài Gòn với tư cách là Ban Tổ chức.
</t>
  </si>
  <si>
    <t>TRẦN THANH TÂM - 3123150146 - GDTH - BẢNG KHAI THÀNH TÍCH (Final).docx</t>
  </si>
  <si>
    <t>TRẦN THANH TÂM - 3123150146 - GDTH - MINH CHỨNG THÀNH TÍCH (Final).docx</t>
  </si>
  <si>
    <t>Lê Mỹ Uyên</t>
  </si>
  <si>
    <t xml:space="preserve">Giấy chứng nhận đã tham gia Hành trình về nguồn “Du hành sử kí” - Cấp tổ chức: Đoàn - Hội khoa Giáo dục Tiểu học (17/5/2025);
Giấy chứng nhận đã tham gia Buổi sinh hoạt chính trị với chủ đề “Hành trình Người cộng sản trẻ” – Cấp tổ chức: CLB Sách “Ươm mầm tri thức” – Đoàn khoa Giáo dục Tiểu học (02/3/2025);
</t>
  </si>
  <si>
    <t>Giấy chứng nhận là thành viên tham gia Câu lạc bộ Sách “Ươm mầm tri thức”.</t>
  </si>
  <si>
    <t xml:space="preserve">Giấy chứng nhận đã tham gia tích cực Ngày hội Tân sinh viên “SGU’s Day” năm học 2024 và đạt danh hiệu “Thanh niên khỏe” trường Đại học Sài Gòn 2024;
Giấy chứng nhận đạt danh hiệu “Thanh niên khỏe khoa Giáo dục Tiểu học năm học 2024 – 2025”.
</t>
  </si>
  <si>
    <t xml:space="preserve">Giấy xác nhận đã tham gia 6 ngày tình nguyện Chương trình “Tiếp sức mùa thi” năm 2025 
– Cấp tổ chức: Thành phố Hồ Chí Minh;
Giấy chứng nhận đã tham gia chương trình Thứ Bảy tình nguyện “Em vẽ ước mơ” 
– Cấp tổ chức: Câu lạc bộ Tình nguyện “Trái Tim Vàng” - LCH SV Khoa Giáo dục Tiểu học. 
</t>
  </si>
  <si>
    <t>Điểm tổng kết các học phần Tiếng Anh 1, Tiếng Anh 2, Tiếng Anh 3: 4.0
Danh sách sinh viên và Ban Tổ chức đã tham gia Cuộc thi “Rung chuông vàng – Vượt rào cản, sáng tương lai” 
Giấy chứng nhận đã tham gia Sân chơi “SẮC MÀU VĂN HÓA: EXPLORE THE WORLD - LIVE THE CULTURE” - Cấp tổ chức: CLB Sinh viên 5 tốt, LCH SV khoa Giáo dục Tiểu học (10/05/2025).</t>
  </si>
  <si>
    <t>LÊ MỸ UYÊN - BẢNG KHAI THÀNH TÍCH CÁ NHÂN.docx</t>
  </si>
  <si>
    <t>LÊ MỸ UYÊN - MINH CHỨNG THÀNH TÍCH CÁ NHÂN.docx</t>
  </si>
  <si>
    <t>Nguyễn Trần Thu An</t>
  </si>
  <si>
    <t xml:space="preserve">Minh chứng tham gia chương trình tìm hiểu về lịch sử: “Hành trình về nguồn – Du hành sử kí” ngày 17/05/2025
Minh chứng tham gia buổi sinh hoạt chính trị “Hành trình người cộng sản trẻ” ngày 02/03/2025
</t>
  </si>
  <si>
    <t>Minh chứng tham gia và có chứng nhận hoạt động ít nhất 1 CLB về học thuật cấp khoa CLB học thuật “Tôi – Người giáo viên Tiểu học”</t>
  </si>
  <si>
    <t>Minh chứng tham gia và đạt danh hiệu “Thanh niên khỏe” ở cấp trường trong ngày hội tân sinh viên SGU’s DAY năm 2025</t>
  </si>
  <si>
    <t>Minh chứng tham gia và được cấp giấy chứng nhận hoàn thành chương trình tình nguyện Tiếp sức mùa thi năm 2025
Giấy khen của Ban thư kí Hội Sinh viên trường ngày 29/04/2025 về việc tham gia Lễ chào cờ “Tôi yêu Tổ quốc tôi”, tập luyện quay hình chính thức chương trình đồng diễn “Hòa bình đẹp lắm” nhân kỉ niệm 50 năm ngày Giải phóng miền Nam thống nhất đất nước</t>
  </si>
  <si>
    <t xml:space="preserve">Minh chứng đạt chứng chỉ tiếng Anh trình độ B2
Minh chứng tham gia và có giấy chứng nhận hoạt động Trang bị kỹ năng nghề nghiệp với chủ đề “Khảo sát doanh nghiệp yêu thích 2025 – ENTERPRISE OF CHOICE”
Minh chứng tham gia Cuộc thi “Rung chuông vàng – Vượt rào cản, sáng tương lai” ngày 20/04/2025
Minh chứng tham gia Chương trình “Tọa đàm ứng dụng STEM trong dạy học”
Minh chứng tham gia hoạt động hội nhập cấp khoa trở lên: Sân chơi “Sắc màu văn hóa Explore the world – Live the culture” ngày 10/05/2025
</t>
  </si>
  <si>
    <t>NGUYỄN TRẦN THU AN - 3124150002 - KHOA GIÁO DỤC TIỂU HỌC - BẢNG KHAI THÀNH TÍCH (1).docx</t>
  </si>
  <si>
    <t>NGUYỄN TRẦN THU AN - 3124150002 - KHOA GIÁO DỤC TIỂU HỌC - MINH CHỨNG THÀNH TÍCH (1).docx</t>
  </si>
  <si>
    <t>Nguyễn Thị Ái Na</t>
  </si>
  <si>
    <t>Chứng nhận số 06-QĐCN/ĐTN-VP ngày 17/4/2025 của Ban Thường vụ Đoàn trường – Ban Thư ký Hội Sinh viên trường Đại học Sài Gòn, nội dung: Đã đạt danh hiệu Sao tháng “Thanh niên SGU nghĩ đúng – sống đẹp” năm 2025 – Cấp tổ chức: Cấp trường.
Buổi sinh hoạt chính trị với chủ đề “Hành trình Người cộng sản trẻ” – Cấp tổ chức: CLB Sách “Ươm mầm tri thức” – Đoàn khoa Giáo dục Tiểu học (02/3/2025).
Hành trình về nguồn “Du hành sử kí” - Cấp tổ chức: Đoàn - Hội khoa Giáo dục Tiểu học (17/5/2025).</t>
  </si>
  <si>
    <t xml:space="preserve">Thành viên CLB “Sinh viên 5 tốt”.
Thành viên Ban Chủ nhiệm CLB Học thuật “Tôi – Người Giáo viên Tiểu học”
</t>
  </si>
  <si>
    <t>Danh hiệu “Thanh niên khỏe” trường Đại học Sài Gòn năm học 2024 – 2025.</t>
  </si>
  <si>
    <t>Ban Tổ chức Chương trình Ngày Chủ nhật xanh: “Save water – Stay green” – “Giữ gìn nước sạch – Cho cuộc sống xanh” – Cấp tổ chức: CLB Tình nguyện “Trái Tim Vàng” – Đoàn khoa Giáo dục Tiểu học (Ngày 23/03/2025).
Tham gia Chương trình hỗ trợ Lễ ra quân đội hình hỗ trợ nhân dân trải nghiệm tuyến Metro số 1 (Từ ngày 23/12/2024 – 20/01/2025).
Tham gia Hiến máu tình nguyện (Ngày 04/03/2025).
Tham gia Chương trình “Tiếp sức mùa thi” năm 2025 – Cấp tổ chức: Thành phố Hồ Chí Minh
Chiến dịch tình nguyện Mùa hè xanh trường Đại học Sài Gòn lần thứ 32 - năm 2025.</t>
  </si>
  <si>
    <t>Đạt giải Ba Cuộc thi “Becoming Global V” – Cấp tổ chức: Câu lạc bộ “Sinh viên 5 tốt”, LCH SV khoa Giáo dục Tiểu học (Ngày 16/3 - 30/3/2025).
Hoàn thành xuất sắc nhiệm vụ tại Khu vực “ASEAN Explorer - Sinh viên Đại học Sài Gòn tự tin hội nhập” (Ngày 02/10/2024).
Tham gia Tọa đàm “Sơ cứu học đường - Hành trang vững bước”.
Chứng chỉ Ứng dụng Công nghệ thông tin trong dạy học (Nơi cấp: Trung tâm Ngoại ngữ - Tin học trường Đại học Sài Gòn; Năm đạt được: Năm 2025).
Giấy khen của Ban Chấp hành Đoàn trường theo quyết định số 15-QĐKT/ĐTN-VP ngày 24/10/2025 về việc Đã có thành tích xuất sắc trong công tác Đoàn và phong trào thanh niên Trường Đại học Sài Gòn năm học 2024 – 2025.
Ban Tổ chức Cuộc thi Rung chuông vàng – “Vượt rào cản, sáng tương lai”
Giấy chứng nhận đã tham gia Vòng Bán kết 2 - Hội thi “Tôi là Bí thư Đoàn trường” năm 2025 – Cấp tổ chức: Đoàn trường Đại học Sài Gòn (Ngày 17/03/2025 - 08/6/2025).
Tham gia Cuộc thi “BECOMING GLOBAL V” – “RISE OF THE WISE” – Cấp tổ chức: CLB Sinh viên 5 tốt, LCH SV khoa Giáo dục Tiểu học (16/03/2025 – 30/02/2025).</t>
  </si>
  <si>
    <t>NGUYỄN THỊ ÁI NA - 3124150081 - KHOA GIÁO DỤC TIỂU HỌC - BẢNG KHAI THÀNH TÍCH.docx</t>
  </si>
  <si>
    <t>NGUYỄN THỊ ÁI NA - 3124150081 - KHOA GIÁO DỤC TIỂU HỌC - MINH CHỨNG THÀNH TÍCH.docx</t>
  </si>
  <si>
    <t>Mai Hồng Phượng</t>
  </si>
  <si>
    <t xml:space="preserve">Đạt danh hiệu “Sao tháng thanh niên SGU” Nghĩ đúng sống đẹp năm 2025. (Cấp tổ chức: cấp trường, thời gian tuyên dương: 19/4/2025)
Hành trình Người Cộng sản trẻ
Hành trình về nguồn – Du hành sử kí
</t>
  </si>
  <si>
    <t>Thành viên CLB “Sinh viên 5 tốt” khoa Giáo dục Tiểu học HKI năm học 2024 – 2025
Thành viên CLB “Sinh viên 5 tốt” khoa Giáo dục Tiểu học HKII năm học 2024 – 2025</t>
  </si>
  <si>
    <t>Đạt danh hiệu “Thanh niên khỏe” cấp trường năm 2024
Đạt danh hiệu “Thanh niên khỏe” cấp trường năm 2025</t>
  </si>
  <si>
    <t>Đạt danh hiệu “Chiến sĩ giỏi” Chiến dịch tình nguyện Mùa hè xanh trường Đại học Sài Gòn năm 2025. (Cấp khen thưởng: cấp trường)
Chương trình “Tiếp sức mùa thi” năm 2025 của thanh niên, sinh viên Thành phố.
1 ngày Tham gia Thứ 7 tình nguyện “Em vẽ ước mơ” (19/10/2024)
1 ngày Tham gia Thứ 7 tình nguyện “Hoa yêu thương” (1/3/2025)
1 ngày Tham gia Thứ 7 tình nguyện “Điều ước của em” (18/10/2025)
2 ngày Tham gia Lễ chào cờ “Tôi yêu Tổ quốc tôi” và tập luyện, quay hình chính thức tại chương trình đồng diễn “Hòa bình đẹp lắm” Nhân kỷ niệm 50 năm Ngày giải phóng miền Nam, thống nhất đất nước (Số ngày tình nguyện 02 ngày)</t>
  </si>
  <si>
    <t>Chứng chỉ Ngoại ngữ Aptis ESOL trình độ B1 do Hội đồng Anh cấp năm 2025
Tọa đàm “Sơ cứu học đường – Hành trang vững bước”
Tọa đàm “ Ứng dụng Stem trong dạy học”
Tọa đàm “Ứng dụng trí tuệ nhân tạo (AI) trong dạy học”
Sân chơi “Sắc màu văn hóa: Explore the world – Live the culture”. Vai trò: Ban tổ chức</t>
  </si>
  <si>
    <t>MAI HỒNG PHƯỢNG - 3124150119 - KHOA GIÁO DỤC TIỂU HỌC - BẢNG KHAI THÀNH TÍCH (2).docx</t>
  </si>
  <si>
    <t>MAI HỒNG PHƯỢNG - 3124150119 - KHOA GIÁO DỤC TIỂU HỌC - MINH CHỨNG THÀNH TÍCH (1).docx</t>
  </si>
  <si>
    <t>Nguyễn Thị Kiều Thơ</t>
  </si>
  <si>
    <t xml:space="preserve">Hoàn thành lớp bồi dưỡng Nhận thức về Đảng năm 2025 theo quy định của Trung ương Do Đảng ủy Ủy ban nhân dân Thành phố Hồ Chí Minh.
Tham gia cuộc thi trực tuyến Tìm hiểu về 50 năm Ngày Giải phóng miền Nam, thống nhất đất nước (30/4/1975 – 30/4/2025).
</t>
  </si>
  <si>
    <t>Thành viên CLB “SINH VIÊN 5 TỐT” khoa Giáo dục Tiểu học HKI năm học 2024 – 2025.
Thành viên Ban chủ nhiệm CLB Sách “ƯƠM MẦM TRI THỨC” khoa giáo dục Tiểu học.</t>
  </si>
  <si>
    <t xml:space="preserve">Đạt danh hiệu “Thanh niên khoẻ” năm học 2024.
Đạt danh hiệu “Thanh niên khoẻ” năm học 2025.
</t>
  </si>
  <si>
    <t xml:space="preserve">Tham gia Chiến dịch Mùa hè Xanh trường Đại học Sài Gòn (13/6-3/8/2025)
Tham gia Chương trình Tiếp sức mùa thi Đánh giá năng lực tại trường Đại học Sài Gòn (1/6/2025).
Tham gia Chương trình Tiếp sức mùa thi của thanh niên, sinh viên Thành phố.
Tham gia Chương trình Thứ Bảy tình nguyện “Lớp học sắc màu” (16/11/2024).
Tham gia Chương trình Thứ Bảy tình nguyện “Hoa yêu thương” (1/3/2025).
Tham gia Chương trình Ngày Chủ nhật xanh “Save water – Stay green” (23/3/2025).
Tham gia Chương trình Ngày Chủ nhật xanh “Sắc màu hồi sinh” (26/20/2025). 
Tham gia Vẽ tường tại khu phố phường 4, quận 8 (cũ) (23/3/2025).
</t>
  </si>
  <si>
    <t>Đạt chứng chỉ Ngoại ngữ Aptis ESOL B1 do Hội đồng Anh cấp năm 2025.
Đã hoàn thành chuyên đề bồi dưỡng Luyện chữ đẹp tại trường Sư phạm Thành phố Sư phạm Thành phố Hồ Chí Minh.
Tham gia vòng loại cuộc thi THE WINNER 2025 - THE ELIMINATION ROUND REGISTRATION OPENING (20/9/2025)
- Tọa đàm “Ứng dụng trí tuệ nhân tạo (AI) trong dạy học”.</t>
  </si>
  <si>
    <t>NGUYỄN THỊ KIỀU THƠ-3124150137-GDTH-BẢNG KHAI THÀNH TÍCH.docx</t>
  </si>
  <si>
    <t>NGUYỄN THỊ KIỀU THƠ-3124150137-GDTH-MINH CHỨNG THÀNH TÍCH (2).docx</t>
  </si>
  <si>
    <t>Nguyễn Ngọc Anh Thư</t>
  </si>
  <si>
    <t>Đạt giấy chứng nhận đã tham gia chương trình “Hành trình về nguồn - Du hành sử kí” do khoa Giáo dục Tiểu học tổ chức năm học 2024 - 2025</t>
  </si>
  <si>
    <t>Là thành viên tham gia Câu lạc bộ Sách “Ươm mầm tri thức” khoa Giáo dục Tiểu học Học kì II năm học 2024 - 2025.</t>
  </si>
  <si>
    <t>Giấy chứng nhận đạt giải Ba môn Chạy tiếp sức khoa Giáo dục Tiểu học năm học 2024 - 2025”</t>
  </si>
  <si>
    <t>Đạt giấy chứng nhận tham gia Chương trình “Tiếp sức mùa thi” năm 2025.
Giấy chứng nhận tham gia chương trình Ngày Chủ nhật xanh: “SAVE WATER – STAY GREEN” “Giữ gìn nước sạch - Cho cuộc sống xanh” – Cấp tổ chức: CLB Tình nguyện “Trái Tim Vàng” – Đoàn khoa Giáo dục Tiểu học (23/3/2025)
Thứ Bảy tình nguyện “Hoa yêu thương” - Cấp tổ chức: CLB Tình nguyện “Trái Tim Vàng” - Liên Chi hội Sinh viên khoa Giáo dục Tiểu học – 1 ngày (01/03/2025)
Thứ Bảy tình nguyện “Em vẽ ước mơ” - Cấp tổ chức: CLB Tình nguyện “Trái Tim Vàng” - Liên Chi hội Sinh viên khoa Giáo dục Tiểu học - 1 ngày (19/10/2024)
Thứ Bảy tình nguyện “Chạm vào ký ức - Khắc lời tri ân” - Cấp tổ chức: CLB Tình nguyện “Trái Tim Vàng” - Liên Chi hội Sinh viên khoa Giáo dục Tiểu học - 1 ngày (25/10/2025)
Thứ Bảy tình nguyện “Điều ước của em” - Cấp tổ chức: CLB Tình nguyện “Trái Tim Vàng” - Liên Chi hội Sinh viên khoa Giáo dục Tiểu học - 1 ngày (18/10/2025)
Chương trình kỉ niệm 20 năm ngày truyền thống Hội sinh viên trường - Sinh viên hành động nhỏ vì trường học xanh - 1 ngày tình nguyện</t>
  </si>
  <si>
    <t>Đạt loại B1 Chứng chỉ Aptis ESOL General do British Council cấp vào năm 2025.
Điểm trung bình các học phần Ngoại ngữ (trừ môn Ngoại ngữ chuyên ngành): 4.0/4.0.
Tham gia tọa đàm “Sơ cứu cấp cứu - Hành trang học đường” (31/11/2024)
Tham gia với vai trò là Ban Tổ chức Cuộc thi “Rung chuông vàng - Vượt rào cản, sáng tương lai” (20/4/2025)
Đạt giấy khen do Đoàn Thanh niên Cộng sản Hồ Chí Minh và Ban Chấp hành Đoàn trường trao tặng theo quyết định số 15-QĐKT/ĐTN-VP ngày 24/10/2025 vì đã có đóng góp tích cực trong công tác Đoàn và phong trào thanh niên Trường Đại học Sài Gòn năm học 2024 - 2025.
Tham gia Cuộc thi BECOMING GLOBAL V - RISE OF THE WISE - Cấp tổ chức: CLB Sinh viên 5 tốt – Liên Chi hội Sinh viên khoa Giáo dục Tiểu học (tháng 3 năm 2025).</t>
  </si>
  <si>
    <t>NGUYỄN NGỌC ANH THƯ - 3124150143 - GDTH - BẢNG KHAI THÀNH TÍCH.docx</t>
  </si>
  <si>
    <t>NGUYỄN NGỌC ANH THƯ - 3124150143 - GDTH - MINH CHỨNG THÀNH TÍCH.docx</t>
  </si>
  <si>
    <t>Trần Thị Hải Yến</t>
  </si>
  <si>
    <t>97.5</t>
  </si>
  <si>
    <t>Kết quả đánh giá chất lượng Đoàn viên năm học 2024 - 2025 đạt Hoàn thành xuất sắc nhiệm vụ.
Đạt danh hiệu “Điển hình Thanh niên tiên tiến làm theo lời Bác” cấp trường năm học 2024 - 2025.
Là Đảng viên dự bị từ ngày 09/01/2025.</t>
  </si>
  <si>
    <t>Thực hiện khóa luận tốt nghiệp đề tài “Tình cảm cộng đồng trong Không gia đình của Héc-tô Ma-lô” đạt 98 điểm, loại Xuất sắc.</t>
  </si>
  <si>
    <t>Đạt danh hiệu “Thanh niên khỏe” cấp trường năm học 2024 - 2025.</t>
  </si>
  <si>
    <t>Nhận Giấy khen của Ban Chấp hành Hội Sinh viên trường vì đã có thành tích xuất sắc trong Chiến dịch Xuân tình nguyện lần thứ 17 năm 2025.
Nhận Giấy khen của Ban Chấp hành Hội Sinh viên trường vì đã có thành tích xuất sắc trong Chương trình Tiếp sức mùa thi năm 2025.
Tham gia và hoàn thành các chiến dịch: Mùa hè xanh năm 2024, Xuân tình nguyện năm 2025 và Tiếp sức mùa thi năm 2025.
Tham gia các chương trình Thứ Bảy tình nguyện với các chủ đề: “Lớp học sắc màu”, “Hoa yêu thương” và “Sân chơi khoa học”.
Tham gia chương trình Ngày Chủ nhật xanh – Save Water, Stay Green và chương trình Sinh viên hành động vì trường học xanh.</t>
  </si>
  <si>
    <t>Đạt trình độ ngoại ngữ tiếng Anh chứng chỉ TOEIC trình độ B2; điểm trung bình các học phần Tiếng Anh đạt tuyệt đối 10/10.
Tham gia chương trình Giao lưu và tặng quà cho sinh viên Lào tại Ký túc xá Sinh viên Lào Thành phố Hồ Chí Minh.
Xuất sắc hoàn thành nhiệm vụ tại khu vực “ASEAN Explorer – Sinh viên Đại học Sài Gòn tự tin hội nhập” trong Ngày hội Tân sinh viên SGU's Day 2024.
Đạt danh hiệu “Cán bộ Hội tiêu biểu năm học 2024 – 2025”.
Nhận Giấy khen vì có thành tích xuất sắc trong công tác Hội và phong trào sinh viên khoa Giáo dục Tiểu học cũng như cấp trường.
Hoàn thành tập huấn “Chương trình phổ cập AI” do Trung ương Đoàn tổ chức và chuyên đề “Ứng dụng kỹ năng số cho sinh viên năm 2024”.
Tham gia tập huấn chuyên đề “An toàn giao thông và kỹ năng phòng tránh va chạm trong hoạt động tình nguyện”.</t>
  </si>
  <si>
    <t>Trần Thị Hải Yến - SV5T - Biểu mẫu tổng hợp thành tích.docx</t>
  </si>
  <si>
    <t>4. TRẦN THỊ HẢI YẾN</t>
  </si>
  <si>
    <t>Hồ Linh Trung</t>
  </si>
  <si>
    <t>3.9</t>
  </si>
  <si>
    <t>Kết quả đánh giá chất lượng Đoàn viên năm học 2024 - 2025 đạt Hoàn thành xuất sắc nhiệm vụ.
Đạt danh hiệu “Thanh niên tiên tiến làm theo lời Bác” cấp trường năm học 2024 - 2025.</t>
  </si>
  <si>
    <t>Thực hiện khóa luận tốt nghiệp đề tài "Thế giới trẻ thơ trong tác phẩm Những tấm lòng cao cả (Amicis)" đạt 99 điểm, loại Xuất sắc</t>
  </si>
  <si>
    <t>Nhận Giấy khen số 43/QĐ-BTK ngày 08/08/2025 của Hội Sinh viên trường vì thành tích tốt trong Chương trình Tiếp sức mùa thi năm 2025.
Tham gia và hoàn thành Chương trình Tiếp sức mùa thi trường Đại học Sài Gòn năm 2025.
Tham gia chương trình Thứ Bảy tình nguyện với các chủ đề: “Lớp học sắc màu”, “Hoa yêu thương” và “Sân chơi khoa học”.
Tham gia chương trình Chào mừng kỷ niệm 20 năm Ngày truyền thống Hội Sinh viên Việt Nam trường Đại học Sài Gòn – Sinh viên hành động vì trường học xanh.
Tham gia chương trình Ngày Chủ nhật xanh – Save Water, Stay Green.</t>
  </si>
  <si>
    <t>Đạt chứng chỉ ngoại ngữ Vstep trình độ B1; điểm trung bình các học phần Tiếng Anh đạt tuyệt đối 10/10.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SGU's Day 2024.
Đạt danh hiệu “Đoàn viên tiêu biểu” năm học 2024 - 2025 do Ban chấp hành Đoàn trường Đại học Sài Gòn trao tặng.
Hoàn thành tập huấn “Chương trình phổ cập AI” do Trung ương Đoàn tổ chức.
Tham gia tập huấn chuyên đề An toàn giao thông và buổi chuyên đề Ứng dụng kỹ năng số cho sinh viên năm 2024.</t>
  </si>
  <si>
    <t>Hồ Linh Trung - SV5T - Biểu mẫu tổng hợp thành tích.docx</t>
  </si>
  <si>
    <t>5. HỒ LINH TRUNG</t>
  </si>
  <si>
    <t>Tạ Hạnh Kim Ngân</t>
  </si>
  <si>
    <t>Kết quả đánh giá chất lượng Đoàn viên năm học 2024 - 2025 đạt Hoàn thành xuất sắc nhiệm vụ.
Đạt danh hiệu Thanh niên tiên tiến trường Đại học Sài Gòn làm theo lời Bác năm học 2024 – 2025 theo Giấy chứng nhận số 57-GCN/ĐU ngày 12/05/2025.
Là Đảng viên dự bị từ ngày 25/04/2025.</t>
  </si>
  <si>
    <t>Hoàn thành khóa luận tốt nghiệp đề tài "Dạy học đọc hiểu cho học sinh lớp 3 theo định hướng phân hóa bằng hệ thống câu hỏi cải biến trên sơ đồ hình hộp cú pháp (bộ sách Chân trời sáng tạo)" đạt điểm gần tuyệt đối 9.9/10, loại Giỏi.</t>
  </si>
  <si>
    <t>Đạt danh hiệu "Thanh niên khỏe" trường Đại học Sài Gòn năm 2024 theo Giấy chứng nhận số 02-QĐGCN/HSV ngày 05/10/2024.</t>
  </si>
  <si>
    <t>Nhận Giấy khen của Ban Chấp hành Hội Sinh viên trường vì thành tích xuất sắc trong Chiến dịch Xuân Tình nguyện trường Đại học Sài Gòn lần thứ 17 năm 2025.
Tham gia và hoàn thành Chiến dịch Xuân Tình nguyện năm 2025 tại trường Đại học Sài Gòn và tại Đoàn Thị trấn Tân Hiệp.
Tham gia chương trình Thứ Bảy tình nguyện với các hoạt động: "Lớp học sắc màu", "Hoa yêu thương" và "Sân chơi khoa học".
Tham gia ngày tình nguyện Chào mừng kỷ niệm 20 năm ngày truyền thống Hội Sinh viên Việt Nam.
Tham gia hoạt động Ngày chủ nhật xanh trong năm học.</t>
  </si>
  <si>
    <t>Có trình độ ngoại ngữ tiếng Anh đạt chứng chỉ B1.
Điểm trung bình các học phần Tiếng Anh 1, 2 và 3 đạt tuyệt đối 10/10.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năm 2024.
Hoàn thành khóa học ứng dụng AI cho Thanh niên Việt Nam do Trung ương Đoàn tổ chức.
Tham gia tập huấn chuyên đề An toàn giao thông và buổi chuyên đề Ứng dụng kỹ năng số cho sinh viên trường Đại học Sài Gòn.</t>
  </si>
  <si>
    <t>BẢNG KHAI - KIM NGÂN.docx</t>
  </si>
  <si>
    <t>6. TẠ HẠNH KIM NGÂN</t>
  </si>
  <si>
    <t>Thiều Ngọc Hoàng Vy</t>
  </si>
  <si>
    <t>95</t>
  </si>
  <si>
    <t>3.93</t>
  </si>
  <si>
    <t>Kết quả đánh giá chất lượng Đoàn viên năm học 2024 - 2025 đạt Hoàn thành xuất sắc nhiệm vụ.
Đạt danh hiệu “Thanh niên tiên tiến làm theo lời Bác” cấp trường năm học 2024 – 2025.
Là Đảng viên dự bị từ ngày 03/02/2025.</t>
  </si>
  <si>
    <t>Thực hiện đề tài khóa luận tốt nghiệp “Xây dựng hệ thống INFOGRAPHIC hỗ trợ dạy học vần cho học sinh lớp Một trên ngữ liệu sách Cánh Diều” và được nghiệm thu với kết quả 9.6 điểm, đạt loại Xuất sắc.</t>
  </si>
  <si>
    <t>Đạt danh hiệu “Thanh niên khỏe” cấp trường năm học 2024 – 2025.</t>
  </si>
  <si>
    <t>Nhận Giấy khen số 02/QĐ-BTK ngày 25/01/2025 của Hội Sinh viên trường vì thành tích xuất sắc trong Chiến dịch Xuân Tình nguyện lần thứ 17 năm 2025.
Tham gia và nhận giấy chứng nhận hoàn thành Chiến dịch Xuân Tình nguyện trường Đại học Sài Gòn lần thứ 17 năm 2025.
Tham gia hiến tóc cho bệnh nhân ung thư.
Tham gia chương trình Thứ Bảy Tình nguyện “Lớp học sắc màu”, “Hoa yêu thương” tại mái ấm Bình An và “Sân chơi khoa học” tại Làng May Mắn.
Tham gia chương trình Ngày Chủ nhật xanh “Save Water, Stay Green” và chương trình Sinh viên hành động vì trường học xanh.</t>
  </si>
  <si>
    <t>Đạt chứng chỉ ngoại ngữ VSTEP trình độ B1; điểm trung bình các học phần Tiếng Anh đạt 9.0.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năm 2024.
Tham gia Ngày hội “Sinh viên với ngoại ngữ” năm 2024 do Hội Sinh viên Thành phố tổ chức.
Đạt danh hiệu Cán bộ Đoàn Tiêu biểu năm học 2024 – 2025.
Được khen thưởng vì thành tích xuất sắc trong công tác Đoàn và phong trào thanh niên nhiệm kỳ XVII (năm học 2022 – 2024).
Hoàn thành Khóa Tập huấn Kỹ năng AI dành cho Cán bộ Đoàn - Hội do Trung ương Đoàn tổ chức.
Tham gia tập huấn chuyên đề An toàn giao thông và chuyên đề Ứng dụng kỹ năng số cho sinh viên.</t>
  </si>
  <si>
    <t>HOÀNG VY - SV5T - Biểu mẫu tổng hợp thành tích.docx</t>
  </si>
  <si>
    <t>7. THIỀU NGỌC HOÀNG VY</t>
  </si>
  <si>
    <t>Lê Thị Thanh Thanh</t>
  </si>
  <si>
    <t>98</t>
  </si>
  <si>
    <t>3.56</t>
  </si>
  <si>
    <t>Kết quả phân tích chất lượng Đoàn viên năm học 2024 - 2025 đạt Hoàn thành xuất sắc nhiệm vụ.
Đạt danh hiệu Thanh niên tiên tiến làm theo lời Bác trường Đại học Sài Gòn năm học 2024 - 2025.</t>
  </si>
  <si>
    <t>Là thành viên Câu lạc bộ Sinh viên 5 tốt khoa Giáo dục Tiểu học năm học 2024 - 2025.</t>
  </si>
  <si>
    <t>Đạt danh hiệu Thanh niên khỏe trong sân chơi Thanh niên khỏe thuộc khuôn khổ Ngày hội Tân Sinh viên SGU’s Day các năm 2024 và 2025.</t>
  </si>
  <si>
    <t>Tham gia và nhận giấy chứng nhận hoàn thành Chiến dịch Tình nguyện Mùa hè xanh trường Đại học Sài Gòn lần thứ 32 năm 2025.
Tham gia và nhận giấy chứng nhận hoàn thành Chiến dịch Xuân Tình nguyện trường Đại học Sài Gòn lần thứ 17 năm 2025.</t>
  </si>
  <si>
    <t>Đạt chứng chỉ Ngoại ngữ Bậc 3 theo Khung năng lực ngoại ngữ bậc 6 dùng cho Việt Nam do trường Đại học Sài Gòn và trường Đại học Văn Lang cấp năm 2025.
Nhận Bằng khen của Ban Chấp hành Hội Sinh viên Thành phố Hồ Chí Minh vì thành tích xuất sắc trong công tác Hội và phong trào sinh viên thành phố năm học 2024 - 2025.
Đạt danh hiệu Cán bộ Hội tiêu biểu năm học 2024 - 2025.
Đạt danh hiệu Sinh viên 5 tốt tiêu biểu năm học 2024 - 2025.
Xuất sắc hoàn thành nhiệm vụ tại khu vực ASEAN Explorer – sinh viên Đại học Sài Gòn tự tin hội nhập ngày 05/10/2025.
Có giấy chứng nhận hoàn thành tọa đàm Sơ cứu học đường - Hành trang vững bước.
Đạt giấy chứng nhận Ứng dụng Công nghệ thông tin trong dạy học.</t>
  </si>
  <si>
    <t>Khiếu Thị Thùy Dương</t>
  </si>
  <si>
    <t>NGOẠI NGỮ</t>
  </si>
  <si>
    <t>Giấy Chứng nhận Quyết định số 06-QĐCN/ĐTN-VP, ngày 17/4/2025 của Ban Thường vụ Đoàn trường đã đạt danh hiệu “Sao Tháng Thanh niên SGU - Nghĩ đúng sống đẹp” năm 2025.</t>
  </si>
  <si>
    <t>Là thành viên và tham gia tích cực Câu lạc bộ Tiếng Anh trường Đại học Sài Gòn - STT: 57</t>
  </si>
  <si>
    <t>Đạt danh hiệu “Thanh niên khoẻ” trường Đại học Sài Gòn năm học 2024 - 2025</t>
  </si>
  <si>
    <t>Tham gia Chiến dịch Xuân tình nguyện trường Đại học Sài Gòn lần thứ 17 - năm 2025
Tham gia Chiến dịch Mùa hè xanh trường Đại học Sài Gòn lần thứ 32 - năm 2025
01 ngày: Tham gia "Thứ Bảy tình nguyện" - Quét dọn và dâng hương tại
Nghĩa trang liệt sĩ Nhà Bè, Quận 7 năm 2025.
01 ngày: Tham gia hành trình về nguồn và công tác xã hội "Khoa Ngoại ngữ chung tay vì cuộc sống cộng đồng" tại thị trấn Phước Hải, TP. Bà Rịa - Vũng Tàu năm 2025
01 ngày: Tham gia chương trình tình nguyện trung thu “Ánh trăng hoà bình”phối hợp Chi đoàn Khu phố 25, Phường Tân Hưng trong khuôn khổ Tuần lễ “Tình nguyện tốt” khoa Ngoại ngữ năm 2025.</t>
  </si>
  <si>
    <t xml:space="preserve">Chứng chỉ IELTS 7.0 (C1) do IDP cấp
Giấy chứng nhận Đã hoàn thành Khóa tập huấn Kỹ năng AI dành cho Cán bộ Đoàn - Hội của Trung ương Đoàn TNCS Hồ Chí Minh 
Tham gia Workshop thực hành “Nghệ thuật sử dụng giọng nói trong giảng dạy” trong khuôn khổ Tuần lễ “Học tập tốt” khoa Ngoại ngữ năm 2025
Giấy khen số 48/QĐ-BTK từ Ban Thư ký Hội sinh viên Việt Nam trường Đại học Sài Gòn Đã có đóng góp tích cực trong công tác Hội và phong trào thanh niên Trường Đại học Sài Gòn năm học 2024 - 2025
Tham gia Ngày hội sinh viên với ngoại ngữ năm 2025 chủ đề “GenZith HORIZON”
Giấy chứng nhận tham gia tích cực Ngày hội Tân Sinh viên “SGU’s Day” năm 2024 và xuất sắc hoàn thành nhiệm vụ tại khu vực “ASEAN Explorer - Sinh viên Đại học Sài Gòn tự tin hội nhập”
</t>
  </si>
  <si>
    <t>KHIẾU THỊ THUỲ DƯƠNG - NGOẠI NGỮ - MINH CHỨNG THÀNH TÍCH.docx</t>
  </si>
  <si>
    <t>79 SV5T KHOA
15 SV5TTB KHOA</t>
  </si>
  <si>
    <t>Lâm Đình Quốc Khánh</t>
  </si>
  <si>
    <t>Giấy Chứng nhận của Đoàn khoa Ngoại ngữ ký ngày 18/5/2025 về việc Đạt danh hiệu
“Điển hình Thanh niên tiên tiến làm theo lời Bác” khoa Ngoại ngữ năm 2024 - 2025
Giấy Chứng nhận Số: 06-QĐCN/ĐTN-VP về việc Đạt danh hiệu “Sao tháng thanh niên SGU Nghĩ đúng sống đẹp” năm 2025;
Giấy Chứng nhận Số: 715/CN Đảng Uỷ Uỷ Ban Nhân dân Thành phố về việc Đã hoàn thành chương trình bồi dưỡng nhận thức về Đảng
Giấy chứng nhận Số: 45-QĐ/NVHSV về việc đã tham gia Cuộc thi Tìm hiểu về 50 năm Ngày Giải phóng miền Nam, thống nhất đất nước (15/5/2025)
Giấy chứng nhận Đã tham gia và hoàn thành hành trình “Ngược dòng lịch sử” lần 3 của Câu lạc bộ Cộng tác viên FFLC khoa Ngoại ngữ
Giấy Chứng nhận Trung ương Đoàn về việc Đã hoàn thành nội dung học tập Nghị quyết Đại hội toàn quốc lần thứ XII, nhiệm kỳ 2022-2027
Giấy Chứng nhận Trung ương Đoàn về việc Đã hoàn thành việc học tập chuyên đề Học tập và làm theo tư tưởng, đạo đức, phong cách Hồ Chí Minh năm 2024;
Giấy Chứng nhận Trung ương Đoàn về việc Đã hoàn thành nội dung Kiểm tra Nghị quyết số 57-NQ/TW của Bộ Chính trị</t>
  </si>
  <si>
    <t xml:space="preserve">Giấy chứng nhận ký ngày 22/10/2024 Ban Chấp hành Đoàn khoa về việc
Đạt giải Ba cuộc thi nghiên cứu khoa học the Frontiers of Science
</t>
  </si>
  <si>
    <t xml:space="preserve">Giấy Chứng nhận Số 02/GCN-BTK Đạt danh hiệu “Thanh niên khỏe” trường Đại học Sài Gòn năm học 2024 - 2025
Giấy khen Số: 42/QĐ-BTK về việc Đạt giải Nhất môn Bóng đá nam "Hội thao năm 2025 chào mừng Đại hội đại biểu Hội Sinh viên Việt Nam trường Đại học Sài Gòn lần thứ IX, hiệm kỳ 2025 - 2028"
</t>
  </si>
  <si>
    <t xml:space="preserve">Giấy khen của Đoàn Phường Bến Thành về việc “Đã có thành tích xuất sắc trong
Chiến dịch tình nguyện Mùa hè xanh phường Bến Thành năm 2025” (11/10/2025)
Giấy Chứng nhận Đoàn phường Bến Thành về việc tham gia tích cực Đội hình
“Đồng hành cùng địa phương” thực hiện hỗ trợ tại trung tâm hành chính công
01 ngày: Tham gia công tác xã hội Cài đặt định danh  điện tử mức 2 cho người dân địa bàn P. Bến Thành
01 ngày: Tham gia công tác xã hội Chương trình An toàn giao thông 2024 với chủ đề “Thượng tôn pháp luật để xây dựng văn hóa giao thông an toàn”
01 ngày: Tham gia công tác xã hội Chương trình Kết nội hội viên phụ nữ, đoàn viên thanh niên với các nguồn vốn vay năm 2024
01 ngày: Giấy xác nhận Tham gia công tác xã hội Ra quân hỗ trợ người dân cài đặt ứng dụng Công dân số TP. HCM
</t>
  </si>
  <si>
    <t>Chứng chỉ tiếng Anh Aptis ESOL General C (British Council Vietnam cấp ngày 24/7/2024)
Giấy chứng nhận Hội Sinh viên trường về việc tham gia tích cực Ngày hội Tân Sinh viên "SGU's Day" năm 2024 và hoàn thành Khu vực "ASEAN Explorer - Sinh viên Đại học Sài Gòn tự tin hội nhập" 
Giấy Chứng nhận Trung ương Đoàn về việc Đã hoàn thành Khóa Tập huấn Kỹ năng AI dành cho Cán bộ Đoàn - Hội (29/5/2025)
Giấy chứng nhận Arena Multimedia về việc Đã hoàn thành “Khóa huấn luyện quay phim và chỉnh sửa video” (19/7/2025);
Giấy khen 15-QĐKT/ĐTN-VP về việc “Đã có đóng góp tích cực trong công tác Đoàn và phong trào thanh niên Trường Đại học Sài Gòn năm học 2024 - 2025” (24/10/2025);
Giấy chứng nhận Số: 08-GCN/ĐTN-VP về việc đã tham gia Vòng Bán kết 2 của Hội thi Tôi Bí thư Đoàn trường năm 2025;
Giấy Chứng nhận Đoàn - Hội khoa về việc Đạt Giải Nhì Cuộc thi “Thủ lĩnh sinh viên khoa Ngoại ngữ” năm 2025;
Giấy Chứng nhận CLB FFL Media về việc Đạt Giải Nhất trong chương trình Running for the Bond 2025;
Chứng chỉ Ứng dụng CNTT Cơ bản</t>
  </si>
  <si>
    <t>LÂM ĐÌNH QUỐC KHÁNH - NGOẠI NGỮ - MINH CHỨNG THÀNH TÍCH.docx</t>
  </si>
  <si>
    <t>Lưu Gia Linh</t>
  </si>
  <si>
    <t>Tham gia Hành trình lịch sử Bảo tàng Tôn Đức Thắng do Đoàn khoa Ngoại ngữ tổ chức</t>
  </si>
  <si>
    <t xml:space="preserve">Tham gia và hoạt động tích cực tại CLB Tiếng Anh và làm Phó Chủ nhiệm CLB  (stt: 03)
- Đạt giải Nhất cuộc thi Nghiệp vụ Sư phạm năm học 2024 - 2025
</t>
  </si>
  <si>
    <t xml:space="preserve">- Số 02/GCN-BTK ngày 18/08/2025; Ban Thư ký Hội Sinh viên trường; Giấy chứng nhận đạt danh hiệu “Thanh niên khỏe” trường Đại học Sài Gòn năm học 2024 - 2025
</t>
  </si>
  <si>
    <t xml:space="preserve">1 ngày: Ra quân cạo xóa biển quảng cáo phường Bến Thành
1 ngày: Đã tham gia Thứ Bảy tình nguyện Quét dọn và dâng hương tại Nghĩa trang liệt sĩ Nhà Bè, Quận 7
1 ngày: Tham gia hành trình về nguồn và công tác xã hội "Khoa Ngoại ngữ chung tay vì cuộc sống cộng đồng" tại thị trấn Phước Hải, TP. Bà Rịa - Vũng Tàu.
1 ngày: Tham gia chương trình tình nguyện trung thu “Ánh trăng hoà bình” phối hợp Chi đoàn Khu phố 25, Phường Tân Hưng trong khuôn khổ Tuần lễ “Tình nguyện tốt” khoa Ngoại ngữ năm 2025.
1 ngày: Đã tham gia Dâng hương, dâng hoa và quét dọn các khu vực tưởng niệm phong trào Học sinh, sinh viên Thành phố Hồ Chí Minh năm 2025.
- 10 ngày: hỗ trợ lễ ra quân Đội hình hỗ trợ nhân dân trải nghiệm tuyến Metro số 1
- 1 lượt hiến tóc tình nguyện
</t>
  </si>
  <si>
    <t>Đã tham gia Workshop thực hành “Vững bước hội nhập”
Trong khuôn khổ Tuần lễ “Hội nhập tốt” khoa Ngoại ngữ năm 2025
- Chứng chỉ IELTS
Đã tham gia Workshop thực hành “Nghệ thuật sử dụng giọng nói trong giảng dạy” trong khuôn khổ Tuần lễ “Học tập tốt” khoa Ngoại ngữ năm 2025
Đạt giải Nhất cuộc thi Nghiệp vụ Sư phạm năm học 2024 - 202
- Giấy khen của Hội Sinh viên trường về việc “Đã có thành tích xuất sắc trong công tác Hội và phong trào sinh viên trường Đại học Sài Gòn năm học 2024 - 2025”</t>
  </si>
  <si>
    <t>LƯU GIA LINH - DSA1241 - 3124130045.docx</t>
  </si>
  <si>
    <t>Nguyễn Anh Tuấn</t>
  </si>
  <si>
    <t>Giấy Chứng nhận ngày 18/5/2025 của BCH Đoàn khoa Ngoại ngữ, đạt danh hiệu “Điển hình
Thanh niên tiên tiến khoa Ngoại ngữ trường Đại học Sài Gòn làm theo lời Bác năm học 2024 - 2025”
Giấy Chứng nhận số 91-GCN/ĐU, ngày 12/5/2025 của Đảng uỷ Trường Đại học Sài Gòn, đạt danh hiệu “Thanh niên tiên tiến trường Đại học Sài Gòn làm theo lời Bác năm học 2024 - 2025”
Giấy Chứng nhận Trung ương Đoàn về việc Đã hoàn thành việc học tập chuyên đề
Học tập và làm theo tư tưởng, đạo đức, phong cách Hồ Chí Minh năm 2024</t>
  </si>
  <si>
    <t>Là thành viên và tham gia tích cực Câu lạc bộ Tiếng Anh trường Đại học Sài Gòn - STT: 34</t>
  </si>
  <si>
    <t>Đạt danh hiệu “Thanh niên khoẻ” trường Đại học Sài Gòn năm học 2024 - 2025
Giấy Chứng nhận của BTC Hội thao đảng viên các Chi bộ sinh viên (mở rộng) trường Đại học Sài Gòn năm 2025 đã đạt giải Nhì môn cầu lông, bảng đôi nam - nữ;
Giấy Chứng nhận của BTC Hội thao đảng viên các Chi bộ sinh viên (mở rộng) trường Đại học Sài Gòn năm 2025 đã đạt giải Nhất môn cầu lông, bảng đôi na</t>
  </si>
  <si>
    <t>Bằng khen theo Quyết định số 16/QĐ-UBH của Ủy ban Hội Liên hiệp Thanh niên TP.HCM
đã có thành tích xuất sắc trong công tác hỗ trợ tổ chức Đại lễ VESAK Liên Hợp Quốc năm 2025
Giấy Chứng nhận ngày 01 tháng 6 năm 2025 của Uỷ ban tổ chức Đại lễ VESAK Liên Hợp Quốc
năm 2025 đã tham gia và hoàn thành nhiệm vụ Tình nguyện viên góp phần tổ chức thành công
Đại lễ Phật đản Liên Hợp Quốc - VESAK 2025
Tham gia đội hình Bình dân Học vụ Số trong Chiến dịch Mùa hè xanh
trường Đại học Sài Gòn lần thứ 32 - năm 2025</t>
  </si>
  <si>
    <t>IELTS 7.0, do British Council cấp ngày 19/7/2022 (tiếng Anh)
Đã tham gia  hoạt động tập huấn kỹ năng thực hành xã hội mùa 4 “From sunrise till sunset: Gen Z on fire - From sunrise till sunset” năm 2025.
Tham gia Workshop Chuyện nghề - Chuyện người: Nghệ thuật sử dụng giọng nói trong giảng dạy
Giấy khen số 15-QĐKT/ĐTN-VP của BCH Đoàn trường Đại học Sài Gòn, đã có đóng góp tích cực trong công tác Đoàn và phong trào thanh niên Trường Đại học Sài Gòn năm học 2024 - 2025
Đã tham gia Sân chơi “Speak Art, Speak World” tại khu vực “Hội nhập tốt”
trong khuôn khổ Hành trình “Sinh viên 5 tốt” năm 2025
Tham gia làm Tình nguyện viên VIP cho đại biểu Quốc tế tại Đại lễ VESAK Liên Hợp Quốc năm 2025 tại Thành phố Hồ Chí Minh từ ngày 03/5/2025 - 09/5/2025</t>
  </si>
  <si>
    <t>NGUYỄN ANH TUẤN - NGOẠI NGỮ - MINH CHỨNG THÀNH TÍCH.docx</t>
  </si>
  <si>
    <t>Nguyễn Công Thành</t>
  </si>
  <si>
    <t xml:space="preserve">QĐ số 557-QĐ/ĐU ngày 12/5/2025 của Đảng ủy trường Đại học Sài Gòn về khen tặng danh hiệu Điển hình Thanh niên tiên tiến trường ĐHSG làm theo lời Bác năm học 2024-2025.
</t>
  </si>
  <si>
    <t>Tên đề tài KLTN: Investigating Student Teachers’ Perceptions of Using Warm-up Activities to Engage High School Students in English Classrooms - Kết quả đánh giá: 9,3/10</t>
  </si>
  <si>
    <t>Bằng khen của BCH HSV TP. HCM vì đã có thành tích xuất sắc trong chương trình “Tiếp sức mùa thi” năm 2024.
Giấy xác nhận của Chi uỷ - Lãnh đạo khoa về việc đã có 05 ngày hoạt động tình nguyện</t>
  </si>
  <si>
    <t>Aptis C1 
Đã tham gia  hoạt động tập huấn kỹ năng thực hành xã hội mùa 4 “From sunrise till sunset: Gen Z on fire - From sunrise till sunset” năm 2025
- Giấy chứng nhận số 03 - QĐGCN/HSV ngày 29/11/2024 của Ban Thư ký Hội Sinh viên trường Đại học Sài Gòn: Đã tham gia Buổi chuyên đề "Ứng dụng kỹ năng số cho sinh viên trường Đại học Sài Gòn" năm 2024;
- Giấy chứng nhận số 01 - QĐGCN/HSV ngày 04/01/2025 của Ban Thư ký Hội Sinh viên trường Đại học Sài Gòn: Đã tham gia Tập huấn chuyên đề "An toàn giao thông và một số kỹ năng phòng tránh các tình huống va chạm trong quá trình tham gia các hoạt động tình nguyện.
- Giấy chứng nhận số 03 - QĐGCN/HSV ngày 01/02/2025 của Ban Thư ký Hội Sinh viên trường Đại học Sài Gòn: Đã tham gia Chương trình giao lưu và tặng quà cho sinh viên Lào tại Ký túc xá Sinh viên Lào Thành phố Hồ Chí Minh</t>
  </si>
  <si>
    <t>NGUYỄN CÔNG THÀNH - NGOẠI NGỮ - MINH CHỨNG THÀNH TÍCH (1).docx</t>
  </si>
  <si>
    <t>Nguyễn Đỗ Minh Phương</t>
  </si>
  <si>
    <t xml:space="preserve">Chứng nhận Quyết định số 06-QĐCN/ĐTN-VP, ngày 17/4/2025 của Ban Thường vụ Đoàn trường đã đạt danh hiệu “Sao Tháng Thanh Niên ” năm học 2025.
Chứng nhận ngày 18/5/2025 của Ban Chấp hành Đoàn khoa Ngoại ngữ đã đạt danh hiệu “Điển hình Thanh niên tiên tiến khoa Ngoại ngữ trường Đại học Sài Gòn làm theo lời Bác” năm học 2024-2025.
Đã hoàn thành việc học tập Chuyên đề Học tập và làm theo tư tưởng, đạo đức, phong cách Hồ Chí Minh năm 2024.
Tham gia làm bài kiểm tra và đạt giấy chứng nhận nội dung Nghị quyết số 57-NQ/TW của Bộ Chính trị về đột phá phát triển khoa học, công nghệ, đổi mới sáng tạo và chuyển đổi số quốc gia cho cán bộ đoàn, đoàn viên thanh niên.
Tham gia và đạt giấy chứng nhận hoàn thành Nội dung "HỌC TẬP NGHỊ QUYẾT ĐẠI HỘI ĐOÀN TOÀN QUỐC LẦN THỨ XII, NHIỆM KỲ 2022-2027"
Tham gia cuộc thi của khoa Ngoại Ngữ“Theo dấu chân Người”
 - chủ đề “Một ngày cùng Bác” và đạt giải khuyến khích.
Chứng nhận Quyết định số 45-QĐ/NVHSV của Nhà Văn hóa sinh viên Thành phố Hồ Chí Minh tổ chức, ngày 15/5/2025, đã tham gia Cuộc thi trực tuyến Tìm hiểu về 50 năm Ngày Giải phóng miền Nam, thống nhất đất nước (30/4/1975 - 30/4/2025)
</t>
  </si>
  <si>
    <t xml:space="preserve">Đạt giải Nhì cuộc thi Nghiệp vụ Sư phạm năm học 2024 - 2025.
Là thành viên và tham gia tích cực Câu lạc bộ Tiếng Anh trường Đại học Sài Gòn - STT: 3
</t>
  </si>
  <si>
    <t xml:space="preserve">- Tham gia Hội thao truyền thống trường Đại học Sài Gòn giai đoạn 2 - Bộ môn Điền Kinh vào ngày  23/03/2025.
Đã tham gia thi đấu nội dung “Cầu lông nữ” Hội thao năm 2025 chào mừng Đại hội đại biểu Hội Sinh viên Việt Nam trường Đại học Sài Gòn lần thứ IX, nhiệm kỳ 2025 - 202
</t>
  </si>
  <si>
    <t xml:space="preserve">Giấy khen cho cá nhân có thành tích xuất sắc trong Chiến dịch tình nguyện Mùa hè xanh phường Bến Thành năm 2025 của Ban Chấp hành Đoàn TNCS Hồ Chí Minh  phường Bến Thành.
1 ngày: Tham gia hoạt động hỗ trợ công tác vận hành chính quyền địa phương 2 cấp ở Phường Bến Thành
4 ngày: Tham gia Chương trình Tiếp sức mùa thi năm học 2025.
</t>
  </si>
  <si>
    <t xml:space="preserve">HSK3 300/300 (Thời gian cấp ngày 22/6/2025).
Đạt giải Nhì cuộc thi Nghiệp vụ Sư phạm năm học 2024 - 2025.
Tham gia Workshop Nghệ thuật sử dụng giọng nói trong giảng dạy. 
Giấy chứng nhận của Đoàn khoa Ngoại Ngữ: là thành viên có đóng góp tích cực trong Công tác Đoàn-Hội và Phong trào Thanh niên, Sinh viên Khoa Ngoại Ngữ năm học 2024 - 2025 thuộc Câu Lạc Bộ Cộng Tác Viên Khoa Ngoại Ngữ.
Chứng chỉ Tin học MOS
Chứng nhận Ứng dụng Công nghệ thông tin trong dạy học
Đã tham gia Sân chơi “Speak Art, Speak World” tại khu vực “Hội nhập tốt” trong khuôn khổ Hành trình “Sinh viên 5 tốt” năm 2025
</t>
  </si>
  <si>
    <t>NGUYỄN ĐỖ MINH PHƯƠNG - NGOẠI NGỮ - MINH CHỨNG THÀNH TÍCH.docx</t>
  </si>
  <si>
    <t>Nguyễn Gia Bảo</t>
  </si>
  <si>
    <t>Số 06-QĐCN/ĐTN-VP, ngày 17/4/2025, Ban Thường vụ Đoàn trường, Chứng nhận đã đạt danh hiệu “Sao Tháng Thanh niên SGU - Nghĩ đúng sống đẹp” năm 2025.</t>
  </si>
  <si>
    <t>Là thành viên và tham gia tích cực Câu lạc bộ Tiếng Anh trường Đại học Sài Gòn - STT: 55</t>
  </si>
  <si>
    <t>GCN Số 02/GCN-BTK, ngày 18/8/2025, Ban Thư ký Hội Sinh viên trường, Chứng nhận đã đạt danh hiệu “Thanh niên khỏe” trường Đại học Sài Gòn năm học 2024 - 2025.</t>
  </si>
  <si>
    <t>Tham gia Chiến dịch tình nguyện Mùa hè xanh trường Đại học Sài Gòn lần thứ 32 - năm 2025</t>
  </si>
  <si>
    <t>GCN đạt giải Khuyến khích cuộc thi Nghiệp vụ Sư Phạm khoa Ngoại ngữ năm học 2024 - 2025
Giấy chứng nhận Đã hoàn thành Khóa tập huấn Kỹ năng AI dành cho Cán bộ Đoàn - Hội
của Trung ương Đoàn TNCS Hồ Chí Minh (ngày 29/5/2025)
Số 15-QĐKT/ĐTN-VP, ngày 24/10/2025, BCH Đoàn trường Đại học Sài Gòn, Giấy khen Đã có đóng góp tích cực trong công tác Đoàn và phong trào thanh niên Trường Đại học Sài Gòn năm học 2024 - 2025
Giấy chứng nhận của  Trung tâm hỗ trợ học sinh, sinh viên TP. Hồ Chí Minh về việc Đã tham gia Ngày hội sinh viên với ngoại ngữ năm 2025 chủ đề “GenZith HORIZON” ngày 17/5/2025</t>
  </si>
  <si>
    <t>NGUYỄN GIA BẢO - NGOẠI NGỮ - MINH CHỨNG THÀNH TÍCH.docx</t>
  </si>
  <si>
    <t>Nguyễn Lê Quỳnh Như</t>
  </si>
  <si>
    <t xml:space="preserve">Giấy chứng nhận Đã đạt danh hiệu Sao tháng thanh niên SGU Nghĩ đúng Sống đẹp năm 2025
Giấy chứng nhận Đã đạt danh hiệu “Điển hình Thanh niên tiến khoa Ngoại ngữ trường Đại học Sài Gòn làm theo lời Bác” năm học 2024-2025
Tham gia Triển khai đánh giá kết quả học tập chuyên đề về tư tưởng, đạo đức, phong cách Hồ Chí Minh
trong cán bộ Đoàn, đoàn viên năm 2024
Tham gia Kiểm tra đánh giá nhận thức sau học tập 57 - NQ/TW đối với cán bộ đoàn, đoàn viên thanh niên.
</t>
  </si>
  <si>
    <t xml:space="preserve">Là Phó Chủ nhiệm CLB Lý luận trẻ SGU
Giấy Chứng nhận tham gia cuộc thi Frontiers of Science do khoa Ngoại ngữ tổ chức.
Là thành viên và tham gia tích cực Câu lạc bộ Tiếng Anh trường Đại học Sài Gòn - STT: 5
</t>
  </si>
  <si>
    <t xml:space="preserve">Giấy chứng nhận Đã tham gia Giải việt dã Học sinh, sinh viên TP. Hồ Chí Minh mở rộng
năm 2025 Cúp “Chị Ngã Em Nâng” 
Tham gia tích cực Ngày hội Tân sinh viên năm 2025 chủ đề “SGU’s Day”
và đạt danh hiệu “Thanh niên khỏe trường Đại học Sài Gòn” - STT: 63
</t>
  </si>
  <si>
    <t>Giấy khen từ ban Thường vụ Đoàn phường Phú Định Đã có thành tích xuất sắc trong
Chương trình “Gia sư áo xanh” tại địa bàn phường Phú Định năm 2025
Giấy Chứng nhận là tình nguyện viên chương trình “Gia sư áo xanh năm 2025”
 đã tham gia 20 buổi tình nguyện.
Tham gia Chiến dịch tình nguyện trung hạn Chiến dịch Xuân tình nguyện 2025
Giấy chứng nhận là Trưởng tỉnh &amp; quản lý vùng điều hành sứ giả
thành phố Hồ Chí Minh &amp; vùng Đông Nam Bộ Quỹ Đỡ Đầu Việt Nam 
Giấy Chứng nhận đã tham gia và hoàn thành xuất sắc nhiệm vụ tại Chương trình “Tiếp sức mùa thi 2025 TPHCM” tại Đội hình Quận 6 - Cấp Thành phố - Năm 2025.
Giấy chứng nhận từ Ban Chỉ đạo Chương trình Phát triển Cộng đồng xã Yên Thắng giai đoạn 5.1 Dự án 2023.2 -Quỹ Xã hội và Cộng đồng SCF
Giấy chứng nhận là thành viên Đội CTXH Đã tham gia và có đóng góp tích cực cho các hoạt động của Đội trong học kì I năm học 2024-2025
Giấy chứng nhận tham gia tại Đội hình Lý Luận Trẻ khi tham gia Chiến dịch Mùa Hè Xanh
lần thứ 31 trường Đại học Sài Gòn năm 2024.</t>
  </si>
  <si>
    <t xml:space="preserve">Điểm trung bình học phần Ngoại ngữ hai (tiếng Trung) từ năm nhất đến nay đạt 8.7/10
Tham gia và đạt giải khuyến khích trở lên các cuộc thi kiến thức ngoại ngữ (cuộc thi tìm hiểu ngoại ngữ hoặc cuộc thi sử dụng ngoại ngữ để trình bày) từ cấp khoa trở lên Cuộc thi hùng biện bằng tiếng Anh FFL’s Next Speaker 2025, The Winner 2024)
Giấy chứng nhận Đã tham gia talkshow “Năng hội nhập - Tự tin tỏa sáng” ngày hội Tân Sinh viên TP. Hồ Chí Minh Lần thứ XX - Năm 2025
Giấy chứng nhận đã tham gia tích cực và hoàn thành workshop “Teaching Advanced Grammar: Engaging Strategies for Real-World Communication”.
Giấy chứng nhận Đã hoàn thành Sân chơi “Speak Art, Speak World”
Giấy chứng nhận Đã tham gia tích cực Ngày hội Tân sinh viên năm 2024 và xuất sắc hoàn thành nhiệm vụ tại khu vực Explorer - Sinh viên Đại học Sài Gòn tự tin hội nhập” 
Là TNV đã hoàn thành tốt công tác truyền thông sự kiện tại Hội chợ Du lịch Quốc tế Thành phố Hồ Chí Minh lần thứ 18 năm 2024 từ Sở Du lịch Thành phố Hồ Chí Minh
</t>
  </si>
  <si>
    <t>NGUYỄN LÊ QUỲNH NHƯ – 3123380226 – KHOA NGOẠI NGỮ – MINH CHỨNG THÀNH TÍCH (1) (1).docx</t>
  </si>
  <si>
    <t>Nguyễn Thị Hoàng Mơ</t>
  </si>
  <si>
    <t>Kết quả đánh giá chất lượng Đoàn viên cuối năm đạt Hoàn thành xuất sắc nhiệm vụ.
Đạt danh hiệu "Thanh niên tiên tiến Trường Đại học Sài Gòn làm theo lời Bác" năm học 2024 - 2025 theo Giấy chứng nhận số 95-GCN/ĐU ngày 12/05/2025.
Là Đảng viên chính thức từ ngày 09/12/2024.</t>
  </si>
  <si>
    <t>Đạt danh hiệu Sinh viên 5 tốt cấp trường năm học 2024 - 2025.
Tham gia trình bày đề tài nghiên cứu khoa học "A Comparative Study of Translation Quality Between ChatGPT and Third-Year Foreign Language Students at Saigon University in Academic Texts" tại Hội thảo quốc tế lần thứ 16 tổ chức tại SEAMEO.
Đề tài nghiên cứu khoa học sinh viên được hội đồng khoa học cấp Trường nghiệm thu đánh giá đạt loại Xuất sắc với đề tài: \So sánh chất lượng bài dịch giữa công cụ dịch thuật - Chat GPT và năng lực dịch thuật của sinh viên năm ba khoa Ngoại ngữ, Trường Đại học Sài Gòn trong văn bản học thuật.</t>
  </si>
  <si>
    <t>Nhận Giấy khen của Ban Chấp hành Hội Sinh viên trường vì thành tích tốt trong Chương trình Tiếp sức mùa thi năm 2025.
Tham gia và hoàn thành Chương trình Tiếp sức mùa thi trường Đại học Sài Gòn năm 2025.
Tham gia chương trình "Đồng hành cùng địa phương" và chương trình "Thắp nến tại nghĩa trang liệt sĩ" trên địa bàn TP.HCM.
Tham gia chương trình Ngày Chủ nhật xanh lần thứ 159 năm 2025 và Ngày thứ 7 tình nguyện.</t>
  </si>
  <si>
    <t>Đạt chứng chỉ ngoại ngữ IELTS và HSK3.
Tham gia Hội thảo Khoa học quốc tế TESOL tại SEAMEO với vai trò người trình bày đề tài khoa học bằng tiếng Anh.
Tham gia Chương trình giao lưu và tặng quà cho sinh viên Lào tại Ký túc xá Sinh viên Lào TP.HCM ngày 01/02/2025.
Xuất sắc hoàn thành nhiệm vụ tại khu vực "ASEAN Explorer - Sinh viên Đại học Sài Gòn tự tin hội nhập" năm 2024.
Đạt danh hiệu Cán bộ Đoàn tiêu biểu năm học 2024 - 2025
Được khen thưởng vì có đóng góp tích cực trong hoạt động Tháng thanh niên năm 2024.
Hoàn thành tập huấn chuyên đề "An toàn giao thông" và buổi chuyên đề "Ứng dụng kỹ năng số cho sinh viên" năm 2024.
Có chứng chỉ Ứng dụng Công nghệ thông tin cơ bản.</t>
  </si>
  <si>
    <t>22. NGUYỄN THỊ HOÀNG MƠ</t>
  </si>
  <si>
    <t>Nguyễn Thị Huyền Trang</t>
  </si>
  <si>
    <t>Ngày 18/5/2025; Ban Chấp hành Đoàn khoa; Giấy chứng nhận danh hiệu “Điển hình Thanh niên tiên tiến làm theo lời Bác” khoa Ngoại ngữ năm học 2024 - 2025</t>
  </si>
  <si>
    <t>Là thành viên và tham gia tích cực Câu lạc bộ Tiếng Anh trường Đại học Sài Gòn - STT: 30</t>
  </si>
  <si>
    <t xml:space="preserve">01 ngày: Tham gia hành trình về nguồn và công tác xã hội “Khoa Ngoại ngữ chung tay vì cuộc sống cộng đồng” tại thị trấn Phước Hải, TP. Bà Rịa - Vũng Tàu
01 ngày: Tham gia chương trình tình nguyện trung thu “Ánh trăng hoà bình” phối hợp Chi đoàn Khu phố 25, Phường Tân Hưng trong khuôn khổ Tuần lễ “Tình nguyện tốt” khoa Ngoại ngữ năm 2025
01 ngày: Tham gia Dâng hương, dâng hoa và quét dọn các khu vực tưởng niệm
phong trào Học sinh, sinh viên TP. HCM năm 2025.
01 ngày: Tham gia Ngày Chủ nhật xanh lần thứ 159 - năm 2025
01 ngày: Tham gia quét dọn và dâng hương tại Nghĩa trang liệt sĩ Nhà Bè, Quận 7
</t>
  </si>
  <si>
    <t>Điểm học phần Ngoại ngữ 2 - Tiếng Hàn
APTIS C1
Số 48/QĐ-BTK ngày 23/10/2025; Ban Chấp hành Hội Sinh viên trường; giấy khen Đã có thành tích xuất sắc trong công tác Hội và phong trào sinh viên Trường Đại học Sài Gòn năm học 2024 - 2025
Số 58/ QĐ-BTK; ngày 31/10/2024; Ban  Chấp hành Hội Sinh viên trường
Giấy Chứng nhận Danh hiệu “Sinh viên 5 tốt” khoa Ngoại Ngữ năm học 2023-2024
Số 16/QĐ-BTK ngày 15/04/2025; Ban Chấp hành Hội Sinh viên trường; Giấy khen Đã đạt danh hiệu “ Cán bộ Hội tiêu biểu” năm học 2024-2025
Tham gia Workshop “Vững bước hội nhập” trong khuôn khổ Tuần lễ “Hội nhập tốt” khoa Ngoại ngữ năm 2025</t>
  </si>
  <si>
    <t>NGUYỄN THỊ HUYỀN TRANG - NGOẠI NGỮ - MINH CHỨNG THÀNH TÍCH.docx</t>
  </si>
  <si>
    <t>Nguyễn Trung Kiên</t>
  </si>
  <si>
    <t>Giấy chứng nhận ngày 18/05/2025 của Ban Chấp hành Đoàn khoa Ngoại ngữ vì Đạt danh hiệu “Điển hình Thanh niên tiên tiến khoa Ngoại ngữ trường Đại học Sài Gòn làm theo lời Bác” năm học 2024 – 2025.
Hoàn thành việc học tập Chuyên đề Học tập và làm theo tư tưởng, đạo đức, phong cách Hồ Chí Minh năm 2024
Tham gia hoạt động Hành trình Ngược dòng lịch sử lần 3 do Câu lạc bộ Cộng tác viên Khoa Ngoại ngữ tổ chức ngày 14/12/2024.</t>
  </si>
  <si>
    <t>Là thành viên và tham gia tích cực Câu lạc bộ Tiếng Anh trường Đại học Sài Gòn - STT: 36
Đã tham gia và đạt giải Ba cuộc thi Nghiệp vụ Sư phạm khoa Ngoại ngữ năm học 2024 - 2025</t>
  </si>
  <si>
    <t>Huy chương Đồng giải Taekwondo Sinh viên Thành Phố Hồ Chí Minh mở rộng năm 2024.
Là thành viên đội tuyển cấp trường các môn thể dục thể thao: Đội tuyển Taekwondo trường Đại học Sài Gòn
Huy chương Vàng và Huy chương Bạc giải Taekwondo Sinh viên Đại học Văn Hiến mở rộng năm 2025.</t>
  </si>
  <si>
    <t>01 ngày: Tình nguyện viên chương trình “Vui Tết thiếu nhi” lần 1 vào 03/05/2025
cùng Ban Điều hành nhóm thiện nguyện Điểm đọc Cần Thơ.
01 ngày: Tham gia Chương trình Ra quân Chủ nhật Xanh lần thứ 156 năm 2025 tại trường Tiểu học Trần Hưng Đạo cùng đơn vị Đoàn TNCS Hồ Chí Minh phường Bến Thành, quận 1.
1 ngày: Tham gia chương trình tình nguyện trung thu “Ánh trăng hoà bình” phối hợp Chi đoàn Khu phố 25, Phường Tân Hưng trong khuôn khổ Tuần lễ “Tình nguyện tốt” khoa Ngoại ngữ năm 2025.
01 ngày: Tham gia chương trình “Đồng hành cùng địa phương” hỗ trợ Trung tâm Phục vụ Hành chính công phường Bến Thành.
01 ngày: Tham gia Dâng hương, dâng hoa và quét dọn các khu vực tưởng niệm Phong trào HSVV TP. HCM năm 2025</t>
  </si>
  <si>
    <t xml:space="preserve">Tham gia Vòng loại và Vòng Bán kết cuộc thi The Winner 2025.
Đã tham gia Hoạt động tập huấn kỹ năng thực hành xã hội “From Sunrise till Sunset: GenZ on fire”  khoa Ngoại ngữ
Tham gia Workshop “Vững bước hội nhập - Làm thế nào để vượt qua rào cản ngôn ngữ?”
khoa Ngoại ngữ
</t>
  </si>
  <si>
    <t>NGUYỄN TRUNG KIÊN - NGOẠI NGỮ - MINH CHỨNG THÀNH TÍCH.docx</t>
  </si>
  <si>
    <t>Phạm Ngọc Bảo Trân</t>
  </si>
  <si>
    <t xml:space="preserve">Giấy Chứng nhận của Ban Chấp hành Đoàn khoa Ngoại ngữ về việc đạt danh hiệu “Thanh niên tiên tiến khoa Ngoại ngữ trường Đại học Sài Gòn làm theo lời Bác” năm học 2024 - 2025
Giấy Chứng nhận số 97 - GCN/ĐU của Đảng uỷ trường Đại học Sài Gòn về việc đạt danh hiệu “Thanh niên tiên tiến trường Đại học Sài Gòn làm theo lời Bác” năm học 2024 - 2025
</t>
  </si>
  <si>
    <t>Giấy chứng nhận số 02/GCN-BTK ngày 18/8/2025 của Ban Thư ký Hội Sinh viên trường về việc đã đạt Danh hiệu “Thanh niên khoẻ” trường Đại học Sài Gòn năm học 2024 - 2025.</t>
  </si>
  <si>
    <t>01 ngày: Tham gia hành trình về nguồn và công tác xã hội “Khoa Ngoại ngữ chung tay vì cuộc sống cộng đồng” tại thị trấn Phước Hải, TP. Bà Rịa - Vũng Tàu
01 ngày: Tham gia Dâng hương, dâng hoa và quét dọn các khu vực tưởng niệm phong trào Học sinh, sinh viên TP. HCM năm 2025.
01 ngày: Tham gia Ngày Chủ nhật xanh lần thứ 159 - năm 2025
01 ngày: Tham gia quét dọn và dâng hương tại Nghĩa trang liệt sĩ Nhà Bè, Quận 7
01 ngày: Tham gia chương trình “Đồng hành cùng địa phương” hỗ trợ Trung tâm Phục vụ Hành chính công Phường Bến Thành.</t>
  </si>
  <si>
    <t>TOEIC 895/990 (C1) - Tháng 11/2025
Giấy khen số 48/QĐ-BTK ký ngày 23/10/2025 về việc đã có thành tích xuất sắc trong công tác Hội và phong trào sinh viên Trường Đại học Sài Gòn năm học 2024 - 2025
GCN đã tham gia Workshop “Vững bước hội nhập - Làm thế nào để vượt qua rào cản ngôn ngữ?”
Giấy khen Đã đạt danh hiệu “Cán bộ Hội tiêu biểu” năm học 2024 - 2025</t>
  </si>
  <si>
    <t>PHẠM NGỌC BẢO TRÂN - NGOẠI NGỮ - MINH CHỨNG THÀNH TÍCH.docx</t>
  </si>
  <si>
    <t>Phan Lê Yến Nhi</t>
  </si>
  <si>
    <t xml:space="preserve">Giấy chứng nhận số 94-GCN/ĐU; ngày 12/5/2025; Đảng ủy trường Đại học Sài Gòn, đã đạt danh hiệu “Thanh niên tiên tiến trường Đại học Sài Gòn làm theo lời Bác” năm học 2024 - 2025
</t>
  </si>
  <si>
    <t xml:space="preserve">Đề tài KLTN: Investigating student teachers’ perceptions of using warm-up activities to engage high school students in English classrooms - Kết quả đánh giá: 9,3/10
</t>
  </si>
  <si>
    <t>Đạt danh hiệu “Thanh niên khoẻ” trường Đại học Sài Gòn năm 2025</t>
  </si>
  <si>
    <t>Giấy khen số 83-QĐ/ĐTN; ngày 29/6/2025; Ban Chấp hành Đoàn TNCS Hồ Chí Minh huyện Phú Quý (nay là đặc khu Phú Quý, tỉnh Lâm Đồng) về việc đã có thành tích xuất sắc trong chiến dịch Thanh niên tình nguyện hè năm 2025.
Thành viên Ban chỉ huy, phụ trách mặt trận phường Tân Hưng – chiến dịch tình nguyện Mùa hè xanh trường Đại học Sài Gòn năm 2025.</t>
  </si>
  <si>
    <t>Aptis C1
Đã tham gia  hoạt động tập huấn kỹ năng thực hành xã hội mùa 4 “From sunrise till sunset: Gen Z on fire - From sunrise till sunset” năm 2025
Đã tham gia Workshop thực hành “Nghệ thuật sử dụng giọng nói trong giảng dạy” trong khuôn khổ Tuần lễ “Học tập tốt” khoa Ngoại ngữ năm 2025
Bằng khen của Thành đoàn Thành phố Hồ Chí Minh “Đã có thành tích xuất sắc trong công tác Đoàn và phong trào thanh niên” năm học 2024 - 2025”
Đã tham gia Sân chơi “Speak Art, Speak World” tại khu vực “Hội nhập tốt” trong khuôn khổ Hành trình “Sinh viên 5 tốt” năm 2025</t>
  </si>
  <si>
    <t>PHAN LÊ YẾN NHI - NGOẠI NGỮ - MINH CHỨNG THÀNH TÍCH.docx</t>
  </si>
  <si>
    <t>Trần Tấn Trí Đức</t>
  </si>
  <si>
    <t>Kết quả phân tích chất lượng Đoàn viên năm học 2024 - 2025 đạt Hoàn thành xuất sắc nhiệm vụ.
Đạt danh hiệu Điển hình Thanh niên tiên tiến Trường Đại học Sài Gòn làm theo lời Bác năm học 2024 - 2025 theo Giấy khen số 557-QĐ/ĐU ngày 12/05/2025.</t>
  </si>
  <si>
    <t>Thực hiện khóa luận tốt nghiệp năm học 2024 - 2025 đạt điểm 9.1</t>
  </si>
  <si>
    <t>Đạt danh hiệu Thanh niên khỏe trường Đại học Sài Gòn năm học 2024 - 2025.</t>
  </si>
  <si>
    <t>Nhận Giấy khen của Ban Chấp hành Hội Sinh viên trường vì đã có thành tích tốt trong Chương trình Tiếp sức mùa thi trường Đại học Sài Gòn năm 2025.
Hoàn thành tốt nhiệm vụ chiến sĩ tình nguyện tổ chức các hoạt động tình nguyện hè tại nước Cộng hòa Dân chủ Nhân dân Lào năm 2025 theo chứng nhận của Ban Thường vụ Thành Đoàn.
Tham gia chương trình Đồng hành cùng địa phương hỗ trợ Trung tâm Phục vụ Hành chính công tương ứng 01 ngày tình nguyện.
Tham gia chương trình Thắp nến tại nghĩa trang liệt sĩ trên địa bàn Thành phố Hồ Chí Minh tương ứng 01 ngày tình nguyện.
Tham gia chương trình Ngày Chủ nhật Xanh lần thứ 159 năm 2025 tương ứng 01 ngày tình nguyện.
Tham gia chương trình Thứ 7 tình nguyện tương ứng 02 ngày tình nguyện.</t>
  </si>
  <si>
    <t>Đạt chứng chỉ ngoại ngữ IELTS trình độ 8.0.
Xuất sắc hoàn thành nhiệm vụ tại khu vực ASEAN Explorer – Sinh viên Đại học Sài Gòn tự tin hội nhập trong Ngày hội Tân Sinh viên SGU's Day 2024.
Tham gia Chương trình giao lưu và tặng quà cho sinh viên Lào tại Ký túc xá Sinh viên Lào Thành phố Hồ Chí Minh ngày 01/02/2025.
Tham gia tập huấn chuyên đề An toàn giao thông và kỹ năng phòng tránh va chạm trong quá trình tham gia các hoạt động tình nguyện.
Tham gia buổi chuyên đề Ứng dụng kỹ năng số cho sinh viên trường Đại học Sài Gòn năm 2024.</t>
  </si>
  <si>
    <t>Triệu Thị Hiền Tâm</t>
  </si>
  <si>
    <t xml:space="preserve">Ngày 18/5/2025; Ban Chấp hành Đoàn khoa; Giấy chứng nhận danh hiệu “Điển hình Thanh niên tiên tiến làm theo lời Bác” khoa Ngoại ngữ năm học 2024 - 2025
Số 96/GCN-ĐU; ngày 12/5/2025; Đảng Ủy trường Đại học Sài Gòn; Giấy chứng nhận danh hiệu “Thanh niên tiên tiến trường Đại học Sài Gòn làm theo lời Bác” năm học 2024 - 2025
</t>
  </si>
  <si>
    <t>Tham gia Workshop “Vững bước hội nhập” trong khuôn khổ Tuần lễ “Hội nhập tốt” khoa Ngoại ngữ
Điểm học phần Ngoại ngữ 2 - Tiếng Hàn
 Số 48/QĐ-BTK ngày 23/10/2025; Ban Chấp hành Hội Sinh viên trường; giấy khen Đã có thành tích xuất sắc trong công tác Hội và phong trào sinh viên Trường Đại học Sài Gòn năm học 2024 - 2025
Số 01/QĐ-BTK; ngày 01/01/2025; Ban Chấp hành Hội Sinh viên trường;
Giấy Chứng nhận danh hiệu “ Sinh viên 5 tốt” trường Đại học Sài Gòn  năm học 2023-2024
Số 16/QĐ-BTK ngày 15/04/2025; Ban Chấp hành Hội Sinh viên trường; Giấy khen Đã đạt danh hiệu “ Cán bộ Hội tiêu biểu” năm học 2024-2025</t>
  </si>
  <si>
    <t>TRIỆU THỊ HIỀN TÂM - NGOẠI NGỮ - MINH CHỨNG THÀNH TÍCH.docx</t>
  </si>
  <si>
    <t>Trương Huyền Diệu</t>
  </si>
  <si>
    <t>Bài tham luận “Nhận diện và đấu tranh phản bác các quan điểm sai trái, thù địch trong bối cảnh hiện nay – Vai trò của thanh niên trong việc thực hiện Nghị quyết số 35-NQ/TW của Bộ Chính trị khóa XII” trong buổi tọa đàm “Bảo vệ nền tảng tư tưởng của Đảng trong đoàn viên, thanh niên Thành phố Hồ Chí Minh” với chủ đề “Chúng tôi sẵn sàng” tại trường Đại học Luật Thành phố Hồ Chí Minh, cấp thành phố, ngày 28/03/2025
Chứng nhận Quyết định số 06-QĐCN/ĐTN-VP, ngày 17/4/2025 của Ban Thường vụ Đoàn trường đã đạt danh hiệu “Sao Tháng Thanh niên SGU - Nghĩ đúng sống đẹp” năm 2025</t>
  </si>
  <si>
    <t>Là thành viên và tham gia tích cực Câu lạc bộ Tiếng Anh trường Đại học Sài Gòn - STT: 56</t>
  </si>
  <si>
    <t>Giấy chứng nhận số 02/GCN-BTK của Ban Thư ký Hội Sinh viên trường về việc đạt danh hiệu “Thanh niên khỏe” trường Đại học Sài Gòn năm học 2024 - 2025
Giải Nhì môn Nhảy Bao bố tiếp sức trong Hội thao Đảng viên các Chi bộ sinh viên (mở rộng) trường Đại học Sài Gòn</t>
  </si>
  <si>
    <t>Tình nguyện hỗ trợ Nhà Nhiều Lá lọc quần áo sau sự kiện: 3 ngày
Tham gia đan mũ len gửi tặng trẻ em vùng cao: 1 ngày
Hiến máu tình nguyện HCĐ vận động hiến máu tỉnh Kon Tum: 1 ngày
Hiến tặng tóc Mạng lưới Ung thư vú Việt Nam: 1 ngày
Chiến dịch Mùa hè xanh trường Đại học Sài Gòn lần thứ 32 - năm 2025
Giấy chứng nhận Đội hình “Đồng hành cùng địa phương” thực hiện hỗ trợ  Trung tâm phục vụ Hành chính công phường Bến Thành tháng 8 năm 2025</t>
  </si>
  <si>
    <t>Đã tham gia Workshop thực hành “Vững bước hội nhập” trong khuôn khổ Tuần lễ “Hội nhập tốt” khoa Ngoại ngữ năm 2025
Giấy chứng nhận Đã hoàn thành Khóa tập huấn Kỹ năng AI dành cho Cán bộ Đoàn - Hội” của Trung ương Đoàn TNCS Hồ Chí Minh 
Giấy khen số 15-QĐKT/ĐTN-VP về việc đã có đóng góp tích cực trong công tác Đoàn và phong trào thanh niên Trường Đại học Sài Gòn năm học 2024 – 2025
GCN Giải Khuyến khích Cuộc thi Nghiệp vụ Sư phạm khoa Ngoại ngữ năm học 2024 - 2025
Tiếng Trung 1: 9.9/10</t>
  </si>
  <si>
    <t>TRƯƠNG HUYỀN DIỆU - NGOẠI NGỮ - MINH CHỨNG THÀNH TÍCH.docx</t>
  </si>
  <si>
    <t>Võ Hoàng Minh Triết</t>
  </si>
  <si>
    <t>Đã đạt danh hiệu “Thanh niên thanh niên tiên tiến khoa Ngoại ngữ trường Đại học Sài Gòn làm theo lời Bác năm học 2024-2025”
Số 06-QĐCN/ĐTN-VP ngày 17/4/2025; Ban Thường vụ Đoàn trường - Ban Thư ký Hội Sinh viên trường; Chứng nhận Đạt danh hiệu Sao tháng thanh niên SGU Nghĩ đúng sống đẹp năm 2025</t>
  </si>
  <si>
    <t>Là thành viên và tham gia tích cực Câu lạc bộ Tiếng Anh trường Đại học Sài Gòn - STT: 43</t>
  </si>
  <si>
    <t>Số 02/QĐ-BTK ngày 25/01/2025; Ban Chấp hành Hội Sinh viên trường; Giấy khen Đã có thành tích xuất sắc trong Chiến dịch Xuân Tình nguyện trường Đại học Sài Gòn lần thứ 17 năm 2025
Số 688/KT-UBH ngày 16/5/2025; Uỷ ban Hội Liên Hiệp Thanh niên Việt Nam Thành phố Hồ Chí Minh;  Bằng khen thưởng Đã có thành tích xuất sắc trong công tác hỗ trợ tổ chức Đại lễ VESAK Liên hợp quốc năm 2025 tại TP. Hồ Chí Minh
Đã tham gia và hoàn thành nhiệm vụ tình nguyện viên góp phần tổ chức thành công Đại lễ Phật Đản Liên hợp quốc – VESAK 2025 từ ngày 03/5/2025 đến ngày 09/5/2025
Giấy chứng nhận của Ban Thường vụ Quận Đoàn 1 về việc đã tích cực trong công tác đón tiếp đại biểu Tàu Thanh niên Đông Nam Á – Nhật Bản năm 2024 tại Quận 1</t>
  </si>
  <si>
    <t xml:space="preserve">Đạt giải ba cuộc thi Nghiệp vụ sư phạm khoa Ngoại ngữ trường Đại học Sài Gòn năm 2025.
Số 15-QĐKT/ĐTN-VP ngày 24/10/2025; Ban Chấp hành Đoàn trường Đại học Sài Gòn; Giấy khen đã có đóng góp tích cực trong công tác Đoàn và phong trào thanh niên Trường Đại học Sài Gòn năm học 2024 – 2025.
Đã tham gia Workshop thực hành “Nghệ thuật sử dụng giọng nói trong giảng dạy” trong khuôn khổ Tuần lễ “Học tập tốt” khoa Ngoại ngữ năm 2025
</t>
  </si>
  <si>
    <t>VÕ HOÀNG MINH TRIẾT - NGOẠI NGỮ - MINH CHỨNG THÀNH TÍCH .docx</t>
  </si>
  <si>
    <t>Võ Mai Hải Phương</t>
  </si>
  <si>
    <t xml:space="preserve">Tham gia và đạt giấy chứng nhận hoàn thành Nội dung "HỌC TẬP NGHỊ QUYẾT ĐẠI HỘI ĐOÀN TOÀN QUỐC LẦN THỨ XII, NHIỆM KỲ 2022-2027".
Giấy khen Quyết định số 07-QĐKT/ĐTN-VP, ngày 18/4/2025 của Ban Chấp hành Đoàn trường Đại học Sài Gòn đã đạt danh hiệu “Đoàn viên tiêu biểu” năm học 2024-2025.
Chứng nhận ngày 18/5/2025 của Ban Chấp hành Đoàn khoa Ngoại ngữ đã đạt danh hiệu “Thanh niên tiên tiến khoa Ngoại ngữ trường Đại học Sài Gòn làm theo lời Bác” năm học 2024-2025.
Chứng nhận Quyết định số 06-QĐCN/ĐTN-VP, ngày 17/4/2025 của Ban Thường vụ Đoàn trường đã đạt danh hiệu “Sao Tháng Thanh Niên” năm học 2025.
Chứng nhận Quyết định số 45-QĐ/NVHSV của Nhà Văn hóa sinh viên Thành phố Hồ Chí Minh tổ chức ngày 15/5/2025 đã tham gia Cuộc thi trực tuyến Tìm hiểu về 50 năm Ngày Giải phóng miền Nam, thống nhất đất nước (30/4/1975-30/4/2025)
Đã hoàn thành việc học tập Chuyên đề Học tập và làm theo tư tưởng, đạo đức, phong cách Hồ Chí Minh năm 2024.
Tham gia làm bài kiểm tra và đạt giấy chứng nhận nội dung Nghị quyết số 57-NQ/TW của Bộ Chính trị về đột phá phát triển khoa học, công nghệ, đổi mới sáng tạo và chuyển đổi số quốc gia cho cán bộ đoàn, đoàn viên thanh niên.
Tham gia cuộc thi “Theo dấu chân Người” - chủ đề “Một ngày cùng Bác” và đạt được giải Khuyến khích.
</t>
  </si>
  <si>
    <t>Là thành viên và tham gia tích cực Câu lạc bộ Tiếng Anh trường Đại học Sài Gòn - STT: 40
Đạt giải Khuyến khích cuộc thi Nghiệp vụ Sư phạm năm học 2024 - 2025.</t>
  </si>
  <si>
    <t>Giấy Chứng nhận Đã tham gia thi đấu và đạt Ba nội dung “Cầu lông nữ”  Hội thao năm 2025 Chào mừng Đại hội đại biểu Hội Sinh viên Việt Nam trường Đại học Sài Gòn lần thứ IX, nhiệm kỳ 2025 - 2028</t>
  </si>
  <si>
    <t>Giấy khen cho cá nhân có thành tích xuất sắc trong Chiến dịch tình nguyện Mùa hè xanh phường Bến Thành năm 2025 của Ban Chấp hành Đoàn TNCS Hồ Chí Minh  phường Bến Thành.
1 ngày: Tham gia hoạt động hỗ trợ công tác vận hành chính quyền địa phương 2 cấp ở P. Bến Thành.
4 ngày: Tham gia Chương trình Tiếp sức mùa thi năm học 2025</t>
  </si>
  <si>
    <t xml:space="preserve">HSK3 300/300 (Thời gian cấp ngày 22/6/2025).
Tham gia Workshop thực hành “Nghệ thuật sử dụng giọng nói trong giảng dạy” trong khuôn khổ Tuần lễ “Học tập tốt” khoa Ngoại ngữ năm 2025
Chứng chỉ Tin học MOS
Chứng nhận Ứng dụng Công nghệ thông tin trong dạy học
Chứng nhận đạt giải Khuyến khích cuộc thi Nghiệp vụ Sư phạm 2024 - 202
</t>
  </si>
  <si>
    <t>VÕ MAI HẢI PHƯƠNG - NGOẠI NGỮ - MINH CHỨNG THÀNH TÍCH-2.docx</t>
  </si>
  <si>
    <t>Vũ Diệp Minh Huyền</t>
  </si>
  <si>
    <t xml:space="preserve">Giấy Chứng nhận đạt danh hiệu “Điển hình Thanh niên tiên tiến khoa Ngoại ngữ trường Đại học Sài Gòn làm theo lời Bác năm học 2024-2025”
Số 91-GCN/ĐU, ngày 12/5/2025, Đảng uỷ Trường Đại học Sài Gòn Chứng nhận đạt danh hiệu “Thanh niên tiên tiến trường Đại học Sài Gòn làm theo lời Bác năm học 2024 - 2025”
</t>
  </si>
  <si>
    <t>Là thành viên và tham gia tích cực Câu lạc bộ Tiếng Anh trường Đại học Sài Gòn - STT: 50</t>
  </si>
  <si>
    <t>Số 02/GCN-BTK, ngày 18/8/2025 Chứng nhận Đạt danh hiệu “Thanh niên khoẻ” trường Đại học Sài Gòn năm học 2024 - 2025</t>
  </si>
  <si>
    <t xml:space="preserve">Số 02 - QĐGCN/HSV Chứng nhận đã tham gia Chiến dịch Xuân tình nguyện trường Đại học Sài Gòn lần thứ 17 - năm 2025;
Giấy chứng nhận đã tham gia Chiến dịch Mùa hè xanh trường Đại học Sài Gòn lần thứ 32 - năm 2025.
Ban Điều hành cổng thông tin kết nối tình nguyện TP. Hồ Chí Minh Chứng nhận Đã tham gia Lễ đón, Lễ tiễn Tổng Bí thư, Chủ tịch Nước Cộng hoà Dân chủ Nhân dân Lào thăm Thành phố Hồ Chí Minh.
</t>
  </si>
  <si>
    <t xml:space="preserve">Giải Khuyến khích Cuộc thi Nghiệp Du lịch khoa Ngoại ngữ năm học 2024 - 2025
Số 01- QĐKT/ĐTN-VP, ngày 26/9/2024, Ban Chấp hành Đoàn trường Đại học Sài Gòn khen tặng vì Đã có đóng góp tích cực trong công tác Đoàn và phong trào thanh niên trường Đại học Sài Gòn năm học 2023 - 2024
Số 06 - QĐKT/ĐTN - VP, ngày 18/4/2025 khen tặng Đã đạt danh hiệu “Cán bộ Đoàn tiêu biểu năm học 2024 - 2025”
Số 48/QĐ-BTK, ngày 23/10/2025, Ban Chấp hành Hội Sinh viên trường Đại học Sài Gòn khen tặng vì Đã có thành tích xuất sắc trong công tác Hội và phong trào sinh viên trường Đại học Sài Gòn năm học 2024 - 2025.
Số 08 QĐKT/ĐTN - VP, ngày 18/4/2025, khen tặng vì Đã có đóng góp tích cực trong hoạt động Tháng Thanh niên trường Đại học Sài Gòn năm 2025, Chủ đề “Tuổi trẻ trường Đại học Sài Gòn, tự hào vững tin theo Đảng”
Giấy Chứng nhận đã tham gia Workshop “Vững bước hội nhập” thuộc khuôn khổ Tuần lễ “Hội nhập tốt” khoa Ngoại ngữ năm học 2024 - 2025
</t>
  </si>
  <si>
    <t>VŨ DIỆP MINH HUYỀN - NGOẠI NGỮ - MINH CHỨNG THÀNH TÍCH.docx</t>
  </si>
  <si>
    <t>Vũ Huy Hoàng</t>
  </si>
  <si>
    <t xml:space="preserve"> - Giấy chứng nhận ngày 18/5/2025 của Đoàn khoa Ngoại ngữ đã đạt danh hiệu “Thanh niên tiên tiến khoa Ngoại ngữ trường Đại học Sài Gòn làm theo lời Bác” năm học 2024 - 2025.
- Giấy chứng nhận số 06-QĐCN/ĐTN-VP ngày 17/4/2025 của Ban Thường vụ Đoàn trường - Ban Thư ký Hội Sinh viên Trường Đại học Sài Gòn đã đạt danh hiệu Sao Tháng Thanh niên SGU - Nghĩ đúng Sống đẹp năm 2025.
</t>
  </si>
  <si>
    <t xml:space="preserve">- Giấy khen số 05-QĐ/ĐTN ngày 14/2/2025 của Ban Chấp hành Đoàn Thanh niên Cộng sản Hồ Chí Minh phường 11, quận Phú Nhuận đã có thành tích xuất sắc trong Chiến dịch Xuân Tình Nguyện lần thứ 17 năm 2025.
 - Tham gia Chiến dịch Mùa hè xanh năm 2025;
- Tham gia chiến dịch Tiếp sức mùa thi năm 2025
- Giấy chứng nhận ngày 30/4/2025 của Ban Thường vụ Thành đoàn Thành phố Hồ Chí Minh đã tham gia các hoạt động hỗ trợ tổ chức Lễ Kỷ niệm 50 năm Ngày Giải phóng miền Nam, Thống nhất đất nước (30/3/1975 - 30/4/2025).
- Giấy chứng nhận ngày 25/12/2024 của Ban thư ký Hội sinh viên Việt Nam Thành phố đã tham gia đội hình hỗ trợ nhân dân trải nghiệm tuyến Metro Số 1.
- Giấy chứng nhận của Ban thường vụ Phường Bến Thành vì Đã tích cực tham gia Đội hình “Đồng hành cùng địa phương” thực hiện hỗ trợ tại Trung tâm phục vụ Hành chính công phường Bến Thành
- Giấy chứng nhận ngày 31/3/2025 của Ban Điều hành Cổng thông tin Kết nối tình nguyện TP.HCM – Go Volunteer xác nhận đã tham gia và hỗ trợ “Hoạt động Giao lưu Văn hóa Thanh niên các nước ASEAN” trong khuôn khổ Lễ hội Thanh niên Thành phố Hồ Chí Minh lần V – năm 2025. (3 ngày)
- Giấy chứng nhận ngày 01/6/2025 của Ủy ban Tổ chức Đại lễ Vesak Liên Hợp Quốc 2025 đã tham gia và hoàn thành nhiệm vụ tình nguyện viên, góp phần tổ chức thành công Đại lễ Phật Đản Liên Hợp Quốc - Vesak 2025. (10 ngày)
- Giấy chứng nhận số 236-2025/GCN ngày 04/4/2025 của Đội Công tác xã hội Thanh niên Thành phố Hồ Chí Minh đã tham gia chương trình “Suất ăn nghĩa tình”. (1 ngày)
- Giấy chứng nhận ngày 25/12/2024 của Ban thư ký Hội sinh viên Việt Nam Thành phố đã tham gia hỗ trợ Lễ Ra quân Chiến dịch Xuân Tình Nguyện lần thứ 17 năm 2025. (1 ngày)
</t>
  </si>
  <si>
    <t>Điểm trung bình các học phần Ngoại ngữ 2 đã hoàn thành: 3.3 /4.0
Sân chơi Hội nhập tốt “Speak art speak world”
- Giấy chứng nhận số 08-GCN/ĐTN-VP ngày 25/5/2025 của Ban Thường vụ Đoàn trường đã hoàn thành Vòng Bán kết 1 của Hội thi Tôi là Bí thư Đoàn trường.
- Giấy chứng nhận ngày 05/10/2025 của Ban Thư ký Hội Sinh viên trường Đại học Sài Gòn đã tham gia tích cực Ngày hội Tân sinh viên “SGU’s Day” năm 2024 và xuất sắc hoàn thành nhiệm vụ tại khu vực “ASEAN Explorer - Sinh viên Đại học Sài Gòn tự tin hội nhập”.
- Giấy chứng nhận hoàn thành Khóa Tập huấn Kỹ năng AI dành cho Cán bộ Đoàn - Hội trong Chương trình “Phổ cập AI”.
Giấy chứng nhận giải Khuyến khích cuộc thi Nghiệp vụ Du lịch khoa Ngoại ngữ năm học 2024 - 2025
Đã tham gia Workshop thực hành “Vững bước hội nhập” Trong khuôn khổ Tuần lễ “Hội nhập tốt” khoa Ngoại ngữ năm 2025
- Số 48/QĐ-BTK ngày 23/10/2025; Ban Chấp hành Hội Sinh viên trường; Giấy khen Đã có thành tích xuất sắc trong công tác Hội và phong trào sinh viên Trường Đại học Sài Gòn năm học 2024 - 2025
- Giấy khen số 07-QĐKT/ĐTN-VP ngày 18/4/2025 của Ban Chấp hành Đoàn trường Đại học Sài Gòn đã đạt danh hiệu Đoàn viên tiêu biểu năm học 2024 - 2025</t>
  </si>
  <si>
    <t>VŨ HUY HOÀNG - NGOẠI NGỮ - MINH CHỨNG THÀNH TÍCH.docx</t>
  </si>
  <si>
    <t>Đặng Vỹ Khang</t>
  </si>
  <si>
    <t xml:space="preserve">Đánh giá xếp loại Đoàn viên năm học 2024 - 2025: Hoàn thành xuất sắc nhiệm vụ 
Giấy chứng nhận của Đảng uỷ trường Đại học Sài Gòn theo Quyết định số 92-GCN/ĐU, ký ngày 12/5/2025 về việc đạt danh hiệu “Thanh niên tiên tiến Trường Đại học Sài Gòn làm theo lời Bác” năm học 2024 - 2025.
</t>
  </si>
  <si>
    <t>Là thành viên và tham gia tích cực Câu lạc bộ Tiếng Anh trường Đại học Sài Gòn - STT: 44</t>
  </si>
  <si>
    <t xml:space="preserve">Số 02/GCN-BTK, ngày 18/8/2025 Chứng nhận Đạt danh hiệu “Thanh niên khoẻ”
trường Đại học Sài Gòn năm học 2024 - 2025
</t>
  </si>
  <si>
    <t>Giấy khen của Hội Sinh viên trường về việc đã có thành tích tốt trong chương trình
Tiếp sức mùa thi trường Đại học Sài Gòn năm 2025
Giấy khen của Ban Thường vụ Đoàn trường theo quyết định số 14-QĐKT/ĐTN-VP ký ngày 08/8/2025 về việc đã có đóng góp tích cực trong chiến dịch tình nguyện Mùa hè xanh trường Đại học Sài Gòn lần thứ 32 - năm 2025
- Giấy chứng nhận của Hội Sinh viên trường về việc là chiến sĩ tình nguyện
chiến dịch Xuân tình nguyện trường Đại học Sài Gòn năm 2025
01 ngày: Tham gia hành trình về nguồn và công tác xã hội “Khoa Ngoại ngữ chung tay vì cuộc sống cộng đồng” tại thị trấn Phước Hải, TP. Bà Rịa - Vũng Tàu
01 ngày: Tham gia Dâng hương, dâng hoa và quét dọn các khu vực tưởng niệm
phong trào Học sinh, sinh viên TP. HCM năm 2025.
01 ngày: Tham gia Ngày Chủ nhật xanh lần thứ 159 - năm 2025
01 ngày: Tham gia quét dọn và dâng hương tại Nghĩa trang liệt sĩ Nhà Bè, Quận 7
01 ngày: Tham gia chương trình “Đồng hành cùng địa phương”
hỗ trợ Trung tâm Phục vụ Hành chính công Phường Bến Thành.</t>
  </si>
  <si>
    <t>Đạt giải Khuyến khích cuộc thi Nghiệp vụ Sư phạm khoa Ngoại ngữ năm học 2024 - 2025.
Giấy khen của Ban Chấp hành Đoàn trường Đại học Sài Gòn theo Quyết định số 08-QĐKTĐTN-VP, ký ngày 18/4/2025 vì đã có đóng góp tích cực trong hoạt động Tháng Thanh niên trường Đại học Sài Gòn năm 2025;
Giấy khen của Ban Chấp hành Hội Sinh viên trường Đại học Sài Gòn theo Quyết định số 45/QĐ-BTK, ký ngày 25/9/2024 vì đã có đóng góp tích cực trong công tác Hội và phong trào sinh viên trường Đại học Sài Gòn năm học 2023 – 2024”;
- Giấy khen của Ban Chấp hành Hội Sinh viên trường Đại học Sài Gòn theo Quyết định số 19/QĐ-BTK, ký ngày 25/4/2025 vì đã có thành tích xuất sắc trong công tác Hội và phong trào sinh viên khoa Ngoại ngữ nhiệm kỳ 2023 - 2025”;
- Giấy khen của Ban Chấp hành Hội Sinh viên trường Đại học Sài Gòn theo Quyết định số 16/QĐ-BTK, ký ngày 15/4/2025 vì đã đạt danh hiệu “Cán bộ Hội tiêu biểu” năm học 2024 - 2025;
- Giấy Chứng nhận đã tham gia Workshop thực hành “Vững bước hội nhập” thuộc khuôn khổ Tuần lễ “Hội nhập tốt” khoa Ngoại ngữ năm học 2024 - 2025
- Đã tham gia Sân chơi “Speak Art, Speak World” tại khu vực “Hội nhập tốt” trong khuôn khổ Hành trình “Sinh viên 5 tốt” năm 2025</t>
  </si>
  <si>
    <t>ĐẶNG VỸ KHANG - NGOẠI NGỮ - BẢNG KHAI THÀNH TÍCH.docx</t>
  </si>
  <si>
    <t>ĐẶNG VỸ KHANG - NGOẠI NGỮ - MINH CHỨNG THÀNH TÍCH.docx</t>
  </si>
  <si>
    <t>Cao Thị Cẩm Tú</t>
  </si>
  <si>
    <t>3122190112</t>
  </si>
  <si>
    <t>GIÁO DỤC
MẦM NON</t>
  </si>
  <si>
    <t>3.45</t>
  </si>
  <si>
    <t xml:space="preserve">Sao tháng “thanh niên sgu nghĩ đúng – sống đẹp” : 17/4/2025
Thanh niên tiên tiến Khoa Giáo Dục Mầm Non làm theo lời Bác năm học 2024-2025
</t>
  </si>
  <si>
    <t>Biện pháp giáo dục hành vi vệ sinh cho trẻ mẫu giáo 3-4 tuổi tại thành phố Hồ Chí Minh , 80 điểm , xếp loại tốt .</t>
  </si>
  <si>
    <t>Hội thao “khỏe để xây dựng bảo vệ tổ quốc” , đoàn khoa GDMN tổ chức , đạt giải nhì</t>
  </si>
  <si>
    <t xml:space="preserve">Ngày 1 : Trạm ký gửi: "tập trắng trao tay - yêu thương đong đầy" : 15/03/2025.
Ngày 2 : Quyên góp cho mái ấm tâm đức : 5/5/2025
Ngày 3 : Chủ nhật xanh 2025 : 28/09/2025
Ngày 4 : Thăm trẻ khuyết tật tại trường chuyên biệt hy vọng gò vấp : 13/5/2025
Ngày 5 : Chủ nhật xanh lần 2 2024-2025 : 05/04/2025
Ngày 6 : Phát quà xuân tình nguyện tại bệnh viện nhi đồng 2 : 06/01/2025
</t>
  </si>
  <si>
    <t xml:space="preserve">Chứng chỉ Aptis b1 , Hội Đồng Anh,  3/8/2025
Khóa tập huấn kỹ năng ai dành cho cán bộ đoàn-hội
Đoàn viên tiêu biểu 2024-2025 : cấp trường 
Sao tháng thanh niên SGU nghĩ đúng sống đẹp năm 2025 : cấp trường 
Tọa đàm với chuyên đề "songdrawing method - finland" , BCH LCH SV Khoa Giáo Dục Mầm Non tổ chức , người tham gia .
</t>
  </si>
  <si>
    <t>CAO THỊ CẨM TÚ - 3122190112 - GIÁO DỤC MẦM NON - BẢNG KHAI THÀNH TÍCH..docx</t>
  </si>
  <si>
    <t>CAO THỊ CẨM TÚ - 3122190112 - GIÁO DỤC MẦM NON - MINH CHỨNG THÀNH TÍCH CÁ NHÂN.docx</t>
  </si>
  <si>
    <t>23  SV5T KHOA
6 SV5TTB KHOA</t>
  </si>
  <si>
    <t>Mã Tú Trân</t>
  </si>
  <si>
    <t>83.7</t>
  </si>
  <si>
    <t>2.95</t>
  </si>
  <si>
    <t xml:space="preserve">- Giấy chứng nhận “Thanh niên tiên tiến làm theo lời Bác” Khoa Giáo dục Mầm non – Năm học 2024 – 2025:
</t>
  </si>
  <si>
    <t xml:space="preserve">- Giấy chứng nhận ngày 11 tháng 10 năm 2025 đã có đóng góp tích cực trong các hoạt động của câu lạc bộ Truyền thông khoa Giáo dục Mầm non năm học 2024-2025: 
- Giấy chứng nhận ngày 11 tháng 10 năm 2025 đã có đóng góp tích cực trong các hoạt động của câu lạc bộ Cộng tác viên khoa Giáo dục Mầm non năm học 2024-2025: 
Giấy chứng nhận ngày 11 tháng 10 năm 2025 đã có đóng góp tích cực trong các hoạt động của câu lạc bộ Học thuật và NCKH - khoa Giáo dục Mầm non năm học 2024-2025
</t>
  </si>
  <si>
    <t>- Đạt giải Nhì hội thao “Khỏe để xây dựng bảo vệ Tổ quốc” do Đoàn khoa Giáo dục Mầm non tổ chức ngày 12 tháng 4 năm 2025</t>
  </si>
  <si>
    <t xml:space="preserve">1 ngày: Chủ nhật xanh (05/4/2025) 
1 ngày: Chủ nhật xanh (28/9/2025)
1 ngày: thứ bảy tình nguyện – Trạm ký gửi tập trắng trao tay, yêu thương đong đầy (15/3/2025)
1 ngày phát quà Xuân Tình nguyện khoa Giáo dục Mầm non (06/1/2025) (STT: 20)
1 ngày thăm hỏi và phát quà cho trẻ mồ côi và người già tại Chùa Từ Hạnh (18/8/2025) </t>
  </si>
  <si>
    <t xml:space="preserve">- Qualification number 610/4314/ International Certificate The British Council Aptis Entry Level Certificate in ESOL International (Entry 3) (B1), centre stamp and date 28/07/2025
- Chứng nhận hoàn thành chương trình “Phổ cập AI” Trung ương Đoàn TNCS Hồ Chí Minh ngày cấp 16 tháng 8 năm 2025 
- Tham gia chuyên đề “Songdrawing Method – Finland” do Liên Chi hội Sinh viên khoa Giáo dục Mầm non, tổ chức vào ngày 17 tháng 5 năm 2025 (STT: 16)
Giải Nhất – Hội thi văn nghệ “Tự hào Đoàn TNCS Hồ Chí Minh” do Khoa Giáo dục Mầm non tổ chức.(STT: 1)
</t>
  </si>
  <si>
    <t>MÃ TÚ TRÂN - 3124190142 - GIÁO DỤC MẦM NON - MINH CHỨNG THÀNH TÍCH CÁ NHÂN.docx</t>
  </si>
  <si>
    <t>Nghị Huỳnh Xuân Trang</t>
  </si>
  <si>
    <t>97</t>
  </si>
  <si>
    <t>3.65</t>
  </si>
  <si>
    <t>- Số 06-QĐCN/ĐTN-VP ngày 17 tháng 4 năm 2025 Chứng nhận đã đạt danh hiệu Sao Tháng Thanh niên SGU nghĩ đúng – sống đẹp năm 2025</t>
  </si>
  <si>
    <t xml:space="preserve">- Số 65/GCN-ĐHSG ngày 15 tháng 5 năm 2025 Giấy chứng nhận Thực hiện hoàn thành đề tài 
NCKH cấp Trường của sinh viên
- Giấy chứng nhận ngày 11 tháng 10 năm 2025 đã có đóng góp tích cực trong các hoạt động của câu lạc bộ Truyền thông khoa Giáo dục Mầm non năm học 2024-2025
</t>
  </si>
  <si>
    <t>- Quyết định công nhận số 03/QĐN-BTK ngày 11/11/2025 của Ban Thư ký Hội Sinh viên trường danh hiệu “Thanh niên khỏe” cấp trường, tổ chức ngày 19/10/2025 (STT: 246)
- Đạt giải Ba hội thao “Khỏe để xây dựng bảo vệ Tổ quốc” do Đoàn khoa Giáo dục Mầm non tổ chức ngày 12 tháng 4 năm 2025</t>
  </si>
  <si>
    <t xml:space="preserve">- Giấy xác nhận ngày 01 tháng 7 năm 2025 đã tham gia 5 ngày tình nguyện chương trình Tiếp sức mùa thi năm 2025
+ 1 ngày: Chủ nhật xanh (05/4/2025) 
+ 1 ngày: Chủ nhật xanh (28/9/2025)
+ 1 ngày: thứ bảy tình nguyện – Trạm ký gửi tập trắng trao tay, yêu thương đong đầy (15/3/2025)
+ 1 ngày phát quà Xuân Tình nguyện khoa Giáo dục Mầm non (06/1/2025) (STT: 8)
+ 1 ngày thăm trẻ em khuyết tật trường Chuyên biệt Hy Vọng (13/5/2025) (STT: 45)
</t>
  </si>
  <si>
    <t xml:space="preserve">- Qualification number 610/4314/ International Certificate The British Council Aptis Entry Level Certificate in ESOL International (Entry 3) (B1), centre stamp and date 01/06/2025
- Chứng nhận hoàn thành chương trình “Phổ cập AI” Trung ương Đoàn TNCS Hồ Chí Minh ngày cấp 19 tháng 8 năm 2025 
- Số 48/QĐ-BTK ngày 23 tháng 10 năm 2025 giấy khen của BCH Hội Sinh viên trường vì đã có thành tích xuất sắc trong công tác Hội và phong trào sinh viên Trường Đại học Sài Gòn năm học 2024 – 2025 
- Giấy chứng nhận đạt giải Ba Hội thi Nghiệp vụ sư phạm khoa Giáo dục Mầm non năm học 2024-2025 cấp ngày 24 tháng 11 năm 2024
- Tham gia chuyên đề “Songdrawing Method – Finland” do Liên Chi hội Sinh viên khoa Giáo dục Mầm non, tổ chức vào ngày 17 tháng 5 năm 2025 (STT: 12)
</t>
  </si>
  <si>
    <t>NGHỊ HUỲNH XUÂN TRANG - 3122190105 - GIÁO DỤC MẦM NON - BẢNG KHAI THÀNH TÍCH.docx</t>
  </si>
  <si>
    <t>NGHỊ HUỲNH XUÂN TRANG - 3122190105 - GIÁO DỤC MẦM NON - MINH CHỨNG THÀNH TÍCH CÁ NHÂN.docx</t>
  </si>
  <si>
    <t>Nguyễn Trương Kim Ngọc</t>
  </si>
  <si>
    <t xml:space="preserve">- Đạt danh hiệu “Thanh niên tiên tiến làm theo lời Bác” cấp khoa.
- Giấy chứng nhận số 597/CN của Đảng ủy Uỷ ban nhân dân Thành phố Hồ Chí Minh "Bồi dưỡng nhận thức về Đảng".
- Giấy chứng nhận Đã hoàn thành Vòng Bán kết 1 – Hội thi “Tôi là Bí thư Đoàn Trường 2025”.
</t>
  </si>
  <si>
    <t>Tham gia CLB Học Thuật và Nghiên Cứu Khoa Học khoa Giáo dục Mầm non và đạt giấy chứng nhận có nhiều đóng góp tích cực trong các hoạt động của câu lạc bộ.</t>
  </si>
  <si>
    <t xml:space="preserve">- Đạt giải Nhì hội thao “Khỏe để xây dựng bảo vệ Tổ quốc” tổ chức ngày 12/4/2025.
-Tham gia “Thanh niên khỏe” cấp trường, tổ chức ngày 19/10/2025. 
</t>
  </si>
  <si>
    <t xml:space="preserve">- Giấy xác nhận đã tham gia 4 ngày tình nguyện Chiến dịch “Tiếp sức mùa thi năm 2025”.
+ Tham gia 1 ngày hoạt động “Chủ nhật xanh” (05/04/2025).
+ Tham gia 1 ngày hoạt động “Chủ nhật xanh” (28/9/2025).
+ Tham gia 1 ngày phát quà Xuân Tình nguyện khoa Giáo dục Mầm non (06/01/2025). (STT 28)
+ Giấy chứng nhận tham gia hiến máu lần 1: 10/11/2024.
+ Giấy chứng nhận tham gia hiến máu lần 3: 16/10/2025.
+ Giấy chứng nhận là Tình nguyện viên chương trình “ƯƠM MẦM TRI THỨC III” năm 2025 của Mạng Lưới Tình Nguyện Quốc Gia Khu Vực Miền Nam Nhóm Thiện Nguyện Điểm Đọc Cần Thơ.
+ Giấy chứng nhận là Tình nguyện viên chương trình “CHO EM ĐẾN TRƯỜNG” của Mạng Lưới Quốc Gia Khu Vực Miền Nam Dự Án Thiện Nguyện Lá Xanh (25/08/2025).
+ Giấy chứng nhận là Tình nguyện viên đã có nhiều đóng góp hỗ trợ các em nhỏ người dân tộc thiểu số có hoàn cảnh khó khăn trong chương trình “GÓP SỮA CHO EM” của Trung Tâm Tình Nguyện Quốc Gia Dự Án Cho Em.
Tham gia đội hình văn nghệ “Lễ kỷ niệm 50 năm ngày Giải phóng miền Nam thống nhất đất nước”. (STT 35)
</t>
  </si>
  <si>
    <t xml:space="preserve"> Đạt chứng chỉ APTIS ESOL overall B2 do Hội đồng Anh British Council Vietnam Ho Chi Minh City cấp.
+ Chứng nhận hoàn thành Chương trình “Phổ cập AI” khóa Tập huấn Kỹ năng AI dành cho cán bộ Đoàn - Hội cấp ngày 16/08/2025.
+ Giấy khen số 08-QĐKT/ĐTN-VP của Ban Chấp hành Đoàn trường Đại học Sài Gòn đã có đóng góp tích cực trong hoạt động Tháng Thanh niên trường Đại học Sài Gòn 2025 Chủ đề “Tuổi trẻ trường Đại học Sài Gòn tự hào, vững tin theo Đảng”.
+ Giấy khen số 15-QĐKT/ĐTN-VP của Ban Chấp hành Đoàn trường Đại học Sài Gòn đã có đóng góp tích cực trong công tác Đoàn và phong trào thanh niên Trường Đại học Sài Gòn năm học 2024-2025.
+ Tham gia chuyên đề “Songdrawing Method – Finland” do Liên Chi hội Sinh viên khoa Giáo dục Mầm non tổ chức vào ngày 17/05/2025. (STT 18)
</t>
  </si>
  <si>
    <t>NGUYỄN TRƯƠNG KIM NGỌC - 3123190077 - GIÁO DỤC MẦM NON - MINH CHỨNG THÀNH TÍCH CÁ NHÂN - 2025 .docx</t>
  </si>
  <si>
    <t>Trần Kim Phúc</t>
  </si>
  <si>
    <t>3.62</t>
  </si>
  <si>
    <t>Giấy chứng nhận số 05/GCN-ĐTN ngày 22/05/2025 Đạt danh hiệu “Thanh niên tiên tiến làm theo lời Bác” cấp Khoa năm học 2024 - 2025.
Giấy chứng nhận số 51 -GCN/ĐU ngày 12/05/2025 của Đảng Ủy Trường Đại học Sài Gòn đã đạt danh hiệu “Thanh niên tiên tiến Trường Đại học Sài Gòn làm theo lời Bác” năm học 2024 – 2025.
Thư chúc mừng của Ban Thường vụ Đoàn trường Đại học Sài Gòn ngày 15/05/2025 đã đạt danh hiệu “Thanh niên tiên tiến Đại học Sài Gòn làm theo lời Bác” năm học 2024 – 2025.
Đạt Giấy Chứng Nhận số 595/CN lớp bồi dưỡng nhận thức về Đảng, kết quả học tập đạt loại Giỏi. 
Đạt Giấy Chứng Nhận của Ban Thường vụ Đoàn trường Đại học Sài Gòn ngày 25/05/2025 đã hoàn thành Vòng Bán Kết 1 Hội thi “Tôi là Bí thư Đoàn Trường”.</t>
  </si>
  <si>
    <t xml:space="preserve">Tham gia CLB Học Thuật và Nghiên Cứu Khoa Học khoa Giáo dục Mầm non và đạt giấy chứng nhận có nhiều đóng góp tích cực trong các hoạt động của câu lạc bộ.
</t>
  </si>
  <si>
    <t>Quyết định công nhận số 03/QĐ-BTK ngày 11/11/2025 của Ban Thư ký Hội Sinh viên trường danh hiệu “Thanh niên khỏe” cấp trường tổ chức ngày 19/10/2025. (STT: 230)
Đạt giải Nhì Hội thao “Khỏe để xây dựng bảo vệ Tổ quốc” do Đoàn khoa tổ chức ngày 12/04/2025.
Đạt giải khuyến khích Hội thao “Về miền ký ức” do Ký Túc Xá Trường Đại học Sài Gòn tổ chức ngày 11/05/2025.</t>
  </si>
  <si>
    <t xml:space="preserve">01 ngày - Tham gia Ngày Chủ nhật xanh ngày 28/9/2025 do ĐTN-LCH SV khoa Giáo dục Mầm non tổ chức.
01 ngày - Tham gia Ngày Chủ nhật xanh ngày 05/04/2025 do LCH SV khoa Giáo dục Mầm non tổ chức.
01 ngày - Tham gia Ngày Chủ nhật xanh ngày 10/11/2024 do Ký Túc Xá Đại học Sài Gòn tổ chức.
01 ngày - Tham gia ngày Thứ 7 tình nguyện - Trạm ký gửi tập trắng trao tay, yêu thương đong đầy ngày 15/03/2025 do ĐTN khoa Giáo dục Mầm non tổ chức. 
01 ngày - Tham gia hoạt động phát quà Xuân tình nguyện tại Bệnh Viện Nhi Đồng 2 ngày 08/01/2025 do ĐTN-LCH SV khoa Giáo dục Mầm non tổ chức (STT: 27)
Đạt Giấy Chứng Nhận là Tình nguyện viên chương trình “CHO EM ĐẾN TRƯỜNG” của Mạng Lưới Quốc Gia Khu Vực Miền Nam Dự Án Thiện Nguyện Lá Xanh ngày 25/08/2025.
Đạt Giấy Chứng Nhận là Tình nguyện viên chương trình “TRUNG THU CHO EM” của Dự Án Thiện Nguyện Lá Xanh - Đoàn Phường Tân An ngày 20/09/2025.
Tham gia đội văn nghệ trong Lễ kỷ niệm 50 năm Ngày Giải phóng miền Nam, thống nhất đất nước (30/4/1975 - 30/4/2025) do Nhà trường huy động. (STT: 39)
</t>
  </si>
  <si>
    <t xml:space="preserve"> APTIS ESOL, tiếng anh, trình độ B1, đơn vị cấp British Council Vietnam Ho Chi Minh City, thời gian cấp 24/09/2025.
Chứng nhận hoàn thành Chương trình “Phổ cập AI” khóa Tập huấn Kỹ năng AI dành cho cán bộ Đoàn–Hội cấp ngày 19/8/2025.
Tham gia Khóa học Ứng dụng AI cho Thanh niên Việt Nam.
Tham gia Khóa học “Thanh niên tình nguyện hỗ trợ chính quyền địa phương hai cấp”.
Giấy khen số 08-QĐKT/ĐTN-VP của Ban Chấp hành Đoàn trường Đại học Sài Gòn đã có đóng góp tích cực trong hoạt động Tháng Thanh niên trường Đại học Sài Gòn 2025 Chủ đề “Tuổi trẻ trường Đại học Sài Gòn tự hào, vững tin theo Đảng”.
Giấy khen số 15-QĐKT/ĐTN-VP của Ban Chấp hành Đoàn trường Đại học Sài Gòn đã có đóng góp tích cực trong công tác Đoàn và phong trào thanh niên Trường Đại học Sài Gòn năm học 2024 - 2025.
Tham gia chuyên đề “Song drawing Method Finland, Liên Chi hội Sinh viên khoa Giáo dục Mầm non tổ chức tại phòng B004, Cơ sở 2, trường Đại học Sài Gòn, ngày 17/5/2025, vai trò khi tham gia: Học hỏi, tiếp thu kiến thức chuyên sâu về Phương pháp Songdrawing và cách nó được áp dụng trong môi trường giáo dục Phần Lan. (STT: 17)</t>
  </si>
  <si>
    <t>TRẦN KIM PHÚC - 3123190099 - KHOA GIÁO DỤC MẦM NON - MINH CHỨNG THÀNH TÍCH CÁ NHÂN.docx</t>
  </si>
  <si>
    <t>Võ Ngọc Anh</t>
  </si>
  <si>
    <t>90.5</t>
  </si>
  <si>
    <t>3.47</t>
  </si>
  <si>
    <t>- Đạt danh hiệu “Thanh niên tiên tiến làm theo lời Bác” – Cấp Khoa. Ngày tuyên dương 22/5/2025</t>
  </si>
  <si>
    <t xml:space="preserve">- Giấy chứng nhận có đóng góp tích cực trong các hoạt động tại CLB Truyền Thông – Khoa Giáo dục Mầm non.
Tham gia CLB Học Thuật và Nghiên Cứu Khoa Học khoa Giáo dục Mầm non và đạt giấy chứng nhận có nhiều đóng góp tích cực trong các hoạt động của câu lạc bộ.
</t>
  </si>
  <si>
    <t>- Giải Nhì – Hội thao “Khỏe để xây dựng bảo vệ Tổ quốc”, Đoàn khoa Giáo dục Mầm non tổ chức ngày 12/4/2025</t>
  </si>
  <si>
    <t xml:space="preserve">1 ngày: Ngày Chủ nhật xanh (05/4/2025)
1 ngày: Phát quà Xuân Tình nguyện khoa Giáo dục Mầm non (06/1/2025) (STT: 29)
1 ngày: Trạm ký gửi tập trắng trao tay, yêu thương đong đầy (15/3/2025)
1 ngày: Hiến máu tình nguyện (10/11/2024)
1 ngày: Hiến tóc “Mạng Lưới Ung Thư Vú Việt Nam” (14/11/2024) </t>
  </si>
  <si>
    <t xml:space="preserve">APTIS ESOL, tiếng anh, trình độ B1, đơn vị cấp British Council Vietnam Ho Chi Minh City, thời gian cấp 24/10/2024
- Chứng nhận hoàn thành Chương trình “Phổ cập AI” khóa Tập huấn Kỹ năng AI dành cho cán bộ Đoàn-Hội cấp ngày 16/8/2025
- Giấy chứng nhận hội thi “Nghiệp vụ sư phạm khoa Giáo dục Mầm non 2024 - 2025” (24/11/2024)
- Giấy chứng nhận có đóng góp tích cực trong các hoạt động tại CLB Truyền Thông – Khoa Giáo dục Mầm non.
 - Giấy chứng nhận có đóng góp tích cực trong công tác Đoàn và phong trào thanh niên Trường Đại học Sài Gòn năm học 2024 - 2025
- Tham gia chuyên đề “Songdrawing Method – Finland” do Liên Chi hội Sinh viên khoa Giáo dục Mầm non, tổ chức vào ngày 17 tháng 5 năm 2025 (STT: 19)
</t>
  </si>
  <si>
    <t>VÕ NGỌC ANH - 3123190005 - GIÁO DỤC MẦM NON - MINH CHỨNG THÀNH TÍCH.docx</t>
  </si>
  <si>
    <t>Phạm Thị Ngọc Thảo</t>
  </si>
  <si>
    <t>3.61</t>
  </si>
  <si>
    <t>Thực hiện đề tài nghiên cứu khoa học “Biện pháp giáo dục hành vi vệ sinh cho trẻ mẫu giáo 3 - 4 tuổi tại Thành phố Hồ Chí Minh” và được nghiệm thu với kết quả 80 điểm, đạt loại Tốt</t>
  </si>
  <si>
    <t>Đạt danh hiệu “Thanh niên khỏe” cấp trường Đại học Sài Gòn năm 2024.</t>
  </si>
  <si>
    <t>Nhận Giấy khen của Ban Chấp hành Hội Sinh viên trường vì đã có thành tích tốt trong Chương trình Tiếp sức mùa thi trường Đại học Sài Gòn năm 2025.
Tham gia và hoàn thành chương trình Tiếp sức mùa thi năm 2025.
Thực hiện hiến máu tình nguyện vào các ngày 23/10/2024 và 27/03/2025.
Tham gia chương trình “Điều ước đêm trăng” và chương trình “Một ngày tốt lành”.
Tham gia chương trình “Trạm ký gửi – Tập trắng trao tay, yêu thương đong đầy”.
Tham gia chương trình “Chủ nhật xanh” lần 1 và lần 2 trong năm học.</t>
  </si>
  <si>
    <t>Đạt chứng chỉ ngoại ngữ Vstep trình độ B1.
Tham gia chương trình Giao lưu hữu nghị Việt Nam - Hoa Kỳ nhân kỷ niệm 30 năm thiết lập quan hệ ngoại giao do Thành phố Hồ Chí Minh tổ chức.
Tham gia chương trình Giao lưu và tặng quà cho sinh viên Lào tại Ký túc xá Sinh viên Lào Thành phố Hồ Chí Minh năm 2025.
Tham gia chương trình ASEAN Explorer – Sinh viên Đại học Sài Gòn tự tin hội nhập do Hội Sinh viên trường tổ chức.
Hoàn thành khóa học “Thanh niên tình nguyện hỗ trợ chính quyền địa phương 2 cấp” và khóa học “Ứng dụng AI cho thanh niên Việt Nam” do Trung ương Đoàn tổ chức.
Hoàn thành khóa “Tập huấn kỹ năng AI cho Cán bộ Đoàn - Hội” do Trung ương Đoàn tổ chức.
Tham gia tập huấn chuyên đề “An toàn giao thông và kỹ năng phòng tránh va chạm trong hoạt động tình nguyện”.
Hoàn thành chuyên đề “Ứng dụng kỹ năng số cho sinh viên Trường Đại học Sài Gòn năm 2024”.</t>
  </si>
  <si>
    <t>Phạm Thị Ngọc Thảo - Bảng khai thành tích cá nhân SV5T.docx</t>
  </si>
  <si>
    <t xml:space="preserve">3. PHẠM THỊ NGỌC THẢO </t>
  </si>
  <si>
    <t>Dương Đức Phú</t>
  </si>
  <si>
    <t>TOÁN - ỨNG DỤNG</t>
  </si>
  <si>
    <t xml:space="preserve">Giấy chứng nhận đạt danh hiệu “Thanh niên tiên tiến làm theo lời Bác” khoa Toán Ứng dụng năm học 2024 – 2025.
Minh chứng tham gia hoạt động tìm hiểu “50 phút hẹn hò cùng sử Việt” 2024.
</t>
  </si>
  <si>
    <t>Thành viên câu lạc bộ học thuật “Nghiệp vụ sư phạm” khoa Toán Ứng dụng.</t>
  </si>
  <si>
    <t xml:space="preserve">Giấy chứng nhận đạt giải nhất môn cờ tướng “Hội thao Đảng viên” 2025.
Giấy chứng nhận tham gia hoạt động Sát hạch thể lực “Sinh viên khỏe” 2025 do Khoa Toán Ứng dụng tổ chức.
</t>
  </si>
  <si>
    <t>Giấy chứng nhận tham gia chiến dịch tình nguyện “Xuân tình nguyện” 2025.
Minh chứng tham gia chiến dịch tình nguyện “Mùa hè xanh” 2025</t>
  </si>
  <si>
    <t xml:space="preserve">Giấy chứng nhận đạt giải khuyến khích cuộc thi tiếng Anh “Break The Rules” do Khoa Toán Ứng dụng tổ chức.
Giấy chứng nhận tham gia hoạt động “ASEAN Explorer - Sinh viên Đại học Sài Gòn tự tin hội nhập” trong khuôn khổ ngày hội Tân sinh viên 2024.
Giấy chứng nhận tham gia Tập huấn “Sử dụng Latex” do Khoa Toán Ứng dụng tổ chức.
</t>
  </si>
  <si>
    <t>THÀNH TÍCH.docx</t>
  </si>
  <si>
    <t>MINH CHỨNG.docx</t>
  </si>
  <si>
    <t>45 SV5T KHOA
11 SV5T TB KHOA</t>
  </si>
  <si>
    <t>Hà Bảo Dung</t>
  </si>
  <si>
    <t xml:space="preserve">Chứng nhận của Ban thường vụ Đoàn khoa theo quyết định số 13 – QĐGCN/ĐTN ngày 06/04/2025 về việc Đã đạt danh hiệu Thanh niên tiên tiến khoa Toán - Ứng dụng làm theo lời Bác năm học 2024 – 2025
Chứng nhận của Ban thường vụ Đoàn trường – Ban thư ký Hội sinh viên trường theo quyết định số 06-QĐCN/ĐTN-VP ngày 17/04/2025 về việc Đã đạt danh hiệu Sao tháng thanh niên SGU Nghĩ đúng – Sống đẹp năm 2025.
</t>
  </si>
  <si>
    <t>Là thành viên tham gia, hỗ trợ tích cực các hoạt động của CLB Nghiên cứu khoa học sinh viên năm học 2024 - 2025 khoa Toán - Ứng dụng.</t>
  </si>
  <si>
    <t>Chứng nhận của Ban thư ký Hội sinh viên trường ngày 05/10/2024 về việc Đã tham gia tích cực Ngày hội Tân Sinh viên “SGU’s Day” năm 2024 và đạt danh hiệu “Thanh niên khỏe” trường Đại học Sài Gòn năm 2024.</t>
  </si>
  <si>
    <t xml:space="preserve">Chứng nhận của Ban Chỉ huy Chiến dịch tình nguyện Mùa hè xanh Trường Đại học Sài Gòn lần thứ 31 – năm 2024 theo quyết định số 01-QĐCN/ĐTN ngày 15/10/2024 về việc Đã tham gia và hoàn thành nhiệm vụ với vai trò là chiến sĩ Đội hình Văn nghệ Xung kích.
Chứng nhận của Đoàn Thanh niên – Liên Chi hội Sinh viên khoa Toán - Ứng dụng theo quyết định số 14/GCN-BCH ngày 23/01/2025 về việc Đã tham gia 05 ngày tình nguyện 19,20,21,22,23/01/2025 Chương trình Xuân Tình Nguyện: Sắc Xuân về Trường.
</t>
  </si>
  <si>
    <t xml:space="preserve">Chứng chỉ IELTS 6.0, ngày cấp 02/03/2023, nơi cấp British Council.
Điểm trung bình các học phần Ngoại ngữ (trừ môn Ngoại ngữ chuyên ngành)
Giấy khen của Ban Chấp hành Hội Sinh viên trường theo quyết định số 48/QĐ-BTK ngày 23/10/2025 về việc Đã có thành tích xuất sắc trong công tác Hội và phong trào sinh viên Trường Đại học Sài Gòn năm học 2024 – 2025.
Giấy chứng nhận số 15-GCN/BTV-TUD ngày 09 tháng 8 năm 2025 về việc Tham dự Hội nghị Toán học Quốc tế “Summer Meeting - Gặp gỡ mùa hè” năm 2025 do Đoàn Thanh niên - Liên Chi hội Sinh viên khoa Toán - Ứng dụng tổ chức.
</t>
  </si>
  <si>
    <t>Hàng Hải Quân</t>
  </si>
  <si>
    <t>Giấy chứng nhận thanh niên tiên tiến khoa Toán - Ứng dụng làm theo lời Bác.</t>
  </si>
  <si>
    <t>Chứng nhận của Đoàn Thanh niên – Liên Chi hội Sinh viên khoa Toán - Ứng dụng theo quyết định số 14/GCN-BCH ngày 23/01/2025 về việc Đã tham gia 05 ngày tình nguyện 19,20,21,22,23/01/2025 Chương trình Xuân Tình Nguyện: Sắc Xuân về Trường.</t>
  </si>
  <si>
    <t xml:space="preserve">Giấy chứng nhận theo quyết định số 03 – GCN/HSV-TUD ngày 22/11/2024 về việc đã đạt giải khuyến khích Cuộc thi tiếng Anh “Break The Rules” do Liên Chi hội Sinh viên khoa Toán - Ứng dụng tổ chức.
 Giấy khen của Ban Chấp hành Hội Sinh viên trường theo quyết định số 48/QĐ-BTK ngày 23/10/2025 về việc Đã có thành tích xuất sắc trong công tác Hội và phong trào sinh viên Trường Đại học Sài Gòn năm học 2024 – 2025.
Giấy chứng nhận số 15-GCN/BTV-TUD ngày 09 tháng 8 năm 2025 về việc Tham dự Hội nghị Toán học Quốc tế “Summer Meeting - Gặp gỡ mùa hè” năm 2025 do Đoàn Thanh niên - Liên Chi hội Sinh viên khoa Toán - Ứng dụng tổ chức.
</t>
  </si>
  <si>
    <t>Lương Phan Hữu Lễ</t>
  </si>
  <si>
    <t>- Đạt chứng chỉ Tuần 23 Quốc hội đổi mới các hoạt động trong kỷ nguyên vươn mình của dân tộc.
- Tham gia chương trình Tìm hiểu biển đảo do Khoa Toán - Ứng dụng tổ chức.</t>
  </si>
  <si>
    <t>- Giấy chứng nhận tham gia tích cực CLB nghiên cứu khoa học.</t>
  </si>
  <si>
    <t>- Đã tham gia hoạt động sát hạch “Thanh niên khỏe” cấp trường năm 2024
- Là thành viên đội tuyển cờ tướng cấp trường tham dự giải học sinh, sinh viên thành phố Hồ Chí Minh tại Nhà văn hóa Sinh viên.</t>
  </si>
  <si>
    <t xml:space="preserve">Tham gia chiến dịch tình nguyện “Mùa hè xanh”.
GIấy chứng nhận của Ban Chấp hành Đoàn Thanh niên - Liên Chi hội Sinh viên khoa Toán - Ứng dụng theo số 14-GCN/BCH về việc tham gia 05 ngày tình nguyện 19,20,21,22,23/01/2025 chương trình “Xuân tình nguyện - Sắc xuân về trường”.
Tham gia chương trình thắp nến tri ân các Anh hùng Liệt sĩ kỷ niệm 50 năm ngày 30/4.
Tham gia hỗ trợ tiếp sức kì thi ĐGNL ĐHQG TP. HCM đợt 1 năm 2025.
</t>
  </si>
  <si>
    <t xml:space="preserve">Chứng chỉ Vstep B1 do Trường Đại học Sư Phạm Thành phố Hồ Chí Minh cấp ngày 23/8/2025.
Giấy chứng nhận của Ban Cháp hành Liên chi Hội sinh viên khoa Toán - Ứng dụng số 03-GCN/HSV - TUD về việc đã đạt giải khuyến khích Cuộc thi tiếng Anh “Break the Rules”.
Giấy khen của Ban Chấp hành Hội Sinh viên trường theo quyết định số 48/QĐ-BTK ngày 23/10/2025 về việc Đã có thành tích xuất sắc trong công tác Hội và phong trào sinh viên Trường Đại học Sài Gòn năm học 2024 – 2025.
Giấy chứng nhận tham gia Ngày hội sinh viên với ngoại ngữ năm 2025 chủ đề “Global Ready: Skills for International Integration”.
- Tham gia Tập huấn sử dụng LaTeX.
- Tham gia Hội nghị gặp gỡ mùa hè “Summer meeting”.
- Tham gia buổi gặp gỡ và báo cáo khoa học của Giáo sư quốc tế Lê Quang Nẫm.
</t>
  </si>
  <si>
    <t>Lưu Thị Ngọc Hiếu</t>
  </si>
  <si>
    <t>(Giấy chứng nhận đã đạt danh hiệu “Thanh niên tiên tiến khoa Toán - Ứng dụng làm theo lời Bác năm học 2024 - 2025”)</t>
  </si>
  <si>
    <t>(Tham gia, hỗ trợ tích cực các hoạt động của câu lạc bộ nghiên cứu khoa học sinh viên năm học 2024 – 2025.)</t>
  </si>
  <si>
    <t>(Giấy chứng nhận “Thanh niên khỏe” trường Đại học Sài Gòn năm 2024)</t>
  </si>
  <si>
    <t xml:space="preserve">(Giấy chứng nhận tham gia Chiến dịch Xuân tình nguyện trường Đại học Sài Gòn lần thứ 17 – năm 2025 là Chiến sĩ đội hình Xuân Sẻ Chia)
(Thẻ chiến sĩ tình nguyện mùa hè xanh – Đội hình Sắc màu văn hóa)
(Có tham gia chiến dịch Mùa hè xanh trường Đại  học Sài Gòn năm 2025 trong đội hình Sắc màu văn hóa)
(Giấy chứng nhận đã tham gia 05 ngày tình nguyện chương trình Xuân Tình Nguyện – Sắc Xuân Về Trường)
</t>
  </si>
  <si>
    <t xml:space="preserve">(Giấy chứng nhận đã đạt giải khuyến khích cuộc thi tiếng Anh “Break The Rules” do Liên Chi hội Sinh viên khoa Toán - Ứng dụng tổ chức)
(Giấy chứng nhận tham gia tập huấn sử dụng LaTeX)
(Giấy chứng nhận “Tập Shuấn Kỹ Năng GenAI Cho Cán Bộ Đoàn Hội - Tập huấn Kỹ Năng GenAI Cho Cán Bộ Đoàn Hội-29 thg 5 năm 2025”)
(Giấy khen đã có thành tích xuất sắc trong công tác Hội và phong trào sinh viên năm học 2024 – 2025)
(Tham gia Hội nghị gặp gỡ mùa hè Summer Meeting 2025)
(Giấy chứng nhận tham gia Ngày hội sinh viên với ngoại ngữ năm 2025  chủ đề “GenZith HORIZON”)
</t>
  </si>
  <si>
    <t>Mai Ngọc Anh</t>
  </si>
  <si>
    <t xml:space="preserve">- Giấy chứng nhận số 13-QĐGCN/ĐTN đã đạt danh hiệu “Thanh niên tiên tiến làm theo lời Bác” năm 2024-2025 do Đoàn khoa Toán - Ứng dụng cấp vào ngày 06/04/2025;
- Giấy chứng nhận số 128-GCN/ĐU của Đảng ủy Trường Đại học Sài Gòn ngày 12/05/2025 về việc sinh viên Mai Ngọc Anh, lớp DTU1232, khoa Toán - Ứng dụng đã đạt danh hiệu “Thanh niên tiên tiến Trường đại học Sài Gòn làm theo lời Bác”.
</t>
  </si>
  <si>
    <t>- Giấy Chứng nhận số 230/GCN-ĐHSG của Phòng quản lý khoa học ngày 15/05/2025 về việc “Thực hiện hoàn thành đề tài NCKH cấp Trường của sinh viên</t>
  </si>
  <si>
    <t>Giấy chứng nhận Thanh niên khỏe năm 2024.</t>
  </si>
  <si>
    <t>- Giấy chứng nhận số 02-QĐGCN/HSV “Là Chiến sĩ đội hình Xuân Chiến sĩ” trong chiến dịch “Xuân tình nguyện Trường Đại học Sài Gòn lần thứ 17 – năm 2025;
- Giấy xác nhận đã tham tình nguyện Chương trình “Tiếp sức mùa thi” năm 2025 do Trung tâm hỗ trợ học sinh, sinh viên TP.HCM tổ chức;
- Tham gia Hội thảo chuyên đề Hội nhập quốc tế trong Ngày hội sinh viên với ngoại ngữ năm 2025: “Global Ready: Skills for International Integration do Trung tâm hỗ trợ học sinh, sinh viên TP.HCM tổ chức ngày 17/5/2025 tại Trường Đại học Y Phạm Ngọc Thạch;</t>
  </si>
  <si>
    <t xml:space="preserve">- Chứng chỉ Vstep Bậc B2.
- Giấy khen số 08-QĐKT/ĐTN-VP của Ban Chấp hành Đoàn trường ngày 18/04/2025 “Đã có đóng góp tích cực trong hoạt động tháng Thanh Niên trường Đại học Sài Gòn; Chủ đề Tuổi trẻ trường Đại học Sài Gòn tự hào, vững tin theo Đảng.”
- Giấy khen số 16 – QĐ-BTK ngày 15/04/2025 “Đã đạt danh hiệu Cán bộ Hội tiêu biểu năm học 2024 – 2025.”
Chứng nhận tham gia Hội thảo chuyên đề Hội nhập quốc tế trong Ngày hội sinh viên với ngoại ngữ năm 2025 “Global Ready: Skills for International Integration”
</t>
  </si>
  <si>
    <t>Ngô Nguyễn Thành Đạt</t>
  </si>
  <si>
    <t xml:space="preserve">- Giấy chứng nhận số 13-QĐGCN/ĐTN đã đạt danh hiệu “Thanh niên tiên tiến làm theo lời Bác” năm 2024-2025 do Đoàn khoa Toán - Ứng dụng cấp vào ngày 06/04/2025;
- Giấy khen theo Quyết định số 08-QĐKT/ĐTN-VP, ngày 18 tháng 4 năm 2025 của Ban Chấp hành Đoàn trường Đại học Sài Gòn, nội dung: Đã có đóng góp tích cực trong hoạt động Tháng Thanh niên trường Đại học Sài Gòn năm 2025, chủ đề “Tuổi trẻ trường Đại học Sài Gòn tự hào, vững tin theo Đảng”;
- Giấy chứng nhận đã hoàn thành cuộc thi trực tuyến “Tự hào Việt Nam”;
- Đội trưởng đội thi tìm hiểu về chủ nghĩa tư tưởng Mác – Lênin, tư tưởng Hồ Chí Minh khoa Toán - Ứng dụng.
</t>
  </si>
  <si>
    <t>Danh sách thành viên tham gia, hỗ trợ tích cực các hoạt động của Câu lạc bộ Nghiên cứu khoa học sinh viên năm học 2024 - 2025</t>
  </si>
  <si>
    <t>- Đạt danh hiệu “Thanh niên khỏe” cấp trường năm 2024</t>
  </si>
  <si>
    <t>- Giấy khen Hội Sinh viên trường về việc Đạt thành tích tốt trong chương trình Tiếp sức mùa thi trường Đại học Sài Gòn năm 2025;
- Tham gia chiến dịch Xuân Tình nguyện năm 2025;
- Tham gia chương trình Tiếp sức đến trường năm 2025.
- Giấy chứng nhận số 14/GCN-BCH đã tham gia 05 ngày tình nguyện 19, 20, 21, 22, 23/01/2025 Chương trình Xuân tình nguyện – Sắc Xuân về trường do Ban Chấp hành Đoàn Thanh niên – Liên Chi hội Sinh viên khoa Toán - Ứng dụng tổ chức;
- Giấy xác nhận đã tham gia 08 ngày tình nguyện Chương trình “Tiếp sức mùa thi” năm 2025 do Trung tâm hỗ trợ học sinh, sinh viên TP.HCM tổ chức;
- Tham gia hỗ trợ kỳ thi Đánh giá năng lực đợt 1 năm 2025 do Nhà trường huy động.</t>
  </si>
  <si>
    <t xml:space="preserve">- Giấy khen của Hội Sinh viên trường về việc đạt thành tích xuất sắc trong công tác Hội và phong trào sinh viên năm học 2024 – 2025
- Giấy khen theo Quyết định số 13-QĐKT/ĐTN-VP, ngày 16 tháng 6 năm 2025 của Ban Chấp hành Đoàn trường Đại học Sài Gòn, nội dung: Đã đạt giải Nhì Hội thi “Tôi – Bí thư Đoàn trường” năm 2025.
- Đạt giải Ba cuộc thi Who I Am! do Đoàn Thanh niên – Hội Sinh viên khoa Toán - Ứng dụng tổ chức.
    - Tham gia Hội nghị Toán học: Gặp gỡ mùa hè - Summer Meeting 2025 tổ chức ngày 09/8/2025 tại Hội trường E, Cơ sở chính Trường Đại học Sài Gòn.
- Giấy Chứng nhận tham gia tập huấn sử dụng Latex do Đoàn thanh niên – Hội Sinh viên khoa Toán - Ứng dụng tổ chức.
</t>
  </si>
  <si>
    <t>Nguyễn Đức Sang</t>
  </si>
  <si>
    <t>Chứng nhận Quyết định số 13-QĐGCN/ĐTN, ngày 06/4/2025 của Ban Thường vụ Đoàn khoa đã đạt danh hiệu “Thanh niên tiên tiến khoa Toán - Ứng dụng làm theo lời Bác” năm học 2024 – 2025.</t>
  </si>
  <si>
    <t xml:space="preserve">2.1. Chứng nhận Quyết định số 10-QĐGCN/ĐTN, ngày 06/4/2025 của Ban Thường vụ Đoàn khoa đã đạt Giải Nhì cuộc thi “Đấu trường Toán học” năm học 2024 - 2025. </t>
  </si>
  <si>
    <t>Chứng nhận ngày 05/10/2024 của Ban Thư ký Hội Sinh viên Trường đã đạt danh hiệu “Thanh niên khỏe” năm học 2024.</t>
  </si>
  <si>
    <t xml:space="preserve">Chứng nhận Quyết định số 14-QĐGCN/TUD, ngày 23/01/2025 của Ban Thường vụ Đoàn khoa về việc “Đã tham gia 05 ngày tình nguyện 19, 20, 21, 22, 23/01/2025 Chương trình Xuân Tình Nguyện - Sắc Xuân về Trường” năm học 2024 - 2025. </t>
  </si>
  <si>
    <t xml:space="preserve">5.1. Đạt chứng chỉ năng lực tiếng Anh bậc 3 theo Khung năng lực ngoại ngữ 6 bậc dùng cho Việt Nam do Trường Đại học Sài Gòn cấp ngày 30/6/2025.
5.2. Giấy khen Số 16-/QĐKT/ĐTN-VP ngày 24/10/2025 về việc Đã có đóng góp tích cực trong công tác Đoàn và phong trào thanh niên Trường ĐH Sài Gòn nhiệm kỳ 2024 - 2027.
5.3. Chứng nhận ngày 05/10/2024 của Ban Thư ký Hội Sinh viên Trường về việc đã tham gia tích cực Ngày hội Tân Sinh viên “SGU’s Day” năm 2024.
5.4. Với vai trò là Bí thư Đoàn Khoa, đã chủ trì, chỉ đạo và phối hợp tổ chức nhiều chương trình, hoạt động phong trào góp phần lan tỏa tinh thần đoàn kết, năng động và hội nhập trong sinh viên.
5.9. Chứng nhận tham dự Hội nghị Toán học Quốc tế “Summer Meeting - Gặp gỡ mùa hè” năm 2025 được tổ chức ngày 09 tháng 08 năm 2025”
</t>
  </si>
  <si>
    <t>Nguyễn Huyền Trang</t>
  </si>
  <si>
    <t>Chứng nhận Quyết định số 13-QĐGCN/ĐTN, ngày 06 của Ban Thường vụ Đoàn khoa đã đạt danh hiệu “Thanh niên tiên tiến khoa Toán - Ứng dụng làm theo lời Bác” năm học 2024 - 2025.</t>
  </si>
  <si>
    <t>Minh chứng tham gia tích cực CLB Nghiệp vụ sư phạm khoa Toán - Ứng dụng năm học 2024-2025.</t>
  </si>
  <si>
    <t>Giấy chứng nhận “Đã tham gia tích cực Ngày hội Tân sinh viên năm 2024 và đạt danh hiệu “Thanh niên khỏe” trường Đại học Sài Gòn năm 2024”.</t>
  </si>
  <si>
    <t>Chứng nhận đã tham gia Chương trình Xuân Tình nguyện - Sắc xuân về Trường.</t>
  </si>
  <si>
    <t>Chứng chỉ TOEIC kỹ năng Viết 140/200 ngày 17/8/2024;
Chứng chỉ TOEIC kỹ năng Nói 120/200 ngày 20/10/2024.
Điểm tiếng anh 4.0/4.0
Đã hoàn thành Khóa Tập huấn Kỹ Năng AI dành cho Cán bộ Đoàn - Hội.
Chứng nhận “đã tham gia Hội nghị Toán học Quốc tế Summer Meeting - Gặp gỡ mùa hè năm học 2025 được tổ chức ngày 09 tháng 08 năm 2025.”
Giấy khen của Ban Chấp hành Hội Sinh viên trường theo quyết định số 05/QĐ-BTK ngày 12/3/2025 về việc Đã có thành tích xuất sắc trong công tác Hội và phong trào sinh viên khoa Toán - Ứng dụng nhiệm kỳ 2023 - 2025
Giấy khen của Ban Chấp hành Hội Sinh viên trường theo quyết định số 48/QĐ-BTK ngày 23/10/2025 về việc Đã có thành tích xuất sắc trong công tác Hội và phong trào sinh viên Trường Đại học Sài Gòn năm học 2024 - 202</t>
  </si>
  <si>
    <t>Nguyễn Huỳnh Thu Liên</t>
  </si>
  <si>
    <t>-Chứng nhận Quyết định số 13-QĐGCN/ĐTN, ngày 06/4/2025 của Ban Thường vụ Đoàn khoa đã đạt danh hiệu “Thanh niên tiên tiến khoa Toán - Ứng dụng làm theo lời Bác” năm học 2024 – 2025.
-Tham gia hoàn thành nội dung kiểm tra Nghị quyết số 57-NQ/TW ngày 22/12/2024 của Bộ Chính trị về đột phá phát triển khoa học, công nghệ, đổi mới sáng tạo và chuyển đổi số quốc gia.</t>
  </si>
  <si>
    <t>-Tham gia hỗ trợ tích cực các hoạt động của CLB Nghiên cứu khoa học sinh viên khoa Toán - Ứng dụng.</t>
  </si>
  <si>
    <t xml:space="preserve">Đạt Giấy chứng nhận ngày 05/10/2024 của Ban Thư ký Hội Sinh viên Trường Đại học Sài Gòn về việc “ Đã tham gia tích cực Ngày hội Tân Sinh viên “ SGU’s Day” năm 2024 và đạt danh hiệu “Thanh niên khỏe” trường Đại học Sài Gòn năm 2024.” </t>
  </si>
  <si>
    <t>-Tham gia 05 ngày tình nguyện 19, 20, 21, 22, 23/01/2025 Chương trình “Xuân tình nguyện - Sắc xuân về trường”  Khoa Toán - Ứng dụng.
-Nhận giấy khen số 43/QĐ-BTK, ngày 08/8/2025 “Đã có thành tích tốt trong Chương trình Tiếp sức mùa thi trường Đại học Sài Gòn năm 2025”</t>
  </si>
  <si>
    <t xml:space="preserve">-Đạt giải Khuyến khích cuộc thi thử tiếng Anh đầu vào “Break The Rules” khoa Toán - Ứng dụng.
 -GCN ngày 17/03/2025 của BCH Đoàn - Hội khoa Toán - Ứng dụng về việc “Tham gia Tập huấn sử dụng LaTeX”. 
-Chứng chỉ  APTIS ESOL (General) trình độ B1 do British Council cấp ngày 04/09/2025.
-Nhận giấy khen số 48/ QĐ-BTK ngày 23/10/2025  “Đã có thành tích xuất sắc trong công tác Hội và phong trào sinh viên Trường Đại học Sài Gòn năm học 2024 – 2025” từ Ban Chấp hành Hội Sinh viên Trường Đại học Sài Gòn.
-Tham gia Hội thảo chuyên đề Hội nhập quốc tế trong Ngày hội sinh viên với ngoại ngữ năm 2025 "Global Ready: Skills for International Integration".
</t>
  </si>
  <si>
    <t>Nguyễn Như Quỳnh</t>
  </si>
  <si>
    <t xml:space="preserve">- Giấy chứng nhận số 13-QĐGCN/ĐTN đã đạt danh hiệu “Thanh niên tiên tiến làm theo lời Bác” năm 2024-2025 do Đoàn khoa Toán - Ứng dụng cấp vào ngày 06/04/2025;
- Giấy chứng nhận số 06-QĐCN/ĐTN-VP đã đạt danh hiệu Sao tháng “Thanh niên SGU nghĩ đúng – sống đẹp” năm 2025 của Ban Thường vụ Đoàn trường – Ban Thư ký Hội sinh viên trường cấp vào ngày 17/04/2025.
- Giấy chứng nhận đã hoàn thành nội dung kiểm tra Nghị quyết số 57-NQ/TW ngày 22/12/2024 của Bộ Chính trị về đột phá phát triển khoa học, công nghệ, đổi mới, sáng tạo và chuyển đổi số quốc gia;
- Giấy chứng nhận đã đạt chứng chỉ Tuần 23 Quốc hội đổi mới các hoạt động trong kỷ nguyên vươn mình của dân tộc trong cuộc thi trắc nghiệm tương tác trực tuyến tìm hiểu 80 năm Ngày Tổng tuyển cử đầu tiên bầu Quốc hội Việt Nam,
</t>
  </si>
  <si>
    <t>Tham gia tích cực CLB Nghiên cứu khoa học khoa Toán - Ứng dụng.</t>
  </si>
  <si>
    <t xml:space="preserve">- Giấy chứng nhận số 02-QĐGCN/HSV “Là Chiến sĩ đội hình Xuân Chiến sĩ” trong chiến dịch “Xuân tình nguyện Trường Đại học Sài Gòn lần thứ 17 – năm 2025;
- Giấy xác nhận đã tham gia 07 ngày tình nguyện Chương trình “Tiếp sức mùa thi” năm 2025 do Trung tâm hỗ trợ học sinh, sinh viên TP.HCM tổ chức.
+ Giấy chứng nhận số 14/GCN-BCH đã tham gia 05 ngày tình nguyện 19, 20, 21, 22, 23/01/2025 Chương trình Xuân tình nguyện – Sắc Xuân về trường do Ban Chấp hành Đoàn Thanh niên – Liên Chi hội Sinh viên khoa Toán - Ứng dụng tổ chức;
+ Hiến máu 01 lần vào ngày 02/7/2025.
+ Tham gia hỗ trợ kỳ thi Đánh giá năng lực đợt 1 năm 2025 do Nhà trường huy động.
</t>
  </si>
  <si>
    <t xml:space="preserve">- Chứng chỉ APTIS ESOL (General) trình độ B2 do British Council cấp ngày 06/09/2025.
- Chứng nhận hoàn thành Chương trình “Phổ cập AI”, đã hoàn thành Khóa Tập huấn Kỹ năng AI dành cho Cán bộ Đoàn – Hội do Trung ương Đoàn TNCS Hồ Chí Minh cấp vào ngày 29/5/2025;
- Giấy chứng nhận “Đã tham gia Tập huấn sử dụng LaTex do Ban Chấp hành Đoàn thanh niên – Hội sinh viên khoa Toán - Ứng dụng tổ chức”;
- Giấy khen số 15-QĐKT/ĐTN-VP “Đã đóng góp tích cực trong công tác Đoàn và phong trào thanh niên Trường Đại học Sài Gòn năm học 2024 – 2025” do Ban Chấp hành Đoàn thanh niên Trường Đại học Sài Gòn cấp ngày 24/10/2025.
- Tham gia Hội thảo chuyên đề Hội nhập quốc tế trong Ngày hội sinh viên với ngoại ngữ năm 2025: “Global Ready: Skills for International Integration” do Trung tâm hỗ trợ học sinh, sinh viên TP.HCM tổ chức ngày 17/5/2025
- Tham gia Ngày hội sinh viên với ngoại ngữ năm 2025 chủ đề “GenZith HORIZON” do Trung tâm hỗ trợ học sinh, sinh viên TP.HCM tổ chức ngày 17/5/2025.
</t>
  </si>
  <si>
    <t>Phan Thị Huỳnh Mai</t>
  </si>
  <si>
    <t xml:space="preserve">- Giấy chứng nhận số 13-QĐGCN/ĐTN đã đạt danh hiệu “Thanh niên tiên tiến làm theo lời Bác” năm 2024-2025 do Đoàn khoa Toán - Ứng dụng cấp vào ngày 06/04/2025;
- Giấy chứng nhận số 128-GCN/ĐU của Đảng ủy Trường Đại học Sài Gòn ngày 12/05/2025 về việc sinh viên Phan Thị Huỳnh Mai, lớp DTU1212, khoa Toán - Ứng dụng đã đạt danh hiệu “Thanh niên tiên tiến Trường đại học Sài Gòn làm theo lời Bác”.
</t>
  </si>
  <si>
    <t>- Tham gia tích cực CLB Nghiệp vụ sư phạm.</t>
  </si>
  <si>
    <t>- Giấy xác nhận đã tham tình nguyện Chương trình “Tiếp sức mùa thi” năm 2025 do Trung tâm hỗ trợ học sinh, sinh viên TP.HCM tổ chức;</t>
  </si>
  <si>
    <t xml:space="preserve">Chứng chỉ VSTEP bậc 3, ngày cấp 28 tháng 4 năm 2025.
- Giấy khen số 15-QĐKT/ĐTN-VP của Ban Chấp hành Đoàn trường ngày 24/10/2025 “Đã có đóng góp tích cực trong công tác Đoàn và phong trào thanh niên Trường đại học Sài gòn năm học 2024- 2025”
Minh chứng hoạt động Hội nhập
</t>
  </si>
  <si>
    <t>THÀNH TÍCH .pdf</t>
  </si>
  <si>
    <t>Trần Ngọc Khánh</t>
  </si>
  <si>
    <t>Kết quả phân tích chất lượng Đoàn viên năm học 2024 - 2025 đạt Hoàn thành xuất sắc nhiệm vụ.
Đạt danh hiệu Thanh niên tiên tiến trường Đại học Sài Gòn làm theo lời Bác năm học 2024 - 2025 theo Giấy chứng nhận số 127-GCN/ĐU ngày 12/05/2025 của Đảng ủy trường.
Đạt danh hiệu Thanh niên tiên tiến khoa Toán - Ứng dụng làm theo lời Bác năm học 2024 - 2025 theo Giấy chứng nhận số 13-QĐGCN/ĐTN ngày 06/04/2025.</t>
  </si>
  <si>
    <t>Đạt giải Nhì cuộc thi Đấu trường Toán học do Đoàn khoa Toán - Ứng dụng tổ chức theo Giấy chứng nhận số 10/GCN-BCH</t>
  </si>
  <si>
    <t>Đạt danh hiệu Thanh niên khỏe trường Đại học Sài Gòn năm học 2024.</t>
  </si>
  <si>
    <t>Đã tham gia 05 ngày tình nguyện trong chương trình Xuân Tình Nguyện - Sắc Xuân về Trường do khoa Toán - Ứng dụng tổ chức theo Giấy chứng nhận số 14/GCN-BCH.</t>
  </si>
  <si>
    <t>Có bằng tiếng Anh B2 First Exam (FCE) trình độ Grade C do Cambridge cấp ngày 30/01/2020.
Có bằng tiếng Anh B2 Aptis ESOL do Hội đồng Anh cấp ngày 07/04/2025
Điểm trung bình các học phần Ngoại ngữ 1, 2 và 3 đạt tuyệt đối 10.0 trên 10.0.
Được khen thưởng vì đã có đóng góp tích cực trong công tác Đoàn và phong trào thanh niên trường Đại học Sài Gòn năm học 2024 - 2025 theo Giấy khen số 15-QĐKT/ĐTN-VP
Đạt danh hiệu Sinh viên 5 tốt trường Đại học Sài Gòn năm học 2023 - 2024 theo Giấy chứng nhận số 01/QĐ-BTK ngày 01/01/2025.
Đạt danh hiệu Sinh viên 5 tốt khoa Toán - Ứng dụng năm học 2023 - 2024 theo Giấy chứng nhận số 56/QĐ-BTK ngày 31/10/2024.
Tham gia hỗ trợ Hội nghị Toán học Gặp Gỡ Mùa Hè - Summer Meeting 2025 giao lưu với các chuyên gia trong và ngoài nước ngày 09/08/2025.
Tham gia Báo cáo khoa học và giao lưu với Giáo sư Lê Quang Nẫm từ Đại học Indiana Hoa Kỳ ngày 30/06/2025</t>
  </si>
  <si>
    <t>TRẦN NGỌC KHÁNH - 3122010005 - KHOA TOÁN - ỨNG DỤNG - BẢNG KHAI THÀNH TÍCH.docx</t>
  </si>
  <si>
    <t>TRẦN NGỌC KHÁNH - 3122010005 - KHOA TOÁN - ỨNG DỤNG - MINH CHỨNG THÀNH TÍCH.docx</t>
  </si>
  <si>
    <t>Trần Phương Thảo</t>
  </si>
  <si>
    <t>Không đạt tiêu chuẩn "Về hoạt động hội nhập"</t>
  </si>
  <si>
    <t>Võ Thị Minh Thảo</t>
  </si>
  <si>
    <t>Kết quả phân tích chất lượng Đoàn viên năm học 2024 - 2025 đạt Hoàn thành xuất sắc nhiệm vụ.
Đạt danh hiệu Thanh niên tiên tiến khoa Toán - Ứng dụng làm theo lời Bác năm học 2024 - 2025 theo Giấy chứng nhận số 13-QĐGCN/ĐTN ngày 06/04/2025.
Đạt danh hiệu Thanh niên tiên tiến trường Đại học Sài Gòn làm theo lời Bác năm học 2024 - 2025 theo Giấy chứng nhận số 132-GCN/ĐU ngày 12/05/2025 của Đảng ủy trường.</t>
  </si>
  <si>
    <t>Là thành viên và tham gia hoạt động tích cực tại Câu lạc bộ Nghiệp vụ Sư phạm khoa Toán - Ứng dụng.</t>
  </si>
  <si>
    <t>Đạt danh hiệu Thanh niên khỏe trường Đại học Sài Gòn năm 2024 và tham gia tích cực Ngày hội Tân sinh viên SGU Day ngày 05/10/2024.</t>
  </si>
  <si>
    <t>Tham gia chương trình Tiếp sức mùa thi năm 2025 theo Giấy chứng nhận ngày 01/07/2025 của Trung tâm hỗ trợ học sinh sinh viên Thành phố Hồ Chí Minh.
Tham gia Ngày Hội Tân Sinh viên 2024 SGU Day vào ngày 05/10/2024.</t>
  </si>
  <si>
    <t>Đạt chứng chỉ ngoại ngữ tiếng Anh trình độ B1 do trường Đại học Sài Gòn cấp ngày 12/08/2024.
Hoàn thành Chương trình Phổ cập Trí tuệ nhân tạo - Khóa Tập huấn Kỹ năng Trí tuệ nhân tạo dành cho Cán bộ Đoàn - Hội.
Tham gia Ngày hội sinh viên với ngoại ngữ năm 2025 chủ đề GenZith HORIZON.</t>
  </si>
  <si>
    <t>Nguyễn Thanh Danh</t>
  </si>
  <si>
    <t>83</t>
  </si>
  <si>
    <t>3.75</t>
  </si>
  <si>
    <t>Không đạt về tiêu chuẩn "Về kỹ năng"</t>
  </si>
  <si>
    <t>Lê Hải Phụng</t>
  </si>
  <si>
    <t>Kết quả đánh giá chất lượng Đoàn viên năm học 2024 - 2025 đạt Hoàn thành xuất sắc nhiệm vụ.
Đạt danh hiệu Thanh niên tiên tiến Trường Đại học Sài Gòn làm theo lời Bác năm học 2024 - 2025 theo Giấy chứng nhận số 125 – GCN (ĐU) ngày 12/05/2025.
Là Đảng viên dự bị từ ngày 22/04/2025.</t>
  </si>
  <si>
    <t>Đạt giải Khuyến khích tại Giải thưởng sinh viên Nghiên cứu Khoa học - Euréka lần thứ 26 năm 2024.</t>
  </si>
  <si>
    <t>Đạt chứng nhận Sinh viên khỏe do Trung tâm Hỗ trợ và phát triển sinh viên Việt Nam cấp sau khi hoàn thành cự ly 80km tại Giải chạy trực tuyến VUG Running 2024.
Đạt danh hiệu Thanh niên khỏe trường Đại học Sài Gòn năm 2024 theo giấy chứng nhận số 02 - QĐGCN/HSV ngày 05/10/2024.</t>
  </si>
  <si>
    <t>Nhận Giấy khen số 02/QĐ-BTK ngày 25/01/2025 của Hội Sinh viên trường vì đã có thành tích xuất sắc trong Chiến dịch Xuân Tình nguyện lần thứ 17 năm 2025.
Tham gia và nhận giấy chứng nhận hoàn thành chiến dịch Xuân Tình nguyện trường Đại học Sài Gòn lần thứ 17 năm 2025.
Tham gia 05 ngày tình nguyện làm gia sư cho chương trình Lớp học ánh sáng.
Tham gia tổ chức sân chơi khoa học, văn hóa và trao quà cho thiếu nhi tại chương trình Xuân tình nguyện 2025 "Sắc xuân về trường" tương ứng 02 ngày tình nguyện.
Tham gia các chương trình Đêm hội trăng rằm năm 2024, Thứ bảy tình nguyện và Ngày Chủ nhật xanh trong năm học.</t>
  </si>
  <si>
    <t>Đạt chứng chỉ ngoại ngữ Aptis ESOL trình độ B1.
Xuất sắc hoàn thành nhiệm vụ tại khu vực ASEAN Explorer – Sinh viên Đại học Sài Gòn tự tin hội nhập trong Ngày hội Tân Sinh viên SGU's Day 2024.
Tham gia Ngày hội sinh viên với ngoại ngữ năm 2025 chủ đề GenZith HORIZON.
Hoàn thành Khóa Tập huấn Kỹ năng AI dành cho Cán bộ Đoàn - Hội do Trung ương Đoàn tổ chức.
Đạt danh hiệu Cán bộ Đoàn tiêu biểu năm học 2024 - 2025 theo Giấy khen số 06-QĐKT/ĐTN-VP.
Được khen thưởng vì đóng góp tích cực trong công tác Đoàn và phong trào thanh niên năm học 2023 - 2024.
Tham gia các buổi tập huấn chuyên đề về An toàn giao thông và Ứng dụng kỹ năng số cho sinh viên.</t>
  </si>
  <si>
    <t>27.LÊ HẢI PHỤNG.docx</t>
  </si>
  <si>
    <t>27. LÊ HẢI PHỤNG</t>
  </si>
  <si>
    <t>Trương Hải Châu</t>
  </si>
  <si>
    <t>Kết quả đánh giá chất lượng Đoàn viên cuối năm học 2024 - 2025 đạt Hoàn thành xuất sắc nhiệm vụ.
Đạt danh hiệu Thanh niên tiên tiến Trường Đại học Sài Gòn làm theo lời Bác năm học 2024 - 2025 theo Giấy chứng nhận số 124-GCN/ĐU ngày 12/05/2025.
Được vinh danh là Gương điển hình tiên tiến Trường Đại học Sài Gòn giai đoạn 2020 - 2025 theo Giấy khen số 1416/QĐ-ĐHSG ngày 04/06/2025.
Là Đảng viên chính thức từ ngày 04/08/2025.</t>
  </si>
  <si>
    <t>Đạt danh hiệu Sinh viên 5 tốt cấp trường năm học 2024 - 2025.
Có bài báo khoa học "Dạy học giải các bài toán chủ đề Đạo hàm (Toán 11) nhằm phát triển năng lực giải quyết vấn đề toán học cho học sinh" trên Tạp chí Giáo dục xuất bản ngày 05/04/2025.
Thực hiện đề tài nghiên cứu khoa học sinh viên được hội đồng khoa học cấp Trường nghiệm thu đánh giá từ loại Tốt</t>
  </si>
  <si>
    <t>Đạt giải Nhì môn Cầu lông nam nữ tại Hội thao năm 2025 chào mừng Đại hội đại biểu Hội Sinh viên Việt Nam trường Đại học Sài Gòn lần thứ IX.
Đạt danh hiệu Thanh niên khỏe trường Đại học Sài Gòn năm học 2024 - 2025.
Hoàn thành cự ly 60km tại Giải chạy trực tuyến VUG Running 2024 và đạt chứng nhận Sinh viên khỏe cấp quốc gia.</t>
  </si>
  <si>
    <t>Nhận Bằng khen của Ban Chấp hành Trung ương Hội Sinh viên Việt Nam vì thành tích xuất sắc trong Chiến dịch tình nguyện Mùa hè xanh năm 2024.
Nhận Giấy khen của Ban Chấp hành Hội Sinh viên trường vì thành tích xuất sắc trong Chiến dịch Xuân Tình nguyện lần thứ 17 và Chương trình Tiếp sức mùa thi năm 2025.
Nhận Giấy khen của Chủ tịch Ủy ban Nhân dân Phường An Đông vì thành tích xuất sắc trong hoạt động Hè năm 2025.
Tham gia tổ chức sân chơi khoa học, văn hóa và trao quà cho thiếu nhi tại các chương trình Đêm hội trăng rằm 2024 và Xuân tình nguyện 2025.
Tham gia 05 ngày tình nguyện làm gia sư cho chương trình Lớp học ánh sáng.
Tham gia các hoạt động Ngày thứ bảy tình nguyện và Ngày Chủ nhật xanh trong năm học.</t>
  </si>
  <si>
    <t>Đạt chứng chỉ ngoại ngữ Aptis ESOL trình độ B2 theo khung tham chiếu châu Âu.
Tham gia chương trình giao lưu và tặng quà cho sinh viên Lào tại Ký túc xá Sinh viên Lào Thành phố Hồ Chí Minh ngày 01/02/2025.
Tham gia Ngày hội sinh viên với ngoại ngữ năm 2025 chủ đề GenZith HORIZON.
Xuất sắc hoàn thành nhiệm vụ tại khu vực ASEAN Explorer – Sinh viên Đại học Sài Gòn tự tin hội nhập năm 2024.
Nhận Bằng khen của Ban Chấp hành Hội Sinh viên Thành phố Hồ Chí Minh vì thành tích xuất sắc trong công tác Hội và phong trào sinh viên năm học 2023 - 2024.
Hoàn thành các khóa tập huấn về Kỹ năng AI, Ứng dụng AI cho thanh niên và khóa học Thanh niên tình nguyện hỗ trợ chính quyền địa phương.
Có chứng chỉ tin học cơ bản và chứng chỉ ứng dụng công nghệ thông tin trong dạy học.</t>
  </si>
  <si>
    <t>28. TRƯƠNG HẢI CHÂU</t>
  </si>
  <si>
    <t>Nguyễn Minh Khang</t>
  </si>
  <si>
    <t>1100</t>
  </si>
  <si>
    <t>Kết quả đánh giá chất lượng Đoàn viên năm học 2024 - 2025 đạt Hoàn thành xuất sắc nhiệm vụ.
Đạt danh hiệu Điển hình Thanh niên tiên tiến Trường Đại học Sài Gòn làm theo lời Bác năm học 2024 – 2025.
Là Đảng viên dự bị từ ngày 20/11/2024.</t>
  </si>
  <si>
    <t>Thực hiện đề tài nghiên cứu khoa học Ứng dụng công nghệ thực tế ảo tăng cường (AR) trong dạy học Hai mặt phẳng vuông góc ở lớp 11 và được nghiệm thu với kết quả 93 điểm, đạt loại Xuất sắc.
Có bài viết khoa học Thiết kế và tổ chức dạy học chủ đề các hình khối trong thực tiễn (Toán 8) theo định hướng giáo dục STEM đăng trên Tạp chí Giáo dục Việt Nam vào tháng 8 năm 2024.</t>
  </si>
  <si>
    <t>Đạt danh hiệu Thanh niên khỏe cấp trường theo chứng nhận số 02-QĐGCN/HSV ngày 05/10/2024.
Đạt chứng nhận Sinh viên khỏe do Trung tâm hỗ trợ và phát triển sinh viên Việt Nam cấp sau khi tham gia Giải chạy VUG Running.</t>
  </si>
  <si>
    <t>Nhận Giấy khen của Ban Chấp hành Hội Sinh viên trường Đại học Sài Gòn vì đã có thành tích tốt trong Chương trình Tiếp sức mùa thi năm 2025.
Tham gia và nhận giấy chứng nhận hoàn thành chương trình Tiếp sức mùa thi năm 2025.
Tham gia 06 ngày tình nguyện trong chương trình Lớp học ánh sáng.
Tham gia tổ chức sân chơi và trao quà cho thiếu nhi tại chương trình Xuân tình nguyện năm 2025 Sắc xuân về trường tương ứng 02 ngày tình nguyện.
Tham gia các chương trình Đêm hội trăng rằm năm 2024, Thứ Bảy tình nguyện và Ngày chủ nhật xanh trong năm học.</t>
  </si>
  <si>
    <t>Đạt chứng chỉ tiếng Anh IELTS trình độ B1.
Điểm trung bình các học phần Tiếng Anh đạt tuyệt đối 4.0.
Tham gia Ngày hội Sinh viên với ngoại ngữ năm 2025 GenZith Horizon do Hội Sinh viên Thành phố Hồ Chí Minh tổ chức.
Tham gia Chương trình giao lưu và tặng quà cho sinh viên Lào tại Ký túc xá Sinh viên Lào Thành phố Hồ Chí Minh.
Hoàn thành Chương trình phổ cập Trí tuệ nhân tạo (AI) do Trung ương Đoàn tổ chức.
Tham gia tập huấn chuyên đề An toàn giao thông và kỹ năng phòng tránh va chạm trong hoạt động tình nguyện.
Tham gia buổi chuyên đề Ứng dụng kỹ năng số cho sinh viên trường Đại học Sài Gòn năm 2024.
Xuất sắc hoàn thành nhiệm vụ tại khu vực ASEAN Explorer – Sinh viên Đại học Sài Gòn tự tin hội nhập trong ngày hội SGU’s day.</t>
  </si>
  <si>
    <t>https://drive.google.com/drive/folders/1XAg2ajJL5sq25UMk-b-r4ZxCyDAOX5r4</t>
  </si>
  <si>
    <t>Lê Công Phước</t>
  </si>
  <si>
    <t>Kết quả đánh giá chất lượng Đoàn viên năm học 2024 - 2025 đạt Hoàn thành xuất sắc nhiệm vụ.
Đạt danh hiệu Điển hình Thanh niên tiên tiến Trường Đại học Sài Gòn làm theo lời Bác năm học 2024 - 2025 theo Giấy khen số 557-QĐ/ĐU ngày 12/05/2025.</t>
  </si>
  <si>
    <t>Thực hiện đề tài nghiên cứu khoa học Tích hợp AR và Edpuzzle trong dạy học chủ đề Khoảng cách ở lớp 11 đạt 98 điểm, loại Xuất sắc.
Có bài báo khoa học được đăng trên Tạp chí Giáo dục (số ISSN: 2354-0753) vào tháng 05 năm 2025.</t>
  </si>
  <si>
    <t>Đạt chứng nhận Sinh viên khỏe do Trung tâm Hỗ trợ và phát triển sinh viên Việt Nam cấp sau khi hoàn thành cự ly 80km tại Giải chạy trực tuyến VUG Running 2024.
Đạt danh hiệu Thanh niên khỏe trường Đại học Sài Gòn năm 2024 theo giấy chứng nhận số 02-QĐGCN/HSV ngày 05/10/2024.</t>
  </si>
  <si>
    <t>Nhận Giấy khen số 43/QĐ-BTK ngày 08/08/2025 của Hội Sinh viên trường vì đã có thành tích tốt trong Chương trình Tiếp sức mùa thi năm 2025.
Tham gia và hoàn thành Chương trình Tiếp sức mùa thi năm 2025.
Tham gia 12 ngày tình nguyện làm gia sư cho chương trình Lớp học ánh sáng.
Tham gia tổ chức sân chơi và trao quà cho thiếu nhi tại chương trình Xuân tình nguyện 2025 Sắc xuân về trường tương ứng 02 ngày tình nguyện.
Tham gia chương trình Đêm hội trăng rằm năm 2024 tương ứng 01 ngày tình nguyện.
Tham gia các chương trình Ngày thứ bảy tình nguyện và Ngày Chủ nhật xanh trong năm học.</t>
  </si>
  <si>
    <t>Đạt chứng chỉ tiếng Anh TOEIC 650 và TOEIC SW 250.
Tham gia Ngày hội sinh viên với ngoại ngữ năm 2025 chủ đề GenZith HORIZON do Hội Sinh viên Thành phố Hồ Chí Minh tổ chức.
Tham gia Chương trình giao lưu và tặng quà cho sinh viên Lào tại Ký túc xá Sinh viên Lào Thành phố Hồ Chí Minh ngày 01/02/2025.
Hoàn thành Khóa Tập huấn Kỹ năng AI dành cho Cán bộ Đoàn-Hội do Trung ương Đoàn tổ chức.
Xuất sắc hoàn thành nhiệm vụ tại khu vực ASEAN Explorer – Sinh viên Đại học Sài Gòn tự tin hội nhập năm 2024.
Tham gia tập huấn kỹ năng An toàn giao thông và tập huấn chuyên đề Ứng dụng kỹ năng số cho sinh viên trường Đại học Sài Gòn.</t>
  </si>
  <si>
    <t>https://docs.google.com/document/d/1OK-s4BR6oIhsip9rKVJtbVRefmnNN29t/edit?usp=drive_web&amp;ouid=107639235496425521759&amp;rtpof=true</t>
  </si>
  <si>
    <t>https://drive.google.com/drive/folders/1uBYUeCI4ZRZqwmqkyoXGpGDu8q0kpZJV</t>
  </si>
  <si>
    <t>Dương Thị Nhung</t>
  </si>
  <si>
    <t>TÀI CHÍNH -
KẾ TOÁN</t>
  </si>
  <si>
    <t xml:space="preserve">Cuộc thi “Tháng tám lịch sử qua lăng kính người trẻ”
Tham gia “Tự hào bản sắc nét Việt” – Hoạt động 1: “Hành trình độc lập – Bản hùng ca dân tộc”. Minigame “Mảnh ghép lịch sử”
Cuộc thi trực tuyến “Sáng mãi tên anh – Người lính Cụ Hồ”
Chứng nhận hoàn thành cuộc thi tương tác trực tuyến tìm hiểu về 80 năm ngày Tổng tuyển cử đầu tiên bầu Quốc hội Việt Nam (06/01/1946 – 06/01/2026)
</t>
  </si>
  <si>
    <t xml:space="preserve">Khóa luận tốt nghiệp 
Giấy chứng nhận tham gia vòng loại cuộc thi “Đấu trường Kinh tế X”
</t>
  </si>
  <si>
    <t xml:space="preserve">Chứng nhận tham gia giải chạy bộ Học sinh, Sinh viên và Thanh niên Công nhân năm 2025 cấp Thành phố
Hội thao truyền thống khoa Tài chính - Kế toán năm 2025, Đoàn - Hội khoa Tài chính - Kế toán tổ chức, giải Khuyến khích môn Cầu lông. 
</t>
  </si>
  <si>
    <t xml:space="preserve"> 01 ngày: Tham gia dự án “Trung thu cùng em” tại Trường Tiểu Học B Cô Tô.
Giấy chứng nhận tham gia 01 ngày Chủ nhật xanh lần thứ 161
02 ngày: Hỗ trợ trung tâm Hành chính công phường Nhiêu Lộc
01 ngày: Tham gia ngày hội thanh niên chung cư phường Nhiêu Lộc. 
01 ngày: Tham gia Workshop "Trăng vàng chắp cánh - Em vẽ ước mơ" với Hoạt động 1: Gói quà "Trăng vàng".
04 ngày: Tham gia và hoàn thành Chuỗi hoạt động Xuân tình nguyện Cụm hoạt động số 1 năm 2025.
Giấy chứng nhận đã góp quỹ “Đèn lồng trao em” do Ước Mơ Vùng Biên phát động
01 ngày: Tham gia Ngày hội Đại đoàn kết dân tộc cùng phường 12, quận 3
</t>
  </si>
  <si>
    <t xml:space="preserve">Chứng chỉ TOEIC
01: Tham gia Tọa đàm Khám phá tư duy phản biện, nội dung kỹ năng: kỹ năng tư duy tích cực, phản biện.
01: Tham gia Chương trình trải nghiệm "Một ngày làm chiến sĩ phòng cháy chữa cháy", nội dung kỹ năng: kỹ năng sơ cấp cứu cơ bản.
01: Tham gia Talkshow "Kiểm toán thông minh - Chinh phục thế giới số", nội dung: cập nhật công nghệ kiểm toán, bài học kinh nghiệm của các doanh nghiệp lớn
01: Cuộc thi trực tuyến “IFRS INSIGHT”, nội dung: tìm hiểu về chuẩn mực báo cáo tài chính quốc tế, xếp loại: Đạt. 
Cuộc thi trực tuyến “Hành trình khám phá ASEAN”
Cuộc thi trực tuyến "Tài trí Tài chính - Kế toán"
</t>
  </si>
  <si>
    <t>DƯƠNG THỊ NHUNG – 3121320296 – KHOA TÀI CHÍNH - KẾ TOÁN – BẢNG KHAI THÀNH TÍCH (1).docx</t>
  </si>
  <si>
    <t>DƯƠNG THỊ NHUNG – 3121320296  – KHOA TÀI CHÍNH - KẾ TOÁN – MINH CHỨNG THÀNH TÍCH.docx</t>
  </si>
  <si>
    <t>94 SV5T KHOA
12 SV5TTB KHOA</t>
  </si>
  <si>
    <t>Đặng Thị Hương Lan</t>
  </si>
  <si>
    <t xml:space="preserve">GCN Thanh niên tiên tiến khoa Tài chính - Kế toán làm theo lời Bác năm học 2024 - 2025
Cuộc thi trực tuyến “Tự hào trang sử Đoàn TNCS Hồ Chí Minh”
Cuộc thi Tháng tám lịch sử qua lăng kính người trẻ
Cuộc thi tương tác trắc nghiệm Tìm hiểu về 80 năm ngày Tổng tuyển cử đầu tiên bầu Quốc hội Việt Nam từ tuần 16 - 22
</t>
  </si>
  <si>
    <t xml:space="preserve">Thành viên tích cực CLB Đầu tư tài chính SFIC
</t>
  </si>
  <si>
    <t xml:space="preserve">Hội thao truyền thống khoa Tài chính - Kế toán năm 2025, Đoàn - Hội khoa Tài chính - Kế toán tổ chức, giải Khuyến khích môn Kéo co
</t>
  </si>
  <si>
    <t xml:space="preserve">Tham gia 03 ngày tình nguyện Chương trình Tiếp sức mùa thi năm 2025
Tham gia 04 ngày tình nguyện Chuỗi hoạt động Xuân tình nguyện Cụm hoạt động số 1 năm 2025
Tham gia 02 ngày Lễ chào cờ “Tôi yêu tổ quốc tôi” và tập luyện, quay hình chính thức tại Chương trình đồng diễn “Hoà bình đẹp lắm”
Tham gia 01 ngày tình nguyện ngày Chủ nhật xanh
</t>
  </si>
  <si>
    <t>Chứng chỉ Vstep bậc 3, trường Đại học Sài Gòn cấp, cấp ngày 23/9/2024
Tham gia Tọa đàm Khám phá tư duy phản biện
Tham gia Talkshow “Kiểm toán thông minh - Chinh phục thế giới số”
Cuộc thi trực tuyến “IFRS INSIGHT”
Cuộc thi trực tuyến “Hành trình khám phá ASEAN”</t>
  </si>
  <si>
    <t>ĐẶNG THỊ HƯƠNG LAN – 3122320138 – KHOA TÀI CHÍNH - KẾ TOÁN – BẢNG KHAI THÀNH TÍCH (1).docx</t>
  </si>
  <si>
    <t>ĐẶNG THỊ HƯƠNG LAN – 3122320138 – KHOA TÀI CHÍNH - KẾ TOÁN – MINH CHỨNG THÀNH TÍCH.docx</t>
  </si>
  <si>
    <t>Đỗ Thảo Linh.</t>
  </si>
  <si>
    <t xml:space="preserve">GCN Sao Tháng thanh niên 2025
Cuộc thi “Tìm hiểu về Đảng cộng sản Việt Nam”
Tham gia Cuộc thi trực tuyến Tự hào sinh viên Việt Nam.
</t>
  </si>
  <si>
    <t>Thành viên tích cực CLB Đầu tư tài chính SFIC.</t>
  </si>
  <si>
    <t xml:space="preserve">Quyết định cấp GCN Sinh viên khỏe cấp thành 2025. 
Hội thao truyền thống khoa Tài chính - Kế toán năm 2025 giải Nhì môn Kéo co. </t>
  </si>
  <si>
    <t xml:space="preserve"> Chiến dịch tình nguyện Xuân tình nguyện trường Đại học Sài Gòn lần thứ 17 năm 2025.
Chiến dịch tình nguyện Mùa hè xanh trường Đại học Sài Gòn năm 2025.
 04 ngày: Chương trình “Tiếp sức mùa thi” năm 2025.
 01 ngày: Thứ bảy tình nguyện
Tham gia chương trình “Đồng hành cùng người bạn ngoại thành năm 2025” Chủ đề: “Tiếp sức truyền thống anh hùng” tại huyện Củ Chi. 
</t>
  </si>
  <si>
    <t>Chứng chỉ Aptis B2 
 Điểm trung bình các học phần Ngoại ngữ (trừ môn Ngoại ngữ chuyên ngành): 4.0/4.0
01: Tham gia Tọa đàm Khám phá tư duy phản biện, nội dung kỹ năng: kỹ năng tư duy tích cực, phản biện.
01: Tham gia Talkshow Quản lý và đầu tư tài chính, nội dung: quản lý và đầu tư tài chính hiệu quả.
Cuộc thi trực tuyến “Hành trình khám phá ASEAN”</t>
  </si>
  <si>
    <t>ĐỖ THẢO LINH – 3122421074 – KHOA TÀI CHÍNH - KẾ TOÁN – BẢNG KHAI THÀNH TÍCH (1).docx</t>
  </si>
  <si>
    <t>ĐỖ THẢO LINH – 3122421074 – KHOA TÀI CHÍNH - KẾ TOÁN – MINH CHỨNG THÀNH TÍCH.docx</t>
  </si>
  <si>
    <t>Hà Hồ Phương Thảo</t>
  </si>
  <si>
    <t>3.78</t>
  </si>
  <si>
    <t>Đạt danh hiệu Sao tháng “Thanh niên SGU nghĩ đúng - sống đẹp”
Thành viên chính thức đội tuyển cấp khoa
Tham gia Cuộc thi Tháng tám lịch sử qua lăng kính người trẻ.
Tham gia cuộc thi  trực tuyến "Tự hào trang sử Đoàn TNCS Hồ Chí Minh"</t>
  </si>
  <si>
    <t xml:space="preserve">Danh hiệu “Thanh niên khỏe” - Ngày hội Tân sinh viên SGU’S Day 2025 - STT 1132
Hội thao truyền thống khoa Tài chính - Kế toán năm 2025,  Đoàn - Hội khoa Tài chính - Kế toán tổ chức, giải Khuyến Khích môn Kéo co. </t>
  </si>
  <si>
    <t>04 ngày: Tham gia Chương trình Tiếp sức mùa thi năm 2025.
01 ngày: Tham gia Workshop "Trăng vàng chắp cánh - Em vẽ ước mơ" 
với Hoạt động 2: Em vẽ ước mơ</t>
  </si>
  <si>
    <t>Chứng chỉ Aptis
01: Tham gia Tập huấn phòng cháy chữa cháy và cứu nạn cứu hộ
Tham gia Tọa đàm Khám phá tư duy phản biện
Tham gia Talkshow Đường đến Big4
Tham gia Talkshow "Kiểm toán thông minh - Chinh phục thế giới số"
 Tham gia Talkshow Quản lý và đầu tư tài chính
Cuộc thi trực tuyến “IFRS INSIGHT”
Cuộc thi trực tuyến “Hành trình khám phá ASEAN”
 Chương trình trực tuyến "Mê cùng mê cung"</t>
  </si>
  <si>
    <t>HÀ HỒ PHƯƠNG THẢO – 3122420347 – KHOA TÀI CHÍNH - KẾ TOÁN – BẢNG KHAI THÀNH TÍCH.docx</t>
  </si>
  <si>
    <t>HÀ HỒ PHƯƠNG THẢO – 3122420347 – KHOA TÀI CHÍNH - KẾ TOÁN – MINH CHỨNG THÀNH TÍCH.docx</t>
  </si>
  <si>
    <t>Hoàng Ngọc Dạ Thảo</t>
  </si>
  <si>
    <t>Danh hiệu Điển hình Thanh niên tiên tiến khoa Tài chính - Kế toán làm theo lời Bác năm học 2024 - 2025
Tham gia cuộc thi  trực tuyến "Tự hào trang sử Đoàn TNCS Hồ Chí Minh"
Tham gia Cuộc thi Tháng tám lịch sử qua lăng kính người trẻ.
 Tham gia Cuộc thi trực tuyến Tự hào sinh viên Việt Nam.
Tham gia Cuộc thi trực tuyến Tự hào bản sắc nét Việt.
Tham gia Cuộc thi trực tuyến "Tìm hiểu về Đảng Cộng sản Việt Nam".</t>
  </si>
  <si>
    <t>Khóa luận Tốt nghiệp loại Giỏi</t>
  </si>
  <si>
    <t xml:space="preserve">Hội thao truyền thống khoa Tài chính - Kế toán năm 2025,  Đoàn - Hội khoa Tài chính - Kế toán tổ chức, giải Nhất môn Kéo co. 
</t>
  </si>
  <si>
    <t>01 ngày: Tham gia ngày hội Đại đoàn kết dân tộc cùng phường 12, quận 3.
01 ngày: Thứ bảy tình nguyện
02 ngày: Chủ nhật xanh
02 ngày: Hỗ trợ trung tâm Hành chính công phường Nhiêu Lộc
01 ngày: Tham gia ngày hội thanh niên chung cư phường Nhiêu Lộc. 
01 ngày: Tham gia Workshop "Trăng vàng chắp cánh - Em vẽ ước mơ" 
với Hoạt động 1: Gói quà "Trăng vàng".
01 ngày: Tham gia Workshop "Trăng vàng chắp cánh - Em vẽ ước mơ" 
với Hoạt động 2: Em vẽ ước mơ.</t>
  </si>
  <si>
    <t>Chứng chỉ Toeic 480, IIG Việt Nam cấp, cấp ngày 24/8/2023
Tham gia Tập huấn phòng cháy chữa cháy và cứu nạn cứu hộ
Tham gia Hoạt động Tuyên truyền phòng chống HIV/AIDS, ma tuý &amp; Luật Bình đẳng giới
Tham gia Tọa đàm Khám phá tư duy phản biện
Tham gia Chương trình trải nghiệm "Một ngày làm chiến sĩ phòng cháy chữa cháy"
Tham gia Talkshow Đường đến Big4
Tham gia Talkshow "Kiểm toán thông minh - Chinh phục thế giới số"
Tham gia Talkshow Quản lý và đầu tư tài chính
 Cuộc thi trực tuyến “IFRS INSIGHT”
Cuộc thi trực tuyến “Hành trình khám phá ASEAN”
 Chương trình trực tuyến "Mê cùng mê cung"
 Cuộc thi trực tuyến "Tài trí Tài chính - Kế toán"</t>
  </si>
  <si>
    <t>HOÀNG NGỌC DẠ THẢO – 3121320360 – KHOA TÀI CHÍNH - KẾ TOÁN – BẢNG KHAI THÀNH TÍCH (1).docx</t>
  </si>
  <si>
    <t>HOÀNG NGỌC DẠ THẢO – 3122320360 – KHOA TÀI CHÍNH - KẾ TOÁN – MINH CHỨNG THÀNH TÍCH.docx</t>
  </si>
  <si>
    <t>Huỳnh Ngọc Trâm</t>
  </si>
  <si>
    <t>87</t>
  </si>
  <si>
    <t>3.39</t>
  </si>
  <si>
    <t xml:space="preserve">Giấy chứng nhận Thanh niên tiên tiến khoa Tài chính - Kế toán làm theo lời Bác
Danh hiệu “Thanh niên tiên tiến làm theo lời Bác” năm 2025
Giấy chứng nhận Hoạt động Tháng tám lịch sử qua lăng kính người trẻ
Giấy chứng nhận cuộc thi trắc nghiệm tương tác trực tuyến tìm hiểu về 80 năm Ngày Tổng tuyển cử đầu tiên bầu Quốc hội Việt Nam (06/01/1946 - 06/01/2026)
Giấy chứng nhận Hoạt động Tự hào bản sắc nét Việt
Giấy chứng nhận Chuỗi hoạt động Pháp luật “Dấu ấn pháp luật” - Số 1: Cuộc thi trực tuyến “Tìm hiểu pháp luật”
</t>
  </si>
  <si>
    <t>Thành viên tích cực CLB Đầu tư tài chính SFIC</t>
  </si>
  <si>
    <t>Giải nhì môn Cầu lông - Hội thao truyền thống khoa Tài chính - Kế toán năm 2025</t>
  </si>
  <si>
    <t>Giấy chứng nhận tham gia và hoàn thành nhiệm vụ tình nguyện góp phần tổ chức thành công Đại lễ Phật Đản Liên Hợp Quốc, Vesak 2025.
Giấy chứng nhận 01 ngày Tham gia ngày hội Đại đoàn kết dân tộc cùng phường 12, quận 3
Giấy chứng nhận 01 ngày tham gia Thứ bảy tình nguyện
Giấy chứng nhận 01 ngày tham gigia Chủ nhật xanh lần thứ 161
Giấy chứng nhận 01 ngày tham gia Chủ nhật xanh lần thứ 159
Giấy chứng nhận 02 ngày tham gia Hỗ trợ trung tâm hành chính công
Giấy chứng nhận 01 ngày  tham gia Ngày hội Thanh niên chung cư</t>
  </si>
  <si>
    <t>Chứng chỉ Aptis
Giấy chứng nhận Tọa đàm Khám phá tư duy phản biện
Giấy chứng nhận Talkshow Quản lý và đầu tư tài chính
Giấy chứng nhận Cuộc thi trực tuyến “IFRS INSIGHT”
Giấy chứng nhận cuộc thi trực tuyến Hành trình khám phá ASEAN
Giấy chứng nhận cuộc thi trực tuyến Mê cùng mê cung</t>
  </si>
  <si>
    <t>HUỲNH NGỌC TRÂM – 3123320412 – KHOA TÀI CHÍNH - KẾ TOÁN – BẢNG KHAI THÀNH TÍCH.docx</t>
  </si>
  <si>
    <t>HUỲNH NGỌC TRÂM – 3123320412 – KHOA TÀI CHÍNH - KẾ TOÁN – MINH CHỨNG THÀNH TÍCH.docx</t>
  </si>
  <si>
    <t>Huỳnh Thị Thắm</t>
  </si>
  <si>
    <t>3.83</t>
  </si>
  <si>
    <t xml:space="preserve">Tham gia cuộc thi  trực tuyến "Tự hào trang sử Đoàn TNCS Hồ Chí Minh".
Tham gia Cuộc thi trực tuyến Sáng mãi tên anh - Người lính cụ Hồ.
Tham gia Hoạt động trực tuyến Tự hào bản sắc nét Việt.
</t>
  </si>
  <si>
    <t>Hội thao truyền thống khoa Tài chính - Kế toán năm 2025, Đoàn - Hội khoa Tài chính - Kế toán tổ chức, giải Ba môn Kéo co.</t>
  </si>
  <si>
    <t>02 ngày: Hiến máu tình nguyện.
02 ngày: Hỗ trợ trung tâm Hành chính công phường Nhiêu Lộc.
01 ngày: Tham gia ngày hội thanh niên chung cư phường Nhiêu Lộc.
01 ngày: Chủ nhật xanh lần thứ 159.</t>
  </si>
  <si>
    <t xml:space="preserve">Chứng chỉ Aptis, trình độ: B1, đơn vị cấp: Hội đồng Anh, cấp ngày: 13/01/2025.
01: Tham gia Tọa đàm Khám phá tư duy phản biện, nội dung kỹ năng: kỹ năng tư duy tích cực, phản biện.
01: Cuộc thi trực tuyến “IFRS INSIGHT”, nội dung: tìm hiểu về chuẩn mực báo cáo tài chính quốc tế, xếp loại: Đạt.
Cuộc thi trực tuyến “Hành trình khám phá ASEAN”
Chương trình trực tuyến "Mê cùng mê cung"
</t>
  </si>
  <si>
    <t>HUỲNH THỊ THẮM – 3122420361 – KHOA TÀI CHÍNH - KẾ TOÁN – BẢNG KHAI THÀNH TÍCH.docx</t>
  </si>
  <si>
    <t>HUỲNH THỊ THẮM – 3122420361 – KHOA TÀI CHÍNH - KẾ TOÁN – MINH CHỨNG THÀNH TÍCH.docx</t>
  </si>
  <si>
    <t>Khưu Mỹ Phụng</t>
  </si>
  <si>
    <t>3.85</t>
  </si>
  <si>
    <t xml:space="preserve">Giấy chứng nhận Tham gia cuộc thi  trực tuyến "Tự hào trang sử Đoàn TNCS Hồ Chí Minh"
GCN Cuộc thi trực tuyến "Sáng mãi tên anh - Người lính Cụ Hồ"
GCN Cuộc thi Tháng tám lịch sử qua lăng kính người trẻ
GCN Cuộc thi trắc nghiệm tương tác trực tuyến tìm hiểu về 80 năm ngày tổng tuyển cử đầu tiên bầu quốc hội Việt Nam
GCN Cuộc thi Tự hào bản sắc nét Việt
</t>
  </si>
  <si>
    <t>Tham gia Thanh niên khỏe SGU’S DAY 2025</t>
  </si>
  <si>
    <t>02 ngày: Tham gia Chương trình Tiếp sức mùa thi 2025
02 ngày: Hỗ trợ trung tâm Hành chính công phường Nhiêu Lộc
04 ngày: Tham gia Chuỗi hoạt động Xuân tình nguyện Cụm hoạt động số 1 năm 2025</t>
  </si>
  <si>
    <t xml:space="preserve">Chứng chỉ Aptis B2
GCN Chương trình trải nghiệm "Một ngày làm chiến sĩ phòng cháy chữa cháy", nội dung kỹ năng: kỹ năng sơ cấp cứu cơ bản
GCN Cuộc thi trực tuyến “IFRS INSIGHT”
GCN Chương trình trực tuyến "Mê cùng mê cung"
</t>
  </si>
  <si>
    <t>KHƯU MỸ PHỤNG – 3124320261– KHOA TÀI CHÍNH - KẾ TOÁN – BẢNG KHAI THÀNH TÍCH (1).docx</t>
  </si>
  <si>
    <t>KHƯU MỸ PHỤNG – 3124320261 – KHOA TÀI CHÍNH - KẾ TOÁN – MINH CHỨNG THÀNH TÍCH.docx</t>
  </si>
  <si>
    <t>Lê Phạm Mai Phương</t>
  </si>
  <si>
    <t>Đạt danh hiệu Sao tháng “Thanh niên SGU nghĩ đúng - sống đẹp”
Hoạt động Tháng tám lịch sử qua lăng kính người trẻ
Cuộc thi trực tuyến Tự hào trang sử Đoàn TNCS Hồ Chí Minh 
Cuộc thi trực tuyến Sáng mãi tên anh - Người lính cụ Hồ</t>
  </si>
  <si>
    <t>Thành viên tích cực CLB SFIC</t>
  </si>
  <si>
    <t>Danh hiệu “Thanh niên khỏe trong ngày” trong khuôn khổ “Ngày hội Tân sinh viên SGU’s Day 2025”</t>
  </si>
  <si>
    <t xml:space="preserve">07 ngày: Chương trình “Tiếp sức mùa thi” năm 2025.
01 ngày: Hỗ trợ trung tâm Hành chính công phường Nhiêu Lộc
01 ngày: Tham gia ngày hội thanh niên chung cư phường Nhiêu Lộc. 
</t>
  </si>
  <si>
    <t xml:space="preserve">Chứng chỉ tiếng anh APTIS ESOL General  B1, Hội đồng anh cấp, cấp ngày 05/12/2024.
Chứng chỉ Toeic 520, IIG Việt Nam cấp, cấp ngày 28/9/2024.
Tham gia Tập huấn phòng cháy chữa cháy và cứu nạn cứu hộ, nội dung kỹ năng: kỹ năng sơ cấp cứu cơ bản.
Tham gia Talkshow "Kiểm toán thông minh - Chinh phục thế giới số"
Tham gia Talkshow Quản lý và đầu tư tài chính
Cuộc thi trực tuyến “IFRS INSIGHT”
Cuộc thi trực tuyến “Hành trình khám phá ASEAN”
Chương trình trực tuyến "Mê cùng mê cung"
</t>
  </si>
  <si>
    <t>LÊ PHẠM MAI PHƯƠNG– 3122420300 – KHOA TÀI CHÍNH - KẾ TOÁN – BẢNG KHAI THÀNH TÍCH (1).docx</t>
  </si>
  <si>
    <t>LÊ PHẠM MAI PHƯƠNG – 3122420300 – KHOA TÀI CHÍNH - KẾ TOÁN – MINH CHỨNG THÀNH TÍCH.docx</t>
  </si>
  <si>
    <t>Lê Quỳnh Anh</t>
  </si>
  <si>
    <t>95.5</t>
  </si>
  <si>
    <t xml:space="preserve">Tham gia Cuộc thi trực tuyến Tự hào sinh viên Việt Nam
Tham gia Cuộc thi trực tuyến Tự hào bản sắc nét Việt.
Tham gia Cuộc thi trực tuyến "Tìm hiểu về Đảng Cộng sản Việt Nam"
</t>
  </si>
  <si>
    <t xml:space="preserve">Cuộc thi Đấu trường kinh tế, CLB Đầu tư tài chính SFIC, giải Ba
Thành viên tích cực CLB Đầu tư tài chính SFIC
</t>
  </si>
  <si>
    <t xml:space="preserve">Hội thao truyền thống khoa Tài chính - Kế toán năm 2025, Đoàn - Hội khoa Tài chính - Kế toán tổ chức, giải Nhất môn Kéo co.
</t>
  </si>
  <si>
    <t xml:space="preserve">Giấy khen, Đã có thành tích tốt trong chương trình thiện nguyện “Vui Hội Trăng Rằm”, tại trường Tiểu học B Cô Tô, xã Cô Tô, tỉnh An Giang năm 2025, UB MTTQ Việt Nam xã Cô Tô khen tặng.
02 ngày Hỗ trợ trung tâm Hành chính công phường Nhiêu Lộc
01 ngày Tham gia ngày hội thanh niên chung cư phường Nhiêu Lộc.
02 ngày Tham gia Chủ nhật xanh
Tham gia Lễ kỷ niệm 50 năm ngày giải phóng miền Nam, thống nhất đất nước - Đội hình diễu binh
</t>
  </si>
  <si>
    <t>Chứng chỉ ngoại ngữ APTIS B2
Tham gia Tập huấn phòng cháy chữa cháy và cứu nạn cứu hộ, nội dung kỹ năng: kỹ năng sơ cấp cứu cơ bản.
Tham gia Talkshow Đường đến Big4, nội dung: kiến thức chuyên ngành cần chuẩn bị khi phỏng vấn, kinh nghiệm để gia nhập môi trường doanh nghiệp chuyên nghiệp.
Tham gia Talkshow "Kiểm toán thông minh - Chinh phục thế giới số"
Cuộc thi trực tuyến “Hành trình khám phá ASEAN”.</t>
  </si>
  <si>
    <t>LÊ QUỲNH ANH – 3122420013 – KHOA TÀI CHÍNH - KẾ TOÁN – BẢNG KHAI THÀNH TÍCH (1).docx</t>
  </si>
  <si>
    <t>LÊ QUỲNH ANH – 3122420013 – KHOA TÀI CHÍNH - KẾ TOÁN – MINH CHỨNG THÀNH TÍCH.docx</t>
  </si>
  <si>
    <t>Lê Thị Trúc Quyên</t>
  </si>
  <si>
    <t>87.5</t>
  </si>
  <si>
    <t xml:space="preserve">Tham gia Chuỗi hoạt động Pháp luật "Dấu ấn pháp luật" - Số 1: Cuộc thi trực tuyến "Tìm hiểu Pháp luật".
Tham gia Cuộc thi trực tuyến Sáng mãi tên anh - Người lính cụ Hồ.
Tham gia Cuộc thi trực tuyến "Tìm hiểu về Đảng Cộng sản Việt Nam".
</t>
  </si>
  <si>
    <t xml:space="preserve">Danh hiệu Thanh niên khoẻ - Ngày hội Tân sinh viên SGU’s Day 2025 - STT 1198
Hội thao truyền thống khoa Tài chính - Kế toán năm 2025, Đoàn - Hội khoa Tài chính - Kế toán tổ chức, giải Khuyến khích môn Kéo co.
</t>
  </si>
  <si>
    <t>03 ngày: Hiến máu tình nguyện.
01 ngày: Hỗ trợ trung tâm Hành chính công phường Nhiêu Lộc.
01 ngày: Tham gia ngày hội thanh niên chung cư phường Nhiêu Lộc.
01 ngày: Chủ nhật xanh lần thứ 159.</t>
  </si>
  <si>
    <t xml:space="preserve">Chứng chỉ Aptis, Trình độ: B1, Đơn vị cấp: Hội đồng Anh, Cấp ngày: 13/01/2025.
01: Tham gia Tọa đàm Khám phá tư duy phản biện, nội dung kỹ năng: kỹ năng tư duy tích cực, phản biện.
01: Cuộc thi trực tuyến “IFRS INSIGHT”
Cuộc thi trực tuyến “Hành trình khám phá ASEAN”
Chương trình trực tuyến "Mê cùng mê cung"
</t>
  </si>
  <si>
    <t>LÊ THỊ TRÚC QUYÊN – 3122420317 – KHOA TÀI CHÍNH - KẾ TOÁN – BẢNG KHAI THÀNH TÍCH (1).docx</t>
  </si>
  <si>
    <t>LÊ THỊ TRÚC QUYÊN – 3122420317 – KHOA TÀI CHÍNH - KẾ TOÁN – MINH CHỨNG THÀNH TÍCH.docx</t>
  </si>
  <si>
    <t>Nguyễn Hoàng Nhi</t>
  </si>
  <si>
    <t>Cuộc thi Tháng tám lịch sử qua lăng kính người trẻ.
Tham gia Hoạt động Tự hào bản sắc nét Việt.
Tham gia Chuỗi hoạt động Pháp luật "Dấu ấn pháp luật" - Số 1: Cuộc thi trực tuyến "Tìm hiểu Pháp luật".
Tham gia Cuộc thi trực tuyến "Tự hào trang sử Đoàn TNCS Hồ Chí Minh".
Tham gia cuộc thi trắc nghiệm tương tác trực tuyến tìm hiểu về 80 năm ngày tổng tuyển cử đầu tiên bầu quốc hội Việt Nam (06/01/1946 - 06/01/2026) - Tuần 23: Quốc hội đổi mới các hoạt động trong kỹ năng vươn mình của dân tộc.</t>
  </si>
  <si>
    <t xml:space="preserve">
Hội thao truyền thống khoa Tài chính - Kế toán năm 2025, Đoàn - Hội khoa Tài chính - Kế toán tổ chức, 
giải Ba môn Cầu lông. 
</t>
  </si>
  <si>
    <t>Chiến dịch tình nguyện Mùa hè xanh trường Đại học Sài Gòn lần thứ 32
Chương trình “Tiếp sức mùa thi” năm 2025.
 Chuỗi hoạt động Xuân tình nguyện Cụm hoạt động số 1 năm 2025.
 Hỗ trợ trung tâm Hành chính công phường Nhiêu Lộc.
 Hoạt động hỗ trợ tặng quà cho người dân đợt 02/9.</t>
  </si>
  <si>
    <t>Chứng chỉ Aptis B1, Hội đồng Anh cấp, ngày cấp: 24/12/2024.
Tham gia Chương trình trải nghiệm "Một ngày làm chiến sĩ phòng cháy chữa cháy", nội dung kỹ năng: kỹ năng sơ cấp cứu cơ bản.
Tham gia Hoạt động Tuyên truyền phòng chống HIV/AIDS, ma tuý &amp; Luật Bình đẳng giới, nội dung kỹ năng: giải quyết vấn đề - ra quyết định .
Tham gia Talkshow Quản lý và đầu tư tài chính, nội dung: quản lý và đầu tư tài chính hiệu quả.
Cuộc thi trực tuyến “IFRS INSIGHT”, nội dung: tìm hiểu về chuẩn mực báo cáo tài chính quốc tế, xếp loại: Đạt. 
Cuộc thi trực tuyến “Hành trình khám phá ASEAN”
 Chương trình trực tuyến "Mê cùng mê cung”</t>
  </si>
  <si>
    <t>NGUYỄN HOÀNG NHI – 3123420295 – KHOA TÀI CHÍNH - KẾ TOÁN – BẢNG KHAI THÀNH TÍCH (1).docx</t>
  </si>
  <si>
    <t>NGUYỄN HOÀNG NHI– 3123420295 – KHOA TÀI CHÍNH - KẾ TOÁN – MINH CHỨNG THÀNH TÍCH.docx</t>
  </si>
  <si>
    <t xml:space="preserve">Tham gia và đạt giấy chứng nhận đạt danh hiệu “Thanh niên tiên tiến khoa Tài chính – Kế toán làm theo lời Bác năm học 2024 -2025”
Tham gia và đạt giấy chứng nhận học tập chuyên đề học tập và làm theo tư tưởng, đạo đức, phong cách Hồ Chí Minh 2024.
Ngày 15/05/2025 tham gia và đạt giấy chứng nhận Cuộc thi trực tuyến Tìm hiểu về 50 năm Ngày Giải phóng miền Nam, thống nhất đất nước (30/4/1975 – 30/4/2025)
Tham gia cuộc thi trực tuyến “Tìm hiểu về Đảng cộng sản Việt Nam” năm học 2024 - 2025.
</t>
  </si>
  <si>
    <t xml:space="preserve">Tham gia sân chơi “ THANH NIÊN KHỎE” SGU’S DAY 2024
Hội thao truyền thống khoa Tài chính - Kế toán năm 2025, Đoàn - Hội khoa Tài chính - Kế toán tổ chức, giải Ba môn Kéo co.
</t>
  </si>
  <si>
    <t xml:space="preserve">Tham gia hoạt động “chủ nhật xanh” tại KTX trường Đại học Sài Gòn.
Tham gia lễ chào cờ “Tôi yêu tổ quốc tôi” và chương trình hòa ca “Đất nước trọn niềm vui”
Tham gia Lễ chào cờ “Tôi yêu tổ quốc tôi” và tập luyện, quay hình chính thức tại chương trình đồng diễn “Hòa bình đẹp lắm” Nhân kỷ niệm 50 năm Ngày giải phóng miền Nam, thống nhất đất nước (30/04/1975 - 30/04/2025)
</t>
  </si>
  <si>
    <t>Ngày 03/09/2025: Tham gia chương trình Trang bị Kỹ năng nghề  nghiệp; chủ đề: “Khảo sát nghề nghiệp yêu thích 2025 – ENTERPRISE OF CHOICE”
Tham gia Hội thảo chuyên đề Hội nhập quốc tế trong Ngày hội sinh viên với Ngoại ngữ năm 2025 “Global Ready: Skills for International Integration”
Hoạt động Tuyên truyền phòng chống HIV/AIDS, ma tuý &amp; Luật Bình đẳng giới, nội dung kỹ năng: giải quyết vấn đề - ra quyết định 
Tham gia Talkshow Quản lý và đầu tư tài chính, nội dung: quản lý và đầu tư tài chính hiệu quả.</t>
  </si>
  <si>
    <t>NGUYỄN THỊ MỸ LINH – 3123320154 – KHOA TÀI CHÍNH - KẾ TOÁN – BẢNG KHAI THÀNH TÍCH (1).docx</t>
  </si>
  <si>
    <t>NGUYỄN THỊ MỸ LINH – 3123320154 – KHOA TÀI CHÍNH - KẾ TOÁN – MINH CHỨNG THÀNH TÍCH.docx</t>
  </si>
  <si>
    <t>Nguyễn Thị Ni</t>
  </si>
  <si>
    <t>Danh hiệu Điển hình Thanh niên tiên tiến khoa Tài chính - Kế toán làm theo lời Bác năm học 2024 - 2025
Tham gia Cuộc thi trực tuyến Tự hào sinh viên Việt Nam.
Tham gia Cuộc thi trực tuyến Tự hào bản sắc nét Việt.
Tham gia Cuộc thi trực tuyến "Tìm hiểu về Đảng Cộng sản Việt Nam".
Tham gia cuộc thi  trực tuyến "Tự hào trang sử Đoàn TNCS Hồ Chí Minh".
Tham gia Cuộc thi Tháng tám lịch sử qua lăng kính người trẻ.</t>
  </si>
  <si>
    <t>Khóa luận tốt nghiệp - loại Giỏi</t>
  </si>
  <si>
    <t>Hội thao truyền thống khoa Tài chính - Kế toán năm 2025, Đoàn - Hội khoa Tài chính - Kế toán tổ chức, giải Nhất môn Kéo co.</t>
  </si>
  <si>
    <t>01 ngày: Tham gia ngày hội thanh niên chung cư phường Nhiêu Lộc.
01 ngày: Tham gia Workshop "Trăng vàng chắp cánh - Em vẽ ước mơ" với Hoạt động 1: Gói quà "Trăng vàng".
01 ngày: Tham gia Workshop "Trăng vàng chắp cánh - Em vẽ ước mơ" với Hoạt động 2: Em vẽ ước mơ.
01 ngày: Tham gia ngày hội Đại đoàn kết dân tộc cùng phường 12, quận 3.
01 ngày: Thứ bảy tình nguyện
02 ngày: Chủ nhật xanh
02 ngày: Hỗ trợ trung tâm Hành chính công phường Nhiêu Lộc</t>
  </si>
  <si>
    <t>Chứng chỉ Toeic 530, IIG Việt Nam cấp,   cấp ngày 24/8/2023.
Tham gia Hoạt động Tuyên truyền phòng chống HIV/AIDS, ma tuý &amp; Luật Bình đẳng giới
Tham gia Tọa đàm Khám phá tư duy phản biện, nội dung kỹ năng: kỹ năng tư duy tích cực, phản biện
Tham gia Chương trình trải nghiệm "Một ngày làm chiến sĩ phòng cháy chữa cháy"
Tham gia Talkshow Đường đến Big4
Tham gia Talkshow "Kiểm toán thông minh - Chinh phục thế giới số"
Tham gia Talkshow Quản lý và đầu tư tài chính
Cuộc thi trực tuyến “IFRS INSIGHT”
Chương trình trực tuyến "Mê cùng mê cung"
Cuộc thi trực tuyến "Tài trí Tài chính - Kế toán"</t>
  </si>
  <si>
    <t>NGUYỄN THỊ NI – 3121320307 – KHOA TÀI CHÍNH - KẾ TOÁN – BẢNG KHAI THÀNH TÍCH (1).docx</t>
  </si>
  <si>
    <t>NGUYỄN THỊ NI – 3121320307– KHOA TÀI CHÍNH - KẾ TOÁN – MINH CHỨNG THÀNH TÍCH.docx</t>
  </si>
  <si>
    <t>Nguyễn Thị Thúy Vy</t>
  </si>
  <si>
    <t>91</t>
  </si>
  <si>
    <t>3.92</t>
  </si>
  <si>
    <t xml:space="preserve">Thanh niên tiên tiến làm theo lời Bác cấp Khoa năm học 2024-2025
Tham gia Cuộc thi Tháng tám lịch sử qua lăng kính người trẻ.
Tham gia Cuộc thi trực tuyến Tự hào sinh viên Việt Nam.
</t>
  </si>
  <si>
    <t>Cuộc thi Đấu trường kinh tế, CLB Đầu tư Tài chính tổ chức, Giải Ba.</t>
  </si>
  <si>
    <t>Hội thao truyền thống khoa Tài chính - Kế toán năm 2025, Đoàn - Hội khoa Tài chính - Kế toán tổ chức, giải Nhì môn Kéo co.</t>
  </si>
  <si>
    <t>Tham gia thứ bảy tình nguyện
Tham gia Chủ nhật xanh
Hỗ trợ trung tâm Hành chính công phường Nhiêu Lộc
Chuỗi hoạt động Xuân tình nguyện 2025 CỤm hoạt động số 1.
Tham gia Workshop "Trăng vàng chắp cánh - Em vẽ ước mơ" với Hoạt động 1: Gói quà "Trăng vàng".
Hoạt động hỗ trợ tặng quà cho người dân đợt 02/9</t>
  </si>
  <si>
    <t>Chứng chỉ Vstep B1
Tham gia Tọa đàm Khám phá tư duy phản biện, nội dung kỹ năng: kỹ năng tư duy tích cực, phản biện.
Cuộc thi trực tuyến “IFRS INSIGHT”, nội dung: tìm hiểu về chuẩn mực báo cáo tài chính quốc tế, xếp loại: Đạt. 
Cuộc thi trực tuyến “Hành trình khám phá ASEAN”
Chương trình trực tuyến "Mê cùng mê cung"</t>
  </si>
  <si>
    <t>NGUYỄN THỊ THUÝ VY – 3122420486 – KHOA TÀI CHÍNH - KẾ TOÁN – BẢNG KHAI THÀNH TÍCH (1).docx</t>
  </si>
  <si>
    <t>NGUYỄN THỊ THUÝ VY – 3122420486 – KHOA TÀI CHÍNH - KẾ TOÁN – MINH CHỨNG THÀNH TÍCH.docx</t>
  </si>
  <si>
    <t>Nguyễn Thị Yến Nhi</t>
  </si>
  <si>
    <t>Giấy chứng nhận “ Cuộc thi tìm hiểu 80 năm Ngày Tổng tuyển cử đầu tiên bầu Quốc hội Việt Nam”
Tham gia Cuộc thi Tháng tám lịch sử qua lăng kính người trẻ.
Tham gia Chuỗi hoạt động Pháp luật "Dấu ấn pháp luật" - Số 1: Cuộc thi trực tuyến "Tìm hiểu Pháp luật"
Tham gia Cuộc thi trực tuyến  “Tự hào trang sử Đoàn TNCS Hồ Chí Minh”
Tham gia Cuộc thi trực tuyến "Tự hào sinh viên Việt Nam"
Tham gia Hoạt động "Tự hào bản sắc nét Việt"</t>
  </si>
  <si>
    <t>Hội thao truyền thống khoa Tài chính - Kế toán năm 2025 giải Nhì môn Kéo co</t>
  </si>
  <si>
    <t xml:space="preserve"> 03 ngày: Chương trình Tiếp sức mùa thi năm 2025.
 04 ngày: Chuỗi hoạt động Xuân tình nguyện Cụm hoạt động số 1 năm 2025.
01 ngày: Hỗ trợ trung tâm Hành chính công phường Nhiêu Lộc.
 01 ngày: Chủ nhật xanh</t>
  </si>
  <si>
    <t>Bằng APTIS ESOL B2
 01: Tham gia Chương trình trải nghiệm "Một ngày làm chiến sĩ phòng cháy chữa cháy", nội dung kỹ năng: kỹ năng sơ cấp cứu cơ bản.
 01: Tham gia Talkshow Đường đến Big4, nội dung: kiến thức chuyên ngành cần chuẩn bị khi phỏng vấn, kinh nghiệm để gia nhập môi trường doanh nghiệp chuyên nghiệp.
 01: Tham gia Talkshow "Kiểm toán thông minh - Chinh phục thế giới số", nội dung: cập nhật công nghệ kiểm toán, bài học kinh nghiệm của các doanh nghiệp lớn.
Chương trình trực tuyến "Mê cùng mê cung"
Cuộc thi trực tuyến "Tài trí Tài chính - Kế toán"</t>
  </si>
  <si>
    <t>NGUYỄN THỊ YẾN NHI – 3123420299 – KHOA TÀI CHÍNH - KẾ TOÁN – BẢNG KHAI THÀNH TÍCH (1).docx</t>
  </si>
  <si>
    <t>NGUYỄN THỊ YẾN NHI – 3123420299 – KHOA TÀI CHÍNH - KẾ TOÁN – MINH CHỨNG THÀNH TÍCH.docx</t>
  </si>
  <si>
    <t>Nguyễn Thùy Dung</t>
  </si>
  <si>
    <t xml:space="preserve">Tham gia Chuỗi hoạt động Pháp luật "Dấu ấn pháp luật" - Số 1: Cuộc thi trực tuyến "Tìm hiểu Pháp luật".
Tham gia Cuộc thi trực tuyến "Tự hào trang sử Đoàn TNCS Hồ Chí Minh".
Tham gia Cuộc thi trực tuyến "Sáng mãi tên anh - Người lính Cụ Hồ".
Tham gia Cuộc thi trực tuyến Tháng tám lịch sử qua lăng kính người trẻ. 
Tham gia và hoàn thành nghị quyết số 57-NQ/TW ngày 22/12/2024 của Bộ Chính trị về đột phá phát triển khoa học,  công nghệ, đổi mới sáng tạo và chuyển đổi số quốc gia.
</t>
  </si>
  <si>
    <t xml:space="preserve">Có đề tài nghiên cứu khoa học “Các nhân tố ảnh hưởng đến quyết định sử dụng công cụ chatbot AI vào quá trình học tập của sinh viên Kế toán - Kiểm toán ở các trường Đại học tại Thành phố Hồ Chí Minh”.
Bài viết “Các nhân tố ảnh hưởng đến quyết định sử dụng chatbot AI vào quá trình học tập của sinh viên Kế toán - Kiểm toán ở các trường Đại học tại Thành phố Hồ Chí Minh” - Kỷ yếu hội thảo khoa học cấp Quốc gia EDC-VLU2025.
</t>
  </si>
  <si>
    <t>Hội thao truyền thống khoa Tài chính - Kế toán năm 2025, Đoàn - Hội khoa Tài chính - Kế toán tổ chức, giải Khuyến khích môn Kéo co.</t>
  </si>
  <si>
    <t xml:space="preserve">Tham gia 03 ngày chương trình “Tiếp sức mùa thi” năm 2025.
Tham gia 02 ngày Lễ chào cờ “Tôi yêu Tổ quốc tôi” và tập luyện, quay hình chính thức tại Chương trình đồng diễn “Hòa bình đẹp lắm” Nhân kỷ niệm 50 năm Ngày giải phóng miền Nam, thống nhất đất nước (30/4/1975 - 30/4/2025).
Chuỗi hoạt động Xuân tình nguyện Cụm hoạt động số 1 năm 2025.
</t>
  </si>
  <si>
    <t xml:space="preserve">Chứng chỉ Aptis ESOL, trình độ B2, đơn vị cấp: Hội đồng Anh British Council, ngày cấp: 29/7/2025.
Tham gia Tọa đàm Khám phá tư duy phản biện
Tham gia Chương trình trải nghiệm "Một ngày làm chiến sĩ phòng cháy chữa cháy"
Tham gia Talkshow "Kiểm toán thông minh - Chinh phục thế giới số"
Tham gia Talkshow Quản lý và đầu tư tài chính
Tham gia Talkshow Đường đến Big4
Chương trình trực tuyến "Mê cùng mê cung"
</t>
  </si>
  <si>
    <t>NGUYỄN THUỲ DUNG – 3122320038 – KHOA TÀI CHÍNH - KẾ TOÁN – BẢNG KHAI THÀNH TÍCH (1).docx</t>
  </si>
  <si>
    <t>NGUYỄN THUỲ DUNG – 3122320038– KHOA TÀI CHÍNH - KẾ TOÁN – MINH CHỨNG THÀNH TÍCH.docx</t>
  </si>
  <si>
    <t>Phạm Thị Hồng Nhung</t>
  </si>
  <si>
    <t>3.0</t>
  </si>
  <si>
    <t xml:space="preserve">Danh hiệu “Thanh niên tiên tiến Trường Đại học Sài Gòn làm theo lời Bác” năm học 2024 - 2025
Danh hiệu “Điển hình Thanh niên tiên tiến khoa Tài chính - Kế toán làm theo lời Bác” năm học 2024 - 2025
</t>
  </si>
  <si>
    <t>Đạt danh hiệu “Sinh viên khoẻ” thành phố Hồ Chí Minh</t>
  </si>
  <si>
    <t>Giấy khen Đã có thành tích xuất sắc trong Chiến dịch Mùa hè xanh xã Đắk Mil năm 2025
Giấy chứng nhận của Ban chỉ huy Chiến dịch Xuân Tình nguyện trường Đại học Sài Gòn lần thứ 17
Giấy chứng nhận của Ban chỉ huy Chiến dịch tình nguyện Mùa hè Xanh trường Đại học Sài Gòn lần thứ 31
Danh sách Sinh viên Đạt giấy chứng nhận Tham gia Chương trình Tiếp sức mùa thi Đội hình trường Đại học Sài Gòn năm 2024
Tham gia 04 ngày Chuỗi hoạt động Xuân tình nguyện Cụm hoạt động số 1 năm 2025
Tham gia 01 ngày Chủ nhật xanh lần 159</t>
  </si>
  <si>
    <t xml:space="preserve">Chứng chỉ Tiếng anh Aptis ESOL B1 do Hội đồng Anh (British Council) cấp ngày 03/9/2025
Chứng nhận hoàn thành Chương trình “Phổ cập AI” của Trung ương Đoàn TNCS Hồ Chí Minhvề việc Đã hoàn thành Khoá Tập huấn Kỹ Năng AI dành cho Cán bộ Đoàn – Hội.
Talkshow “Kiểm toán thông minh - Chinh phục thế giới số”
Tham gia Talkshow Quản lý và đầu tư tài chính
Cuộc thi trực tuyến “Hành trình khám phá ASEAN”
Cuộc thi trực tuyến “Tài trí Tài chính - Kế toán”
</t>
  </si>
  <si>
    <t>PHẠM THỊ HỒNG NHUNG – 3123320266 – KHOA TÀI CHÍNH - KẾ TOÁN – BẢNG KHAI THÀNH TÍCH (1).docx</t>
  </si>
  <si>
    <t>PHẠM THỊ HỒNG NHUNG – 3123320266 – KHOA TÀI CHÍNH - KẾ TOÁN – MINH CHỨNG THÀNH TÍCH.docx</t>
  </si>
  <si>
    <t>Phạm Thuỳ Trang</t>
  </si>
  <si>
    <t>Tham gia Chuỗi hoạt động Pháp luật "Dấu ấn pháp luật" - Số 1: Cuộc thi trực tuyến "Tìm hiểu Pháp luật".
Tham gia Cuộc thi trực tuyến Tự hào sinh viên Việt Nam.
Tham gia Cuộc thi trực tuyến "Tự hào trang sử Đoàn TNCS Hồ Chí Minh".
Tham gia Cuộc thi trực tuyến "Tìm hiểu về Đảng Cộng sản Việt Nam".</t>
  </si>
  <si>
    <t xml:space="preserve">Có khóa luận tốt nghiệp được hội đồng khoa học cấp khoa trở lên đánh giá nghiệm thu đạt loại: Giỏi (8.5/10).
</t>
  </si>
  <si>
    <t>Hội thao truyền thống khoa Tài chính - Kế toán năm 2025, Đoàn - Hội khoa Tài chính - Kế toán tổ chức, giải Ba môn Cầu lông.</t>
  </si>
  <si>
    <t>01 ngày: Tham gia Workshop "Trăng vàng chắp cánh - Em vẽ ước mơ" với Hoạt động 1: Gói quà "Trăng vàng".
01 ngày: Tham gia ngày hội Đại đoàn kết dân tộc cùng phường 12, quận 3.
04 ngày: Tham gia Chuỗi hoạt động Xuân tình nguyện Cụm hoạt động số 1 năm 2025.
01 ngày: Tham gia Chủ nhật xanh lần thứ 159</t>
  </si>
  <si>
    <t>Chứng chỉ Toeic 685, IIG Việt Nam cấp, cấp ngày 20/5/2025.
01: Tham gia Kỹ năng tư duy sáng tạo, nội dung kỹ năng: kỹ năng tư duy sáng tạo.
01: Tham gia Tập huấn phòng cháy chữa cháy và cứu nạn cứu hộ, nội dung kỹ năng: kỹ năng sơ cấp cứu cơ bản.
01: Tham gia Talkshow Đường đến Big4, nội dung: kiến thức chuyên ngành cần chuẩn bị khi phỏng vấn, kinh nghiệm để gia nhập môi trường doanh nghiệp chuyên nghiệp.
01: Tham gia Talkshow "Kiểm toán thông minh - Chinh phục thế giới số", nội dung: cập nhật công nghệ kiểm toán, bài học kinh nghiệm của các doanh nghiệp lớn.
Cuộc thi trực tuyến “Hành trình khám phá ASEAN”, Đoàn - Hội khoa Tài chính - Kế toán tổ chức,  địa điểm: Fanpage Sức trẻ Tài chính - Kế toán SGU, thời gian tổ chức từ 12-15/3/2025, sinh viên tham gia.
Chương trình trực tuyến "Mê cùng mê cung", LCH SV khoa Tài chính - Kế toán tổ chức, địa điểm: Fanpage Sức trẻ Tài chính - Kế toán SGU,  thời gian tổ chức 08-11/10/2025, sinh viên tham gia.</t>
  </si>
  <si>
    <t>PHẠM THUỲ TRANG – 3121320436 – KHOA TÀI CHÍNH - KẾ TOÁN – BẢNG KHAI THÀNH TÍCH.docx</t>
  </si>
  <si>
    <t>PHẠM THUỲ TRANG – 3121320436 – KHOA TÀI CHÍNH - KẾ TOÁN – MINH CHỨNG THÀNH TÍCH.docx</t>
  </si>
  <si>
    <t>Phan Anh Thư</t>
  </si>
  <si>
    <t>84</t>
  </si>
  <si>
    <t>3.3</t>
  </si>
  <si>
    <t xml:space="preserve">Đạt danh hiệu Sao tháng “Thanh niên SGU nghĩ đúng - sống đẹp”
Tham gia Cuộc thi Tháng tám lịch sử qua lăng kính người trẻ.
</t>
  </si>
  <si>
    <t>Danh hiệu “Thanh niên khoẻ” - Ngày hội Tân sinh viên SGU’S Day 2025 - STT 1010
Hội thao truyền thống khoa Tài chính - Kế toán năm 2025</t>
  </si>
  <si>
    <t>Hỗ trợ hoạt động đồng diễn kỷ niệm Chiến dịch Hoa phượng đỏ lần thứ 20- năm 2025
01 ngày: Tham gia Workshop "Trăng vàng chắp cánh - Em vẽ ước mơ" với Hoạt động 2: Em vẽ ước mơ.
01 ngày: Chủ nhật xanh
02 ngày: Hỗ trợ tặng quà người dân dịp 02/9</t>
  </si>
  <si>
    <t>Chứng chỉ Aptis B1
01: Tham gia Tọa đàm Khám phá tư duy phản biện
01: cuộc thi Chief accountant For a Day 2025 - Đại học Hoa Sen.
01: Cuộc thi trực tuyến “IFRS INSIGHT”
Chương trình trực tuyến "Mê cùng mê cung"</t>
  </si>
  <si>
    <t>PHAN ANH THƯ – 3124320324 – KHOA TÀI CHÍNH - KẾ TOÁN – BẢNG KHAI THÀNH TÍCH.docx</t>
  </si>
  <si>
    <t>Thái Ngọc Thùy Linh</t>
  </si>
  <si>
    <t>99.5</t>
  </si>
  <si>
    <t>3.35</t>
  </si>
  <si>
    <t xml:space="preserve">Danh hiệu Thanh niên tiên tiến khoa Tài chính - Kế toán làm theo lời Bác năm học 2024 - 2025
Tham gia cuộc thi  trực tuyến "Tự hào trang sử Đoàn TNCS Hồ Chí Minh".
Tham gia Cuộc thi trực tuyến Sáng mãi tên anh - Người lính cụ Hồ.
Tham gia Hoạt động trực tuyến Tự hào bản sắc nét Việt.
</t>
  </si>
  <si>
    <t>Nghiên cứu khoa học - loại Tốt (82)</t>
  </si>
  <si>
    <t>04 ngày: Tham gia Chương trình Tiếp sức mùa thi năm 2025
01 ngày: Thứ bảy tình nguyện
02 ngày: Tham gia Lễ chào cờ “Tôi yêu Tổ quốc tôi” và tập luyện, quay hình chính thức tại chương trình đồng diễn “Hòa bình đẹp lắm”.</t>
  </si>
  <si>
    <t xml:space="preserve">Chứng chỉ Toeic 515, IIG Việt Nam cấp, cấp ngày 05/09/2024
03: Chứng chỉ Microsoft Word, Excel, PowerPoint (Office 2016), nội dung kỹ năng: kỹ năng số.
01: Tham gia Chương trình trải nghiệm "Một ngày làm chiến sĩ phòng cháy chữa cháy"
</t>
  </si>
  <si>
    <t>THÁI NGỌC THUỲ LINH – 3122420186 – KHOA TÀI CHÍNH - KẾ TOÁN – BẢNG KHAI THÀNH TÍCH (1).docx</t>
  </si>
  <si>
    <t>THÁI NGỌC THUỲ LINH – 3122420186 – KHOA TÀI CHÍNH - KẾ TOÁN – MINH CHỨNG THÀNH TÍCH.docx</t>
  </si>
  <si>
    <t>Tống Giang Thanh</t>
  </si>
  <si>
    <t>3.73</t>
  </si>
  <si>
    <t>Danh hiệu Điển hình Thanh niên tiên tiến khoa Tài chính - Kế toán làm theo lời Bác năm học 2024 - 2025
Tham gia Cuộc thi trực tuyến "Tìm hiểu về Đảng Cộng sản Việt Nam"
Chuỗi hoạt động Pháp luật "Dấu ấn pháp luật" - Số 1: Cuộc thi trực tuyến "Tìm hiểu Pháp luật"
Tham gia Hoạt động Tháng tám lịch sử qua lăng kính người trẻ</t>
  </si>
  <si>
    <t>Hội thao truyền thống khoa Tài chính - Kế toán năm 2025</t>
  </si>
  <si>
    <t xml:space="preserve">Đã có thành tích xuất sắc trong chiến dịch mùa hè xanh phường Tân Hưng
04 ngày: Tham gia Chương trình Tiếp sức mùa thi năm 2025.
04 ngày: Hỗ trợ trung tâm Hành chính công phường Nhiêu Lộc.
</t>
  </si>
  <si>
    <t>Chứng chỉ Vstep bậc 4
01: Tham gia Tọa đàm Khám phá tư duy phản biện, nội dung kỹ năng: kỹ năng tư duy tích cực, phản biện.
01: Tham gia Talkshow “Năng lực hội nhập - Tự tin tỏa sáng”, nội dung kỹ năng: xác định mục tiêu.
01: Tham gia lớp tập huấn chuyên đề “Phổ Cập AI”, nội dung kỹ năng: kỹ năng số.
01: Cuộc thi trực tuyến “IFRS INSIGHT”
Cuộc thi trực tuyến “Hành trình khám phá ASEAN”
Chương trình trực tuyến "Mê cùng mê cung"</t>
  </si>
  <si>
    <t>TỐNG GIANG THANH – 3122420345– KHOA TÀI CHÍNH - KẾ TOÁN – BẢNG KHAI THÀNH TÍCH.docx</t>
  </si>
  <si>
    <t>TỐNG GIANG THANH – 3122420345 – KHOA TÀI CHÍNH - KẾ TOÁN – MINH CHỨNG THÀNH TÍCH.docx</t>
  </si>
  <si>
    <t>Trần Thị Ánh Đăng</t>
  </si>
  <si>
    <t xml:space="preserve">Danh hiệu Thanh niên tiên tiến khoa Tài chính - Kế toán làm theo lời Bác năm học 2024 - 2025
Thành viên chính thức đội tuyển cấp khoa
Tham gia cuộc thi  trực tuyến "Tự hào trang sử Đoàn TNCS Hồ Chí Minh"
Tham gia Cuộc thi Tháng tám lịch sử qua lăng kính người trẻ.
 Tham gia Cuộc thi trực tuyến Tự hào sinh viên Việt Nam.
Tham gia Cuộc thi trực tuyến Tự hào bản sắc nét Việt.
Tham gia Cuộc thi trực tuyến "Tìm hiểu về Đảng Cộng sản Việt Nam".
</t>
  </si>
  <si>
    <t>Cuộc thi Đấu trường kinh tế, CLB Đầu tư tài chính tổ chức, Giải Ba.</t>
  </si>
  <si>
    <t xml:space="preserve">Hội thao truyền thống khoa Tài chính - Kế toán năm 2025, Đoàn - Hội khoa Tài chính - Kế toán tổ chức, giải Nhất môn Kéo co. 
</t>
  </si>
  <si>
    <t xml:space="preserve">Giấy khen của Chủ tịch UBND xã Đắk Mil theo quyết định số 36/QĐ-KT-2025 ngày 30/7/2025 về việc Đã có thành tích xuất sắc trong Chiến dịch Mùa Hè Xanh xã  Đắk Mil năm 2025
Tham gia Chiến dịch tình nguyện Mùa hè xanh trường Đại học Sài Gòn năm 2025
01 ngày: Tham gia Workshop "Trăng vàng chắp cánh - Em vẽ ước mơ" 
với Hoạt động 2: Em vẽ ước mơ.
01 ngày: Tham gia Workshop "Trăng vàng chắp cánh - Em vẽ ước mơ" 
với Hoạt động 1: Gói quà "Trăng vàng".
01 ngày: Tham gia ngày hội Đại đoàn kết dân tộc cùng phường 12, quận 3.
01 ngày: Thứ bảy tình nguyện
01 ngày: Chủ nhật xanh
01 ngày: Tham gia ngày hội thanh niên chung cư phường Nhiêu Lộc. 
</t>
  </si>
  <si>
    <t>Chứng chỉ Aptis
Tham gia Hoạt động Tuyên truyền phòng chống HIV/AIDS, ma tuý &amp; Luật Bình đẳng giới
Tham gia Tọa đàm Khám phá tư duy phản biện
01: Tham gia Tập huấn phòng cháy chữa cháy và cứu nạn cứu hộ, nội dung kỹ năng: kỹ năng sơ cấp cứu cơ bản.
01: Tham gia Chương trình trải nghiệm "Một ngày làm chiến sĩ phòng cháy chữa cháy", nội dung kỹ năng: kỹ năng sơ cấp cứu cơ bản.
01: Tham gia Talkshow Đường đến Big4
01: Tham gia Talkshow "Kiểm toán thông minh - Chinh phục thế giới số"
01: Tham gia Talkshow Quản lý và đầu tư tài chính
01: Cuộc thi trực tuyến “IFRS INSIGHT”
Giấy khen của Ban Chấp hành Hội Sinh viên trường Đại học Sài Gòn theo quyết định số 45/QĐ-BTK ngày 25/9/2024 về việc Đã có thành tích xuất sắc trong công tác Hội và phong trào sinh viên trường Đại học Sài Gòn năm học 2023 - 2024
Giấy khen của Ban Chấp hành Hội Sinh viên trường Đại học Sài Gòn theo quyết định số 48/QĐ-BTK ngày 23/10/2025 về việc Đã có thành tích xuất sắc trong công tác Hội và phong trào sinh viên trường Đại học Sài Gòn năm học 2024 - 2025
Giấy khen của Ban Chấp hành Hội Sinh viên trường Đại học Sài Gòn theo quyết định số 31/QĐ-BTK ngày 23/10/2025 về việc Đã có thành tích xuất sắc trong công tác Hội và phong trào sinh viên trường Đại học Sài Gòn nhiệm kỳ 2023 - 2025
Giấy khen của Ban Chấp hành Đoàn trường Đại học Sài Gòn theo quyết định số 08-QĐKT/ĐTN-VP ngày 18/4/2025 về việc Đã có đóng góp tích cực trong hoạt động Tháng Thanh niên trường Đại học Sài Gòn năm 2025 - Chủ đề “Tuổi trẻ trường Đại học Sài Gòn tự hào, vững tin theo Đảng”
Cuộc thi trực tuyến “Hành trình khám phá ASEAN”
 Chương trình trực tuyến "Mê cùng mê cung"
Cuộc thi trực tuyến "Tài trí Tài chính - Kế toán"</t>
  </si>
  <si>
    <t>TRẦN THỊ ÁNH ĐĂNG – 3122420079 – KHOA TÀI CHÍNH - KẾ TOÁN – BẢNG KHAI THÀNH TÍCH (1).docx</t>
  </si>
  <si>
    <t>TRẦN THỊ ÁNH ĐĂNG – 3122420079 – KHOA TÀI CHÍNH - KẾ TOÁN – MINH CHỨNG THÀNH TÍCH.docx</t>
  </si>
  <si>
    <t>Trần Thị Hải</t>
  </si>
  <si>
    <t xml:space="preserve">Đạt danh hiệu Điển hình thanh niên tiên tiến làm theo lời Bác năm học 2024-2025
Cuộc thi trực tuyến tìm hiểu truyền thống 75 năm ngày học sinh, sinh viên và hội sinh viên Việt Nam (09/01/1950-09/01/2025) 
Đã hoàn thành việc học tập chuyên đề học tập và làm theo tư tưởng, đạo đức, phong cách Hồ Chí Minh
Hoàn thành nội dung học tập nghị quyết đại hội đoàn toàn quốc lần thứ XII, nhiệm kỳ 2022-2027
</t>
  </si>
  <si>
    <t xml:space="preserve">Đề tài nghiên cứu khoa học cấp trường năm học 2024 - 2025 ( Đề tài : Các nhân tố ảnh hưởng đến việc lựa chọn phần mềm kế toán tại các doanh nghiệp thương mại - dịch vụ trên địa bàn Thành phố Hồ Chí Minh - loại Tốt.
Các nhân tố ảnh hưởng đến việc lựa chọn phần mềm kế toán tại các doanh nghiệp thương mại - dịch vụ trên địa bàn Thành phố Hồ Chí Minh, Tạp chí Công Thương- Số 08, ngày phát hành 10/03/2025
</t>
  </si>
  <si>
    <t xml:space="preserve">Hội thảo “ Về miền ký ức”, Ký túc xá Trường Đại học Sài Gòn tổ chức, giải Nhất.
Hội thao truyền thống khoa Tài chính - Kế toán năm 2025, Đoàn - Hội khoa Tài chính - Kế toán tổ chức, giải Nhất môn Kéo co.
</t>
  </si>
  <si>
    <t>02 ngày: Tham gia lễ chào cờ “Tôi yêu Tổ quốc tôi” và tập luyện, quay hình chính thức tại Chương trình đồng diễn “Hòa bình đẹp lắm” Nhân kỷ niệm 50 năm ngày giải phóng miền Nam thống nhất đất nước (30/04/1975 - 30/04/2025).
01 ngày: Tình nguyện viên chương trình “Giọt Sữa Trao Em”.
01 ngày: Hỗ trợ trung tâm Hành chính công phường Nhiêu Lộc
01 ngày: Tham gia ngày hội thanh niên chung cư phường Nhiêu Lộc
01 ngày: Tham gia Workshop "Trăng vàng chắp cánh - Em vẽ ước mơ" với Hoạt động 1: Gói quà "Trăng vàng".</t>
  </si>
  <si>
    <t>Chứng chỉ Aptis ESOL General, trình độ: B2, Đơn vị cấp: Hội đồng Anh ( British Council)
- 01: Tham gia Tập huấn phòng cháy chữa cháy và cứu nạn cứu hộ, nội dung kỹ năng: kỹ năng sơ cấp cứu cơ bản.
- 01: Tham gia Talkshow Quản lý và đầu tư tài chính, nội dung: quản lý và đầu tư tài chính hiệu quả.
- 01: Cuộc thi trực tuyến “IFRS INSIGHT”, nội dung: tìm hiểu về chuẩn mực báo cáo tài chính quốc tế, xếp loại: Đạt. 
- Cuộc thi trực tuyến “Hành trình khám phá ASEAN”, Đoàn - Hội khoa Tài chính - Kế toán tổ chức,  địa điểm: Fanpage Sức trẻ Tài chính - Kế toán SGU, thời gian tổ chức từ 12-15/3/2025, sinh viên tham gia.
- Chương trình trực tuyến "Mê cùng mê cung", LCH SV khoa Tài chính - Kế toán tổ chức, địa điểm: Fanpage Sức trẻ Tài chính - Kế toán SGU,  thời gian tổ chức 08-11/10/2025, sinh viên tham gia.
- Cuộc thi trực tuyến "Tài trí Tài chính - Kế toán", Đoàn - Hội khoa Tài chính - Kế toán tổ chức,  địa điểm: Fanpage Sức trẻ Tài chính - Kế toán SGU, thời gian tổ chức: 12-15/6/2025, sinh viên tham gia.</t>
  </si>
  <si>
    <t>TRẦN THỊ HẢI – 3122320069– KHOA TÀI CHÍNH - KẾ TOÁN – BẢNG KHAI THÀNH TÍCH (1).docx</t>
  </si>
  <si>
    <t>TRẦN THỊ HẢI – 3122320069 – KHOA TÀI CHÍNH - KẾ TOÁN – MINH CHỨNG THÀNH TÍCH.docx</t>
  </si>
  <si>
    <t>Võ Tấn Phát</t>
  </si>
  <si>
    <t>- Tham gia cuộc thi  trực tuyến "Tự hào trang sử Đoàn TNCS Hồ Chí Minh".
- Tham gia Cuộc thi Tháng tám lịch sử qua lăng kính người trẻ.
- Tham gia Cuộc thi trực tuyến Tự hào sinh viên Việt Nam.
- Tham gia Cuộc thi trực tuyến Tự hào bản sắc nét Việt</t>
  </si>
  <si>
    <t xml:space="preserve">Có đề tài nghiên cứu khoa học sinh viên hoặc khóa luận Tốt nghiệp trong năm học được hội đồng khoa học từ cấp khoa trở lên nghiệm thu đánh giá:
Khóa luận tốt nghiệp (8.5
</t>
  </si>
  <si>
    <t xml:space="preserve"> Hội thao truyền thống khoa Tài chính - Kế toán năm 2025, Đoàn - Hội khoa Tài chính - Kế toán tổ chức, giải Nhất môn Kéo co. 
 Hội thao truyền thống khoa Tài chính - Kế toán năm 2025, Đoàn - Hội khoa Tài chính - Kế toán tổ chức, giải Ba môn Cầu lông. 
</t>
  </si>
  <si>
    <t>- 01 ngày: Tham gia ngày hội Đại đoàn kết dân tộc cùng phường 12, quận 3.
- 01 ngày: Thứ bảy tình nguyện
- 01 ngày: Chủ nhật xanh
- 02 ngày: Hỗ trợ trung tâm Hành chính công phường Nhiêu Lộc
- 01 ngày: Tham gia ngày hội thanh niên chung cư phường Nhiêu Lộc. 
- 01 ngày: Tham gia Workshop "Trăng vàng chắp cánh - Em vẽ ước mơ" với Hoạt động 1: Gói quà "Trăng vàng".</t>
  </si>
  <si>
    <t>Chứng chỉ Toeic 760, IIG Việt Nam cấp
- 01: Tham gia Tọa đàm Khám phá tư duy phản biện, nội dung kỹ năng: kỹ năng tư duy tích cực, phản biện.
- 01: Tham gia Talkshow Đường đến Big4, nội dung: kiến thức chuyên ngành cần chuẩn bị khi phỏng vấn, kinh nghiệm để gia nhập môi trường doanh nghiệp chuyên nghiệp.
- 01: Tham gia Talkshow "Kiểm toán thông minh - Chinh phục thế giới số", nội dung: cập nhật công nghệ kiểm toán, bài học kinh nghiệm của các doanh nghiệp lớn.
- Cuộc thi trực tuyến “Hành trình khám phá ASEAN”
- Chương trình trực tuyến "Mê cùng mê cung"</t>
  </si>
  <si>
    <t>VÕ TẤN PHÁT – 3121420311 – KHOA TÀI CHÍNH - KẾ TOÁN – BẢNG KHAI THÀNH TÍCH (1).docx</t>
  </si>
  <si>
    <t>VÕ TẤN PHÁT – 3121420311 – KHOA TÀI CHÍNH - KẾ TOÁN – MINH CHỨNG THÀNH TÍCH.docx</t>
  </si>
  <si>
    <t>Võ Thị Anh Thư</t>
  </si>
  <si>
    <t xml:space="preserve"> Danh hiệu Điển hình Thanh niên tiên tiến khoa Tài chính - Kế toán làm theo lời Bác năm học 2024 - 2025, cấp tổ chức: Ban Thường vụ Đoàn khoa Tài chính - Kế toán trường Đại học Sài Gòn, thời gian tuyên dương: 14/5/2025.
Danh hiệu Thanh niên tiên tiến trường Đại học Sài Gòn làm theo lời Bác năm học 2024 - 2025, cấp tổ chức: Ban Thường vụ Đoàn trường Đại học Sài Gòn, thời gian tuyên dương: 19/5/2025.
Thành viên chính thức đội tuyển cấp khoa
Tham  gia cuộc thi trực tuyến “Tháng tám lịch sử qua lăng kính người trẻ”.
Tham gia cuộc thi trực tuyến “Tự hào trang sử Đoàn TNCS Hồ Chí Minh”.
Tham gia cuộc thi trực tuyến “Sáng mãi tên anh - Người lính cụ Hồ”.
Tham gia cuộc thi trực tuyến “Tìm hiểu về Đảng Cộng Sản Việt Nam”.</t>
  </si>
  <si>
    <t xml:space="preserve">Cuộc thi Đấu trường kinh tế - Economic Arena X, CLB Đầu tư tài chính SFIC tổ chức, giải Khuyến khích.
Thành viên tích cực CLB Đầu tư tài chính SFIC
</t>
  </si>
  <si>
    <t xml:space="preserve">Tham gia hoạt động sát hạch S-RACE.
Hội thao truyền thống khoa Tài chính - Kế toán năm 2025, Đoàn - Hội khoa Tài chính - Kế toán tổ chức, giải Khuyến khích môn Kéo co.
</t>
  </si>
  <si>
    <t>Workshop "Trăng vàng chắp cánh - Em vẽ ước mơ" với Hoạt động 1: Gói quà "Trăng vàng"
Workshop "Trăng vàng chắp cánh - Em vẽ ước mơ" với Hoạt động 2: Em vẽ ước mơ.
Chủ nhật xanh lần thứ 161 và hướng ứng chiến dịch làm cho thế giới sạch hơn năm 2025.
Ngày hội Thanh niên chung cư cùng phường 12, quận 3.
Hỗ trợ trung tâm hành chính công phường Nhiêu Lộc.</t>
  </si>
  <si>
    <t xml:space="preserve">Chứng chỉ Aptis B2, British Council cấp, ngày cấp: 23/11/2024.
Điểm trung bình các học phần Ngoại ngữ
Tham gia Hoạt động Tuyên truyền phòng chống HIV/AIDS, ma tuý &amp; Luật Bình đẳng giới, nội dung kỹ năng: giải quyết vấn đề - ra quyết định.
Tham gia Talkshow Đường đến Big4, nội dung: kiến thức chuyên ngành cần chuẩn bị khi phỏng vấn, kinh nghiệm để gia nhập môi trường doanh nghiệp chuyên nghiệp.
Tham gia Talkshow "Kiểm toán thông minh - Chinh phục thế giới số", nội dung: cập nhật công nghệ kiểm toán, bài học kinh nghiệm của các doanh nghiệp lớn.
Tham gia Talkshow Quản lý và đầu tư tài chính, nội dung: quản lý và đầu tư tài chính hiệu quả.
Cuộc thi trực tuyến “Hành trình khám phá ASEAN”, Đoàn - Hội khoa Tài chính - Kế toán tổ chức,  địa điểm: Fanpage Sức trẻ Tài chính - Kế toán SGU, thời gian tổ chức từ 12-15/3/2025, sinh viên tham gia.
Cuộc thi trực tuyến "Tài trí Tài chính - Kế toán", Đoàn - Hội khoa Tài chính - Kế toán tổ chức,  địa điểm: Fanpage Sức trẻ Tài chính - Kế toán SGU, thời gian tổ chức: 12-15/6/2025, sinh viên tham gia.
Chương trình phổ cập AI, tổ chức: Trung ương Đoàn TNCS Hồ Chí Minh, sinh viên tham gia.
</t>
  </si>
  <si>
    <t>VÕ THỊ ANH THƯ – 3123420441 – KHOA TÀI CHÍNH - KẾ TOÁN – BẢNG KHAI THÀNH TÍCH (1).docx</t>
  </si>
  <si>
    <t>VÕ THỊ ANH THƯ – 3123420441 – KHOA TÀI CHÍNH - KẾ TOÁN – MINH CHỨNG THÀNH TÍCH.docx</t>
  </si>
  <si>
    <t>Võ Thị Hồng Diễm</t>
  </si>
  <si>
    <t>94.5</t>
  </si>
  <si>
    <t>Tham gia Cuộc thi trực tuyến Tự hào sinh viên Việt Nam.
Tham gia Cuộc thi trực tuyến Tự hào bản sắc nét Việt.
Tham gia Cuộc thi trực tuyến "Tìm hiểu về Đảng Cộng sản Việt Nam".</t>
  </si>
  <si>
    <t xml:space="preserve">Cuộc thi Đấu trường kinh tế, CLB Đầu tư tài chính SFIC, giải Khuyến khích
Thành viên tích cực CLB Đầu tư tài chính SFIC
</t>
  </si>
  <si>
    <t>Tham gia Hội thao truyền thống khoa Tài chính - Kế toán năm 2025, Đoàn - Hội khoa Tài chính - Kế toán tổ chức, giải Khuyến khích môn Cầu lông</t>
  </si>
  <si>
    <t>Giấy khen, Đã có thành tích tốt trong chương trình thiện nguyện “Vui Hội Trăng Rằm”, tại trường Tiểu học B Cô Tô, xã Cô Tô, tỉnh An Giang năm 2025, UB MTTQ Việt Nam xã Cô Tô khen tặng.
02 ngày: Hỗ trợ trung tâm Hành chính công phường Nhiêu Lộc
01 ngày: Tham gia Workshop "Trăng vàng chắp cánh - Em vẽ ước mơ" với Hoạt động 1: Gói quà "Trăng vàng".
01 ngày: Tham gia Workshop "Trăng vàng chắp cánh - Em vẽ ước mơ" với Hoạt động 2: Em vẽ ước mơ.
01 ngày: Chủ nhật xanh
Tham gia Lễ kỷ niệm 50 năm ngày giải phóng miền Nam, thống nhất đất nước - Đội hình diễu binh</t>
  </si>
  <si>
    <t>Chứng chỉ ngoại ngữ Vstep B1
Tham gia Hoạt động Tuyên truyền phòng chống HIV/AIDS, ma tuý &amp; Luật Bình đẳng giới, nội dung kỹ năng: giải quyết vấn đề - ra quyết định.
Tham gia Talkshow "Kiểm toán thông minh - Chinh phục thế giới số", nội dung: cập nhật công nghệ kiểm toán, bài học kinh nghiệm của các doanh nghiệp lớn.
Cuộc thi trực tuyến “Hành trình khám phá ASEAN”</t>
  </si>
  <si>
    <t>VÕ THỊ HỒNG DIỄM – 3122420052 – KHOA TÀI CHÍNH - KẾ TOÁN – BẢNG KHAI THÀNH TÍCH.docx</t>
  </si>
  <si>
    <t>VÕ THỊ HỒNG DIỄM – 3122420052 – KHOA TÀI CHÍNH - KẾ TOÁN – MINH CHỨNG THÀNH TÍCH.docx</t>
  </si>
  <si>
    <t>Đào Ngọc Linh</t>
  </si>
  <si>
    <t>96.5</t>
  </si>
  <si>
    <t>3.7</t>
  </si>
  <si>
    <t>Kết quả đánh giá chất lượng Đoàn viên năm học 2024 - 2025 đạt mức Xuất sắc.
Đạt danh hiệu Thanh niên tiên tiến làm theo lời Bác cấp Trường năm học 2024 - 2025.</t>
  </si>
  <si>
    <t>Đạt danh hiệu Sinh viên 5 tốt cấp trường năm học 2024 - 2025.
Thực hiện đề tài nghiên cứu khoa học Nghiên cứu các nhân tố ảnh hưởng đến quyết định sử dụng hệ thống hoạch định nguồn lực doanh nghiệp (ERP) đạt 87 điểm, loại Tốt.
Hoàn thành khóa luận tốt nghiệp đề tài Quy trình kiểm toán khoản mục Phải trả người bán tại Công ty Trách nhiệm hữu hạn Ernst &amp; Young Việt Nam đạt 9 điểm, loại Giỏi.
Có bài báo khoa học nghiên cứu về hệ thống hoạch định nguồn lực doanh nghiệp (ERP) đăng trên tạp chí Kinh tế Châu Á - Thái Bình Dương xuất bản tháng 03/2025.</t>
  </si>
  <si>
    <t>Đạt danh hiệu Thanh niên khỏe cấp Trường năm 2024.</t>
  </si>
  <si>
    <t>Nhận Giấy khen số 43/QĐ-BTK của Hội Sinh viên trường vì đã có thành tích tốt trong Chương trình Tiếp sức mùa thi năm 2025.
Tham gia và hoàn thành chương trình Tiếp sức mùa thi năm 2025.
Thực hiện hiến máu tình nguyện với tổng cộng 02 ngày tình nguyện.
Tham gia chương trình hỗ trợ trung tâm hành chính công với tổng cộng 3 ngày tình nguyện.
Tham gia chương trình Trăng rằm sẻ chia và Ngày chủ nhật xanh lần thứ 159 năm 2025.
Tham gia hoạt động Thứ 7 tình nguyện và chiến dịch Xuân tình nguyện năm 2025 tại cụm hoạt động số 1.</t>
  </si>
  <si>
    <t>Đạt chứng chỉ ngoại ngữ IELTS trình độ C1, chứng chỉ VSTEP trình độ B2 và chứng chỉ tiếng Trung HSK4 trình độ B2.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SGU's Day 2024.
Hoàn thành khóa học Ứng dụng AI cho Thanh niên Việt Nam do Hội liên hiệp thanh niên Việt Nam tổ chức.
Tham gia tập huấn chuyên đề An toàn giao thông và kỹ năng phòng tránh va chạm trong hoạt động tình nguyện ngày 04/01/2025.
Tham gia buổi chuyên đề Ứng dụng kỹ năng số cho sinh viên trường Đại học Sài Gòn năm 2024.</t>
  </si>
  <si>
    <t>Lý Thị Ngọc Mai</t>
  </si>
  <si>
    <t>Kết quả đánh giá chất lượng Đoàn viên năm học 2024 - 2025 đạt Hoàn thành xuất sắc nhiệm vụ.
Đạt danh hiệu Thanh niên tiên tiến làm theo lời Bác cấp trường năm học 2024 - 2025.</t>
  </si>
  <si>
    <t>Thực hiện đề tài nghiên cứu khoa học Nghiên cứu các nhân tố ảnh hưởng đến quyết định sử dụng hệ thống hoạch định nguồn lực doanh nghiệp (ERP) tại Việt Nam và được đánh giá đạt 87 điểm, loại Tốt.
Hoàn thành khóa luận tốt nghiệp đề tài Kế toán thuế giá trị gia tăng và thuế thu nhập doanh nghiệp tại Công ty Trách nhiệm hữu hạn Đầu tư và tư vấn VP&amp;Partners đạt 8.5 điểm, loại Giỏi.
Có bài báo khoa học được đăng trên Tạp chí Kinh tế châu Á – Thái Bình Dương (số ISSN: 0868-3808) vào tháng 03 năm 2025</t>
  </si>
  <si>
    <t>Đạt danh hiệu Thanh niên khỏe cấp trường năm 2024</t>
  </si>
  <si>
    <t>Nhận Giấy khen của Chủ tịch Ủy ban nhân dân xã Vĩnh Lộc B vì thành tích xuất sắc trong công tác Đoàn và phong trào Thanh thiếu nhi năm 2024.
Nhận Giấy khen của Ban Chấp hành Hội Sinh viên trường vì đã có thành tích xuất sắc trong Chiến dịch Xuân Tình nguyện trường Đại học Sài Gòn lần thứ 17 năm 2025.
Tham gia hiến máu tình nguyện tương ứng 01 ngày tình nguyện.
Tham gia chương trình Trăng rằm sẻ chia năm 2024 tương ứng 01 ngày tình nguyện.
Tham gia chương trình Ngày chủ nhật xanh lần thứ 159 năm 2025.
Thực hiện hỗ trợ tại trung tâm hành chính công tương ứng 02 ngày tình nguyện.
Tham gia chuỗi chương trình Thứ bảy tình nguyện và Xuân tình nguyện trong năm học.</t>
  </si>
  <si>
    <t>Đạt chứng chỉ ngoại ngữ TOEIC mức điểm 605 (Kỹ năng Nghe và Đọc).
Tham gia Chương trình giao lưu và tặng quà cho sinh viên Lào tại Ký túc xá Sinh viên Lào Thành phố Hồ Chí Minh ngày 01/02/2025.
Xuất sắc hoàn thành nhiệm vụ tại khu vực ASEAN Explorer – Sinh viên Đại học Sài Gòn tự tin hội nhập.
Hoàn thành khóa Tập huấn Kỹ năng Trí tuệ nhân tạo (AI) dành cho Cán bộ Đoàn-Hội do Trung ương Đoàn tổ chức.
Tham gia buổi chuyên đề Ứng dụng kỹ năng số cho sinh viên trường Đại học Sài Gòn năm 2024.
Tham gia tập huấn chuyên đề An toàn giao thông và kỹ năng phòng tránh va chạm trong hoạt động tình nguyện ngày 04/01/2025.</t>
  </si>
  <si>
    <t>Nguyễn Ngọc Tâm Thi</t>
  </si>
  <si>
    <t>Kết quả đánh giá chất lượng Đoàn viên năm học 2024 - 2025 đạt Hoàn thành xuất sắc nhiệm vụ.
Đạt danh hiệu Thanh niên tiên tiến Trường Đại học Sài Gòn làm theo lời Bác năm học 2024 - 2025 theo Giấy chứng nhận số 121-GCN/ĐU ngày 12/05/2025.</t>
  </si>
  <si>
    <t>Hoàn thành khóa luận tốt nghiệp đề tài Quy trình kiểm toán khoản mục Doanh thu và Nợ phải thu khách hàng tại Công ty TNHH Kiểm toán Thuế Tư vấn Sài Gòn đạt 8.5 điểm, loại Giỏi.</t>
  </si>
  <si>
    <t>Đạt danh hiệu Thanh niên khỏe trường Đại học Sài Gòn năm 2024 theo giấy chứng nhận số 02-QĐGCN/HSV ngày 05/10/2024.</t>
  </si>
  <si>
    <t>Nhận Giấy khen số 43/QĐ-BTK ngày 08/08/2025 của Hội Sinh viên trường vì đã có thành tích tốt trong Chương trình Tiếp sức mùa thi năm 2025.
Tham gia và nhận giấy chứng nhận hoàn thành chương trình Tiếp sức mùa thi trường Đại học Sài Gòn năm 2025.
Tham gia chương trình Trăng rằm sẻ chia năm 2024 vui chơi và trao quà cho thiếu nhi tương ứng 01 ngày tình nguyện.
Tham gia hướng dẫn người dân cài đặt, sử dụng các ứng dụng số như VNeID, VSSID và tra cứu thủ tục hành chính tương ứng 01 ngày tình nguyện.
Tham gia chương trình Ngày Chủ Nhật xanh lần thứ 159 năm 2025 tương ứng 01 ngày tình nguyện.
Thực hiện hỗ trợ tại trung tâm hành chính công tương ứng 02 ngày tình nguyện.
Tham gia hiến tóc cho bệnh nhân ung thư tại Mạng lưới Ung thư vú Việt Nam (BCNV) tương ứng 01 ngày tình nguyện.</t>
  </si>
  <si>
    <t>Đạt chứng chỉ tiếng Anh APTIS trình độ bậc 4 tương đương B2.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SGU’s Day 2024.
Hoàn thành khóa học Thanh niên tình nguyện hỗ trợ chính quyền địa phương hai cấp và khóa Tập huấn Kỹ năng AI dành cho cán bộ Đoàn – Hội do Trung ương Đoàn tổ chức.
Tham gia buổi chuyên đề Ứng dụng kỹ năng số cho sinh viên trường Đại học Sài Gòn năm 2024.
Tham gia tập huấn chuyên đề An toàn giao thông và kỹ năng phòng tránh va chạm trong hoạt động tình nguyện ngày 04/01/2025.
Có chứng chỉ tin học quốc tế MOS (Microsoft Office Specialist).</t>
  </si>
  <si>
    <t>Ngô Phương Thanh</t>
  </si>
  <si>
    <t>Đánh giá chất lượng Đoàn viên cuối năm học 2024 - 2025 đạt Hoàn thành xuất sắc nhiệm vụ.
Đạt danh hiệu Thanh niên tiên tiến Trường Đại học Sài Gòn làm theo lời Bác năm học 2024 - 2025 theo Giấy chứng nhận số 119-GCN/ĐU ngày 12/05/2025.</t>
  </si>
  <si>
    <t>Đạt danh hiệu Sinh viên 5 tốt cấp trường năm học 2024 - 2025.
Thực hiện đề tài nghiên cứu khoa học sinh viên được hội đồng khoa học cấp Trường nghiệm thu đánh giá từ loại Tốt</t>
  </si>
  <si>
    <t>Nhận Giấy khen của Ban Chấp hành Hội Sinh viên trường vì đã có thành tích tốt trong Chương trình Tiếp sức mùa thi trường Đại học Sài Gòn năm 2025.
Hoàn thành chương trình Tiếp sức mùa thi năm 2025 với tổng cộng 5 ngày tình nguyện.
Tham gia tổ chức sân chơi và trao quà cho thiếu nhi tại chương trình Đêm hội trăng rằm sẻ chia năm 2024 tương ứng 1 ngày tình nguyện.
Tham gia chương trình Chủ nhật xanh lần thứ 159 năm 2025 tương ứng 1 ngày tình nguyện.
Tham gia hỗ trợ tại trung tâm hành chính công tương ứng 2 ngày tình nguyện.
Tham gia các chương trình Thứ bảy tình nguyện trong năm học.</t>
  </si>
  <si>
    <t>Đạt chứng chỉ ngoại ngữ TOEIC tương đương trình độ B1 theo khung tham chiếu châu Âu.
Tham gia chương trình giao lưu và tặng quà cho sinh viên Lào tại Ký túc xá Sinh viên Lào Thành phố Hồ Chí Minh ngày 01/02/2025.
Tham gia English camp Genzith Horizon 2025 và nhận giấy chứng nhận hoàn thành.
Xuất sắc hoàn thành nhiệm vụ tại khu vực ASEAN Explorer – Sinh viên Đại học Sài Gòn tự tin hội nhập trong Ngày hội Tân Sinh viên SGU's Day 2024.
Tham gia buổi chuyên đề Ứng dụng kỹ năng số cho sinh viên trường Đại học Sài Gòn năm 2024.
Tham gia tập huấn chuyên đề An toàn giao thông và kỹ năng phòng tránh va chạm trong quá trình tham gia hoạt động tình nguyện ngày 04/01/2025.
Có chứng chỉ tin học quốc tế MOS.</t>
  </si>
  <si>
    <t>Diệp Thụy An</t>
  </si>
  <si>
    <t>CÔNG NGHỆ 
THÔNG TIN</t>
  </si>
  <si>
    <t>Minh chứng giấy khen của Ban Thường vụ Đoàn trường về đạt danh hiệu Thanh niên tiên tiến Trường Đại học Sài Gòn làm theo lời Bác năm học 2024 – 2025.</t>
  </si>
  <si>
    <t>Minh chứng thành viên Ban chủ nhiệm câu lạc bộ Khoa Học Thông tin năm học 2024 - 2025.</t>
  </si>
  <si>
    <t>Minh chứng danh hiệu “Thanh niên khỏe” năm 2025
Minh chứng tham gia Hội thao truyền thống sinh viên Đại học Sài Gòn.</t>
  </si>
  <si>
    <t xml:space="preserve"> 1 ngày: Tham gia chương trình tình nguyện “Niềm vui đêm trăng rằm 2024” tại Trường Phổ thông đặc biệt Nguyễn Đình Chiểu.
+ 1 ngày: Tham gia “Thứ 7 tình nguyện” khoa Công nghệ thông tin ngày 25/11/2024.
+ 1 ngày: Tham gia “Chủ nhật xanh” khoa Công nghệ thông tin ngày 26/09/2024.
+ 1 ngày: Tham gia và tổ chức chương trình tình nguyện “Niềm vui đêm trăng rằm 2025” tại Trường Phổ thông đặc biệt Nguyễn Đình Chiểu ngày 03/10/2025.
+ 1 ngày: Tham gia “Chủ nhật xanh” khoa Công nghệ thông tin ngày 26/10/2025.
+ 1 ngày: Tham gia và hỗ trợ tổ chức Chương trình tình nguyện “Xịn xuân” tại Trường Phổ thông đặc biệt Nguyễn Đình Chiểu, 2025
+ 2 ngày: Tham gia hỗ trợ và tổ chức chương trình Cuộc thi Hackathon SGU năm học 2025 - 2026.</t>
  </si>
  <si>
    <t xml:space="preserve">Minh chứng chứng chỉ TOEIC 730 được cấp bởi IIG Việt Nam ngày 22/10/2025.
Minh chứng giấy xác nhận kết quả TOEIC 730 được cấp bởi IIG Việt Nam ngày 22/10/2025.
Minh chứng tham gia English Fiesta 2025, The Winner 2025.
Minh chứng tham gia Chuyên đề “"Ứng dụng kỹ năng số cho sinh viên Trường Đại học Sài Gòn" năm 2024” ngày 28/11/2024.
Minh chứng được giấy khen đã có đóng góp tích cực trong công tác Đoàn và phong trào thanh niên Trường Đại học Sài Gòn năm học 2024 - 2025.
Minh chứng tham gia English Fiesta 2025, The Winner 2025 - Vòng loại, ngày: 20-28/9/2025.
Minh chứng tham gia Workshop “Định hướng nghề nghiệp trong Công nghệ Thông tin, cơ hội và thách thức cùng IDS”, ngày 25/10/2025.
Minh chứng tham gia chuyên đề "Ứng dụng kỹ năng số cho sinh viên Trường Đại học Sài Gòn", ngày 28/11/2024.
Minh chứng tham gia Workshop Cellphones X MSI  Scamp 2024, ngày 19/09/2024.
</t>
  </si>
  <si>
    <t>DIỆP THỤY AN - 3122410001 - CÔNG NGHỆ THÔN TIN - BẢNG KHAI THÀNH TÍCH.docx</t>
  </si>
  <si>
    <t>DIỆP THỤY AN - 312241001 - CÔNG NGHỆ THÔNG TIN - MINH CHỨNG THÀNH TÍCH.docx</t>
  </si>
  <si>
    <t>27 SV5T KHOA
3 SV5TTB KHOA</t>
  </si>
  <si>
    <t>Đàm Thị Ngọc Châu</t>
  </si>
  <si>
    <t>ĐÀM THỊ NGỌC CHÂU - 3122411020 - KHOA CÔNG NGHỆ THÔNG TIN - MINH CHỨNG THÀNH TÍCH.docx</t>
  </si>
  <si>
    <t>Bùi Thị Hải Lâm</t>
  </si>
  <si>
    <t>KHOA HỌC XÃ HỘI VÀ NGHỆ THUẬT</t>
  </si>
  <si>
    <t xml:space="preserve">Đoàn viên Hoàn thành Xuất Sắc nhiệm vụ.
Đạt danh hiệu “Điển hình Thanh niên tiên tiến làm theo lời Bác khoa Khoa học Xã hội và Nghệ thuật năm học 2024 – 2025” 
Đạt danh hiệu “ Điển hình Thanh niên tiên tiến làm theo lời Bác trường Đại học Sài Gòn năm học 2024 – 2025”
</t>
  </si>
  <si>
    <t xml:space="preserve">Điểm trung bình học tập cả năm học (không ghi xếp loại): 3.1/4.0
Tham gia và hoạt động tích cực ít nhất 01 CLB học thuật cấp khoa trở lên: CLB Hẹn cùng văn.
</t>
  </si>
  <si>
    <t>Đạt danh hiệu “Sinh viên khỏe” từ cấp khoa trở lên trong năm học 2024 – 2025: Tham gia sân chơi “ THANH NIÊN KHỎE” SGU’S DAY 2024.
Đạt danh hiệu “Sinh viên khỏe” từ cấp khoa trở lên trong năm học 2025 – 2026: Tham gia sân chơi “ THANH NIÊN KHỎE” SGU’S DAY 2025.</t>
  </si>
  <si>
    <t xml:space="preserve"> 1/2025: Tham gia chiến dịch Xuân tình nguyện Trường Đại học Sài Gòn 2025 và đạt giấy
chứng nhận chiến sĩ đội hình Tết bạn bè.
 1 Ngày: 10/10/2024 Tham gia dự án Hướng về vùng cao.
1 Ngày: 12/01/2025: Tham gia Ngày hội “Tết đong đầy” phường 1, quận 5.
1 Ngày: Đạt giấy chứng nhận Đã tham gia hành trình "Mỗi Chi đoàn, Chi hội tiên phong trong tình nguyện" vào ngày 08/5/2025 tại một số tuyến đường trên địa bàn phường Chánh Hưng, Thành phố Hồ Chí Minh
1 Ngày: Giấy Chứng nhận Đã tham gia hành trình "Mỗi Chi đoàn, Chi hội tiên phong trong tình nguyện" vào ngày 20/11/2024 tại một số tuyến đường trên địa bàn phường Chánh Hưng, Thành phố Hồ Chí Minh
20/4/2025: Tham gia Lễ chào cờ “Tôi yêu Tổ quốc tôi” và chường trình hòa ca “Đất nước trọn niềm vui”.</t>
  </si>
  <si>
    <t>Chứng chỉ B1 - Chứng chỉ tiếng Anh Aptis Esol do BRITISH COUNCIL (Hội Đồng Anh cấp)
8/2025: Tham gia tập huấn kỹ năng phòng cháy chữa cháy tại KTX Đại học Sài Gòn.
30/9/2025: Tham gia lớp bồi dưỡng nhận thức về Đảng.
Đạt chứng chỉ Tin học trình độ CNTT cơ bản.
Đạt chứng chỉ Ứng dụng CNTT trong dạy học.
Tham gia Hội thi Nghiệp vụ Sư phạm khoa Sư phạm Khoa học Xã hội năm học 2024 - 2025 ngày 09/11/2024
5/10/2024: Tham gia hoạt động “ASEAN EXPLORER - SINH VIÊN ĐẠI HỌC SÀI GÒN TỰ TIN HỘI NHẬP”.
11/1/2025-Sân chơi giao lưu Tết cổ truyền " Địa điểm: KTX Sinh viên Lào
Giấy khen theo quyết định số 07- QĐKT/ĐTN-VP của Ban chấp hành trường Đại học Sài Gòn về việc đã đạt danh hiệu “Đoàn viên tiêu biểu Trường đại học Sài Gòn năm học 2024- 2025.
Đạt danh hiệu Sinh viên 5 tốt khoa Sư phạm Khoa học Xã hội năm học 2023 – 2024.
Đạt danh hiệu Sinh viên 5 tốt trường Đại học Sài Gòn năm học 2023 – 2024.
Giấy chứng nhận của Ban chấp hành trường Đại học Sài Gòn về việc đã đạt danh hiệu danh hiệu Điển hình thanh niên tiên tiến làm theo lời Bác cấp trường 2024 – 2025.</t>
  </si>
  <si>
    <t>32 SV5T KHOA
11 SV5TTB KHOA</t>
  </si>
  <si>
    <t>Bùi Thiên Ân</t>
  </si>
  <si>
    <t>Tại tiêu chuẩn hội nhập tốt, cá nhân chỉ đạt 2/3 tiêu chỉ bắt buộc của Hội nhập tốt, thiếu mục hoạt động hội nhập</t>
  </si>
  <si>
    <t>Lê Hoàng Phương Anh</t>
  </si>
  <si>
    <t xml:space="preserve">Phân tích chất lượng đoàn viên: Hoàn thành Xuất sắc nhiệm vụ
Tham gia Hội thi trực tuyến “Tuổi trẻ sắt son niềm tin với Đảng”. (STT 113)
</t>
  </si>
  <si>
    <t>Có đề tài nghiên cứu khoa học sinh viên trong năm học được hội đồng khoa học từ cấp khoa trở lên nghiệm thu đánh giá</t>
  </si>
  <si>
    <t xml:space="preserve">Tham gia Giải chạy bộ Học sinh, Sinh viên và Thanh niên Công nhân năm 2025 được tổ chức bởi Nhà văn hóa Sinh viên Thành phố Hồ Chí Minh.
Thành viên đội tuyển cầu lông cấp khoa tham gia Hội thao trường Đại học Sài Gòn năm học 2024-2025.
</t>
  </si>
  <si>
    <t xml:space="preserve">Tham gia các hoạt động đặc biệt do Nhà trường huy động: Đội văn nghệ đồng diễn chào mừng kỷ niệm 50 năm ngày 30/04/1975 – 30/04/2025
</t>
  </si>
  <si>
    <t>Lê Xuân Diệu</t>
  </si>
  <si>
    <t>Điểm rèn luyện năm học 2024 - 2025  (Không ghi xếp loại): 93,5 điểm. 
Phân tích chất lượng Đoàn viên năm học 2024 - 2025 ​​(đối với Hội viên là Đoàn viên): Hoàn thành xuất sắc nhiệm vụ
Tham gia và đạt giấy chứng nhận “Cuộc thi trắc nghiệm tương tác trực tuyến tìm hiểu về 80 năm ngày Tổng tuyển cử đầu tiên bầu Quốc hội Việt Nam (06/01/1946 – 06/01/2026);
Tham gia và đạt giấy chứng nhận “Kiểm tra đánh giá nhận thức sau học tập về nghị quyết số 57-NQ/TW”
Tham gia và đạt giấy chứng nhận “Đánh giá kết quả học tập chuyên đề về tư tưởng, đạo đức, phong cách Hồ Chí Minh trong cán bộ Đoàn, Đoàn viên năm 2024”
Tham gia Hội thi “Tuổi trẻ sắc son với Đảng” (STT 35)</t>
  </si>
  <si>
    <t>Câu lạc bộ “Hẹn cùng văn”
Bằng khen Euréka của thành đoàn
Bằng khen Euréka của Hiệu trưởng
Sinh viên 5 tốt cấp Trường Đại học Sài Gòn năm 2023 – 2024
Sinh viên 5 tốt cấp Khoa Khoa học Xã hội và Nghệ Thuật năm 2023 – 2024
Sinh viên 5 Tốt cấp Khoa Khoa học Xã hội và Nghệ thuật năm 2024 – 2025
Giấy khen của Thành Đoàn về NCKH
Giấy khen của Hiệu trưởng về NCKH</t>
  </si>
  <si>
    <t>Đã tham gia tích cực Ngày hội Tân Sinh viên “SGU's Day” Stt 486</t>
  </si>
  <si>
    <t xml:space="preserve">1 Ngày: Tham gia hoạt động Hành trình Mỗi chi đoàn, chi hội tiên phong trong tình nguyện cùng Chi đoàn DVA1221 trên một số con đường tại quận 8 Thành phố Hồ Chí Minh lần 1 năm học 2024 – 2025 ngày 20/11/2024.
1 Ngày: Tham gia hoạt động Hành trình Mỗi chi đoàn, chi hội tiên phong trong tình nguyện cùng Chi đoàn DVA1221 trên một số con đường tại quận 8 Thành phố Hồ Chí Minh lần 2 năm học 2024 – 2025 ngày 08/5/2025.
1 Ngày: Tham gia dự án “Giọt sữa trao em” tại xã Thạnh Hòa, Cần Thơ.
1 Ngày: Tham gia hoạt động tình nguyện “Đêm hội trăng rằm.” Ngày 14/9/2024
 1 Ngày: Tham gia Chiến dịch Tình nguyện Mùa hè xanh năm 2025 tại địa bàn xã Châu Hưng, tỉnh Vĩnh Long.
1 Ngày: Tham gia Chương trình Tiếp sức mùa thi (Kì thi Tuyển sinh 10 tại đơn vị Trường THPT Huỳnh Tấn Phát năm 2025.
1 Ngày: Tham gia Chương trình Tiếp sức mùa thi (Kì thi THPT Quốc Gia tại đơn vị Trường THPT Huỳnh Tấn Phát năm 2025
</t>
  </si>
  <si>
    <t xml:space="preserve">Chứng chỉ Aptis
Về kỹ năng: Tham gia Chương trình Tập huấn về AI và Chuyển đổi số cho Đoàn viên Thanh niên tại xã đoàn.
Về hoạt động hội nhập: Tham gia hoạt động “Tìm hiểu văn hóa Ấn Độ qua phim ảnh”
</t>
  </si>
  <si>
    <t>Nguyễn Thanh Vi</t>
  </si>
  <si>
    <t>3.36</t>
  </si>
  <si>
    <t>Điểm rèn luyện năm học 2024 – 2025: 100/100
Phân tích chất lượng Đoàn viên năm học 2024 - 2025 ​​(đối với Hội viên là Đoàn viên): Hoàn thành xuất sắc nhiệm vụ 
 Đạt GCN theo quyết định số 01-QĐ/ĐTN của Ban Thường vụ Đoàn khoa Khoa học Xã hội và Nghệ thuật về việc Đạt danh hiệu “Điển hình Thanh niên tiên tiến làm theo lời Bác” khoa Khoa học Xã hội và Nghệ thuật năm học 2024 – 2025
Đạt GCN theo quyết định số 72-QĐ/ĐU của Đảng ủy Trường Đại học Sài Gòn về việc đạt danh hiệu “ Thanh niên tiên tiến làm theo lời Bác” trường đại học Sài Gòn năm học 2024 – 2025.
Tham gia cuộc thi trực tuyên “Tìm hiểu pháp luật” – Hưởng ứng ngày pháp luật nước Cộng hoà Xã hội Chủ nghĩa Việt Nam.(9/11/2025
 Hoàn thành học tập chuyên đề về tư tưởng, đạo đức, phong cách Hồ Chí Minh năm 2024. (09/2024)
Hoàn thành bài thi cuộc thi trực tuyến “Quân đội nhân dân Việt Nam – 80 năm xây dựng, chiến đấu và trưởng thành” (9/12/2024).</t>
  </si>
  <si>
    <t xml:space="preserve"> Điểm trung bình chung học tập năm học 2024 - 2025: 3.36/4.00
Đạt giải khuyến khích cuộc thi Nghiệp vụ sư phạm trường Đại học Sài Gòn năm học 2024 – 2025. (18/11/2024)
Tham gia tích cực các hoạt động của CLB Địa lý khoa Khoa học Xã hội và Nghệ thuật
Tham gia tích cực các hoạt động của CLB Địa lý khoa Khoa học Xã hội và Nghệ thuật học kì II, năm học 2024-2025
 Đạt Giấy Chứng nhận theo quyết định số 62-QĐ/BTK của Ban Thư ký Hội Sinh viên trường về việc đã đạt danh hiệu “Sinh viên 5 tốt tiêu biểu” khoa Khoa học Xã hội và Nghệ thuật năm học 2024 - 2025.
Đạt GCN theo quyết định số 01-QĐ/ĐTN của Ban Thường vụ Đoàn khoa Khoa học Xã hội và Nghệ thuật về việc Đạt danh hiệu “Điển hình Thanh niên tiên tiến làm theo lời Bác” khoa Khoa học Xã hội và Nghệ thuật năm học 2024 – 2025
</t>
  </si>
  <si>
    <t xml:space="preserve">Đạt GCN của Chi bộ Sinh viên 1, 2, 3, 4 về việc Tham gia Hội thao Đảng viên các Chi bộ Sinh viên (mở rộng) trường Đại học Sài Gòn năm 2025.
</t>
  </si>
  <si>
    <t xml:space="preserve">Nhận giấy khen từ Chủ tịch Uỷ ban Nhân dân xã Đắk Mil tỉnh Lâm Đồng đã có thành tích xuất sắc. trong Chiến dịch Mùa hè xanh xã Đắk Mil năm 2025. (21/7 – 1/8/2025)
Đạt GCN theo QĐ 02-QĐCN/HSV của Ban Chỉ huy Chiến dịch Xuân tình nguyện Trường Đại học Sài Gòn Lần thứ 17 năm 2025
1 Ngày: Đạt GCN Đã tham gia hoạt động tình nguyện ngày 14/9/2024 Chương trình “ĐÊM HỘI TRĂNG RẰM 2024”
1 Ngày: Đạt GCN Đã tham gia Chương trình “Chủ nhật xanh", "Ngày Đoàn viên - Ngày làm việc tốt" và Lễ kỷ niệm 94 năm ngày thành lập Đoàn TNCS Hồ Chí Minh” vào ngày 23/3/2025 do Đoàn khoa Khoa học Xã hội và Nghệ thuật phối hợp với Đoàn Phường 1, Quận 5 tổ chức
2 Ngày: Đạt GCN tham gia tình nguyện Lễ đón, Lễ tiễn Tổng Bí thư, Chủ tịch Nước Cộng hoà Dân chủ Nhân dân Lào thăm TP. Hồ Chí Minh 14/9/2025
2 Ngày: Đạt GCN “Tham gia Lễ chào cờ “ Tôi yêu Tổ quốc tôi” và chương trình hoà ca “Đất nước trọn Niềm vui” do từ Ban thư kí Hội Sinh viên Việt Nam Thành phố Hồ Chí Minh tổ chức.
</t>
  </si>
  <si>
    <t>Đạt chứng chỉ B1 Vstep với số điểm 5.0/10
Điểm trung bình 3 học phần Ngoại ngữ - Tiếng Anh I,II,II: 4.00/4.00
Đạt Chứng chỉ ứng dụng CNTT cơ bản
Đạt GCN Đã tham gia hoạt động Seminar “Sử dụng AI trong thiết kế bài giảng môn Lịch sử - Địa lý và vận dụng một số phần mềm CNTT trong dạy học Địa lý” ngày 12/01/2025
Nhận giấy khen theo quyết định số 33/QĐ-BTK của Ban Chấp hành Hội sinh viên trường Đại học Sài Gòn về việc đã có thành tích xuất sắc trong Công tác Hội và phong trào sinh viên Khoa Sư phạm Khoa học Xã hội nhiệm kỳ 2023 – 2025.
Nhận giấy khen theo quyết định số 48/QĐ-BTK của Ban Chấp hành Hội sinh viên trường Đại học Sài Gòn về việc đã có thành tích xuất sắc trong Công tác Hội và phong trào sinh viên Trường Đại học Sài Gòn năm học 2024 – 2025.
Đạt giải khuyến khích Phần thi Thiết kế và trình bày Dự án dạy học năm học 2024 – 2025 do Khoa Sư phạm Khoa học Xã hội tổ chức (9/11/204)
Đạt GCN Đã tham gia hoạt động “Tìm hiểu văn hóa Ấn Độ qua phim ảnh” ngày 22/3/2025
Đạt GCN tham gia tình nguyện Lễ đón, Lễ tiễn Tổng Bí thư, Chủ tịch Nước Cộng hoà Dân chủ Nhân dân Lào thăm TP. Hồ Chí Minh 14/9/2025</t>
  </si>
  <si>
    <t>Nguyễn Thị Khánh Linh</t>
  </si>
  <si>
    <t>Không đạt 05 ngày tình nguyện</t>
  </si>
  <si>
    <t>Nguyễn Thị Thương</t>
  </si>
  <si>
    <t xml:space="preserve">Phân tích chất lượng Đoàn viên năm học 2024 - 2025 ​​(đối với Hội viên là Đoàn viên): Hoàn thành xuất sắc nhiệm vụ 
Giấy Chứng nhận của Ban Thường vụ Đoàn trường – Ban Thư ký Hội Sinh viên trường theo quyết định số 06-QĐCN/ĐTN-VP ngày 17/4/2025 về việc Đạt danh hiệu  Sao tháng “Thanh niên SGU nghĩ đúng – sống đẹp” năm 2025.
</t>
  </si>
  <si>
    <t xml:space="preserve">Tham gia tích cực CLB Sách và những người bạn.
</t>
  </si>
  <si>
    <t xml:space="preserve">Giấy chứng nhận của Ban Thư ký Hội Sinh viên trường theo quyết định số 02/GCN-BTK ngày 18/8/2025 về việc Đã tham gia Hội thao Chào mừng Đại hội đại biểu Hội Sinh viên Việt Nam trường Đại học Sài Gòn lần thứ IX, nhiệm kỳ 2025-2028 do Liên Chi hội Sinh viên các khoa: Văn hóa và Du lịch, Ngoại ngữ, Khoa học Xã hội và Nghệ thuật, Luật đồng tổ chức. Đạt Danh hiệu "Thanh niên khỏe" trường Đại học Sài Gòn năm học 2024-2025.  
</t>
  </si>
  <si>
    <t xml:space="preserve">Tham gia Chiến dịch tình nguyện Mùa hè xanh trường Đại học Sài Gòn lần thứ 32 năm 2025.
Tham gia hỗ trợ Ngày hội Hướng nghiệp và Việc làm 2025
Tham gia chương trình Campus Tour 2025 chủ đề “ Làm chủ AI, làm chủ sự nghiệp”
Tham gia Talkshow đặc biệt dành cho sinh viên thời đại số “Bảo vệ bản thân trong thế giới số – An toàn thông tin và quyền riêng tư” 
Tham gia hoạt động Lễ thắp nến tri ân và dâng hương tưởng niệm tại địa bàn Phường Chợ Lớn
Hưởng ứng Ngày hoạt động cao điểm “Tình nguyện chung tay xây dựng nông thôn mới” và Ngày Chủ nhật xanh lần thứ 159 - năm 2025.
Hoạt động hỗ trợ Trung tâm phục vụ hành chính công Phường Chợ Quán ngày 27/7/2025.
Hỗ trợ phát quà cho bà con trên địa bàn Phường Tân  Hưng (Tp. Hồ Chí Minh)
Tham gia một ngày Hỗ trợ hướng dẫn người dân thực hiện các dịch vụ công trực tuyến.
Tham gia một ngày Chương trình ngày “Chủ nhật xanh lần thứ 156”, “Ngày đoàn viên – ngày làm việc tốt” và họp mặt kỷ niệm 94 năm ngày thành lập Đoàn.
Tham gia một ngày Hoạt động thứ 7 tình nguyện
</t>
  </si>
  <si>
    <t xml:space="preserve">Chứng chỉ Ngoại ngữ của Trường Đại học Sài Gòn theo quyết định số 3015/QĐ-ĐHSG ngày 27/10/2025 về việc Đã tham dự kỳ thi đánh giá năng lực ngoại ngữ theo Khung năng lực ngoại ngữ 6 bậc dùng cho Việt Nam
Giấy khen của Ban Chấp hành Hội Sinh viên trường theo quyết định số 48/QĐ-BTK ngày 23/10/2025 về việc Đã có thành tích xuất sắc trong công tác Hội và phong trào sinh viên Trường Đại học Sài Gòn năm học 2024 – 2025.
Giấy khen của Ban Chấp hành Hội Sinh viên trường theo quyết định số 33/QĐ-BTK ngày 22/5/2025 về việc Đã có thành tích xuất sắc trong công tác Hội và phong trào sinh viên khoa Thư viện – Văn phòng nhiệm kỳ 2023 – 2025.
Tham gia hoạt động “Tìm hiểu văn hóa Ấn Độ qua phim ảnh” Kết nối văn hóa Ấn – Việt qua phim điện ảnh. vào ngày 22/3/2025 tại Hội trường lầu 7 khu E (cơ sở chính trường Đại học Sài Gòn) do Khoa Khoa học Xã hội và Nghệ thuật tổ chức
</t>
  </si>
  <si>
    <t>Nguyễn Trần Ánh Nhung</t>
  </si>
  <si>
    <t xml:space="preserve">Phân tích chất lượng Đoàn viên: Hoàn thành Xuất sắc nhiệm vụ
Giấy Chứng nhận số 65 của Đảng ủy Trường Đại học Sài Gòn về việc Đạt danh hiệu “Thanh niên tiên tiến Trường Đại học Sài Gòn làm theo lời Bác” năm học 2024 – 2025.
Giấy Chứng nhận của Ban Thường vụ Đoàn trường – Ban Thư ký Hội Sinh viên trường theo quyết định số 06-QĐCN/ĐTN-VP ngày 17/4/2025 về việc Đạt danh hiệu  Sao tháng “Thanh niên SGU nghĩ đúng – sống đẹp” năm 2025.
</t>
  </si>
  <si>
    <t xml:space="preserve">  Đề tài nghiên cứu khoa học xếp loại Tốt
</t>
  </si>
  <si>
    <t xml:space="preserve">Giấy chứng nhận của Ban Thư ký Hội Sinh viên trường theo quyết định số 02/GCN-BTK ngày 18/8/2025 về việc Đã tham gia Hội thao Chào mừng Đại hội đại biểu Hội Sinh viên Việt Nam trường Đại học Sài Gòn lần thứ IX, nhiệm kỳ 2025-2028 do Liên Chi hội Sinh viên các khoa: Văn hóa và Du lịch, Ngoại ngữ, Khoa học Xã hội và Nghệ thuật, Luật đồng tổ chức. Đạt Danh hiệu "Thanh niên khỏe" trường Đại học Sài Gòn năm học 2024-2025.  
</t>
  </si>
  <si>
    <t xml:space="preserve">Giấy khen quyết định số: 14-QĐKT/ĐTN-VP của Ban chấp hành Đoàn trường Đại học Sài Gòn đã có đóng góp tích cực trong Chiến dịch Tình nguyện Mùa hè xanh trường Đại học Sài Gòn lần thứ 32 - năm 2025.
</t>
  </si>
  <si>
    <t xml:space="preserve">Đạt chứng chỉ Tiếng Anh Aptis B1
Giấy khen quyết định số: 15-QĐKT/ĐTN-VP ngày 24/10/2025 của Ban Chấp hành Đoàn trường Đại học Sài Gòn về việc đã có đóng góp tích cực trong công tác Đoàn và phong trào thanh niên Trường Đại học Sài Gòn năm học 2024 – 2025. 
Tham gia hoạt động “Tìm hiểu văn hóa Ấn Độ qua phim ảnh” Kết nối văn hóa Ấn – Việt qua phim điện ảnh. vào ngày 22/3/2025 tại Hội trường lầu 7 khu E (cơ sở chính trường Đại học Sài Gòn) do Khoa Khoa học Xã hội và Nghệ thuật tổ chức 
</t>
  </si>
  <si>
    <t>Phạm Ngọc Bảo Anh</t>
  </si>
  <si>
    <t xml:space="preserve">Điểm rèn luyện năm học 2024 - 2025  (Không ghi xếp loại): 100/100
Phân tích chất lượng Đoàn viên năm học 2024 - 2025 ​​(đối với Hội viên là Đoàn viên): Hoàn thành xuất sắc nhiệm vụ
 Giấy chứng nhận của Ban chấp hành Đoàn thanh niên khoa Khoa học Xã hội và Nghệ thuật theo Quyết định số 01-GCN/ĐTN về việc Đạt danh hiệu “Thanh niên tiến tiến làm theo lời Bác”- khoa Khoa học Xã hội và Nghệ thuật
Danh sách tham gia hội thi trực tuyến tìm hiểu về Đảng Cộng sản Việt Nam với chủ đề: “Tuổi trẻ sắt son niềm tin với Đảng”. (STT18)
</t>
  </si>
  <si>
    <t xml:space="preserve">Điểm trung bình chung học tập năm học 2024 - 2025 (Không ghi xếp loại):  3.78/4.00
Tham gia Hội thi Nghiệp vụ sư phạm cấp Khoa
Đề tài nghiên cứu khoa học “Phát huy giá trị lịch sử, văn hóa của địa danh Mười tám thôn vườn Trầu trong thời kỳ chuyển đổi số” được nghiệm thu 9.0/10.0- Loại Xuất sắc
Thành viên câu lạc bộ Sử học khoa Khoa học Xã hội và Nghệ thuật
</t>
  </si>
  <si>
    <t xml:space="preserve">Thành viên đội tuyển bóng chuyền nữ khoa Khoa học Xã hội và Nghệ thuật (khoa Sư phạm Khoa học Xã hội cũ).
Thành viên đội tuyển kéo co khoa Khoa học Xã hội và nghệ thuật (khoa Sư phạm Khoa học Xã hội cũ).
Đạt giải khuyến khích môn bóng đá nữ hội thao Trường Đại học Sài Gòn năm học 2024-2025
</t>
  </si>
  <si>
    <t xml:space="preserve">Ngày 1: Hiếu máu tình nguyện: ngày 02/10/2024
1 Ngày Chi đoàn DSU1231 tổ chức hoạt động Vệ sinh nghĩa trang Liệt sĩ Nhà Bè, Quận 7 (ngày 01/2/2025)
1 Ngày Chi đoàn DSU1231 tổ chức hoạt động Vệ sinh nghĩa trang Liệt sĩ Nhà Bè, Quận 7 (ngày 14/9/2024)
1 Ngày Chi đoàn DSU1231 tổ chức hoạt động Vệ sinh nghĩa trang Liệt sĩ Nhà Bè, Quận 7 (ngày 19/10/2024)
1 Ngày Chi đoàn DSU1231 tổ chức hoạt động Vệ sinh nghĩa trang Liệt sĩ Nhà Bè, Quận 7 (ngày 18/1/2025)
Tham gia diễn tập “Phương án xử lí tình huống, khẩn cấp cháy, nổ và tổ chức thoát nạn, chữa cháy cứu nạn, cứu hộ tại nơi tổ chức lễ hội, sự kiện tập trung trên địa bàn thành phố” do Ủy ban nhân dân Thành phố Hồ Chí Minh quy động vào  từ ngày 6 đến 12 tháng 1 năm 2025 (Nhà trường lập và lưu danh sách)
</t>
  </si>
  <si>
    <t>Chứng chỉ Aptis Esol B2 do Hội đồng Anh (British Council) cấp ngày 17/7/2025
Tiếng Anh 1, 2, 3: 10.00/10.00
Chứng chỉ ứng dụng Công nghệ Thông Tin vào dạy học
Chứng chỉ ứng dụng công nghệ thông tin cơ bản
Giấy khen của Ban Chấp hành Đoàn thanh niên trường theo Quyết định số 07- QĐKT/ĐTN-VP ngày 18/04/2025 về việc đã Đạt danh hiệu “Đoàn viên tiêu biểu- Trường Đại học Sài Gòn”
Hội thảo chuyên đề “Ứng dụng kỹ năng số cho sinh viên Trường Đại học Sài Gòn ”tổ chức ngày 28/11/2024
Tham gia talkshow “Văn hóa đọc thời kỳ chuyển đổi số” do khoa Khoa học Xã hội và nghệ thuật tổ chức ngày 22/03/2025
Tham gia hoạt động tìm hiểu văn hóa Ấn Độ qua phim ảnh 22/3/2025
Tham gia hội thi trực tuyến “Hội tôi có gì?” do khoa Khoa học Xã hội và nghệ thuật tổ chức từ ngày 09/01/2025 đến ngày 12/01/2025
Hội thảo khoa học cấp Quốc gia “Nguồn lực phát triển công nghiệp văn hóa ở Thành phố Hồ Chí Minh”- Trường không cấp danh sách</t>
  </si>
  <si>
    <t>Quang Đặng Như Ý</t>
  </si>
  <si>
    <t>Tạ Yến Chi</t>
  </si>
  <si>
    <t>Kết quả phân tích chất lượng Đoàn viên năm học 2024 - 2025 đạt Hoàn thành xuất sắc nhiệm vụ.
Đạt danh hiệu Thanh niên tiên tiến trường Đại học Sài Gòn làm theo lời Bác năm học 2024 - 2025 theo Giấy chứng nhận số 62-GCN/ĐU ngày 12/05/2025 của Đảng ủy trường.
Tham gia Ban Tổ chức Sân chơi 50 phút hẹn hò cùng Sử Việt do khoa Khoa học Xã hội và Nghệ thuật phối hợp với Khoa Giáo dục Chính trị tổ chức.
Tham gia Ban Tổ chức Chương trình Hành trình về nguồn - Trân trọng những dấu ấn lịch sử khoa Khoa học Xã hội và Nghệ thuật.
Tham gia Ban Tổ chức Hội thi trực tuyến Tìm hiểu ngày Quốc khánh Nước Cộng hoà xã hội chủ nghĩa Việt Nam 02/09/1945 - 02/09/2024.
Tham gia Ban Tổ chức Hội thi trực tuyến tìm hiểu về Đảng Cộng sản Việt Nam chủ đề Tuổi trẻ sắt son niềm tin với Đảng.</t>
  </si>
  <si>
    <t>Điểm trung bình chung học tập năm học 2024 - 2025 đạt 3.65 trên thang điểm 4.00.
Là Chủ nhiệm đề tài nghiên cứu khoa học Vận dụng nguyên tắc phân hóa vào dạy học đọc hiểu văn bản cho học sinh lớp 6 trên địa bàn Thành phố Hồ Chí Minh đạt 90 trên 100 điểm và xếp loại Xuất sắc.
Tham gia hoạt động tại Câu lạc bộ Hẹn cùng Văn.</t>
  </si>
  <si>
    <t>Đạt danh hiệu Thanh niên khỏe trường Đại học Sài Gòn năm học 2024 - 2025 theo Quyết định số 02/GCN-BTK của Ban Thư ký Hội Sinh viên trường.
Thành viên Ban Tổ chức Hội thao cụm hoạt động số 3.
Thành viên Ban Tổ chức Hội thao Chào mừng Đại hội Đại biểu Hội Sinh viên Việt Nam trường Đại học Sài Gòn lần thứ IX nhiệm kì 2025 - 2028.</t>
  </si>
  <si>
    <t>Được khen thưởng vì đóng góp tích cực trong hoạt động Tháng Thanh niên trường Đại học Sài Gòn năm 2025 theo Giấy khen số 08-QĐKT/ĐTN-VP ngày 18/04/2025 của Ban Chấp hành Đoàn trường.
Đảm nhận vị trí Đội trưởng đội hình Mỹ thuật trong Chiến dịch tình nguyện Mùa hè xanh trường Đại học Sài Gòn năm 2025.
Tham gia chương trình Tiếp sức mùa thi trường Đại học Sài Gòn năm 2025.
Thành viên Ban Tổ chức 02 ngày Chủ nhật xanh và 01 chương trình Trung thu yêu thương cấp khoa.
Thành viên Ban Tổ chức chương trình Hành trình về nguồn - Trân trọng những dấu ấn lịch sử khoa Khoa học Xã hội và Nghệ thuật.
Tham gia phong trào Mỗi Chi đoàn, Chi hội tiên phong trong tình nguyện năm học 2024-2025 gồm tham quan Bảo tàng Tôn Đức Thắng và vệ sinh nghĩa trang Liệt sĩ Nhà Bè.
Tham gia Ngày hội Pháp luật hưởng ứng Ngày Pháp luật nước Cộng hòa Xã hội Chủ nghĩa Việt Nam ngày 09/11/2024.
Hỗ trợ chương trình Chuyện nhà giáo trẻ chủ đề Người gieo mầm xanh ngày 19/11/2024.</t>
  </si>
  <si>
    <t>Tham gia Ban Tổ chức Chương trình tập huấn Kỹ năng sống đô thị cho đoàn viên thanh niên trường Đại học Sài Gòn năm học 2025 - 2026.
Hoàn thành Khóa tập huấn kỹ năng Trí tuệ nhân tạo dành cho Cán bộ Đoàn - Hội theo Giấy chứng nhận của Trung ương Đoàn Thanh niên Cộng sản Hồ Chí Minh.
Được khen thưởng vì đóng góp tích cực trong công tác Đoàn và phong trào thanh niên trường Đại học Sài Gòn năm học 2023 - 2024 theo Giấy khen số 01-QĐKT/ĐTN-VP.
Tham gia Ban Tổ chức hoạt động Tìm hiểu văn hóa Ấn Độ qua phim ảnh do khoa Khoa học Xã hội và Nghệ thuật tổ chức.
Đạt danh hiệu Sinh viên 5 tốt khoa Khoa học Xã hội và Nghệ thuật năm học 2024 - 2025.
Đạt danh hiệu Cán bộ Đoàn tiêu biểu năm học 2024 - 2025 theo Giấy khen số 06-QĐKT/ĐTN-VP.</t>
  </si>
  <si>
    <t>Trần Duy Tôn</t>
  </si>
  <si>
    <t xml:space="preserve">Điểm rèn luyện HKI: 100/100 năm học 2024 – 2025
Phân tích chất lượng Đoàn viên năm học 2024 - 2025 : Hoàn thành xuất sắc nhiệm vụ
Đạt danh hiệu Sao tháng “Thanh niên SGU nghĩ đúng – sống đẹp” từ cấp khoa trở lên  Quyết định số 06-QĐCN/ĐTN-VP ngày 17/04/2025 về việc Đạt danh hiệu “Sao Tháng Thanh niên SGU nghĩ đúng – sống đẹp” năm 2025; 
Quyết định số 43/QĐ-UBH ngày 10/10/2024 về việc Đạt danh hiệu “Thanh niên sống đẹp, sống có ích” phường Võ Thị Sáu năm 2024;
Quyết định số 118/QĐ-UBH ngày 06/08/2024 cấp Giấy khen cho Hội viên đạt thành tích xuất sắc trong “Chiến dịch tình nguyện Mùa hè xanh lần thứ 31” phường Võ Thị Sáu năm 2024.
</t>
  </si>
  <si>
    <t xml:space="preserve">Điểm trung bình chung học tập năm học 2024 - 2025: 3.76/4.0
Đạt chứng nhận tham gia tích cực các hoạt động của CLB Địa lý trực thuộc khoa Khoa học Xã hội và Nghệ thuật.
</t>
  </si>
  <si>
    <t xml:space="preserve">Tham gia nội dung Cầu lông đôi nam của Hội thao năm 2025 Chào mừng Đại hội đại biểu Hội Sinh viên Việt Nam trường Đại học Sài Gòn lần thứ IX, nhiệm kỳ 2025 – 2028
</t>
  </si>
  <si>
    <t xml:space="preserve">Tham gia chiến dịch Xuân Tình nguyện trường Đại học Sài Gòn lần thứ 17 năm 2025 vai trò chiến sĩ Đội hình Xuân Tự Hào;
Tham gia Chiến dịch tình nguyện Mùa hè xanh lần thứ 31 phường Võ Thị Sáu năm 2024;
Ngày 1: Đã tham gia Chương trình “Chủ nhật xanh", "Ngày Đoàn viên - Ngày làm việc tốt" và Lễ kỷ niệm 94 năm ngày thành lập Đoàn TNCS Hồ Chí Minh” vào ngày 23/3/2025 do Đoàn khoa Khoa học Xã hội và Nghệ thuật phối hợp với Đoàn Phường 1, Quận 5 tổ chức
Ngày 2: Đã tham gia hoạt động hỗ trợ hoàn thành công trình cải tạo sơn vẽ mảng tường tuyên truyền trên địa bàn Phường 1, Quận 5 vào ngày 15/3/2025 
Ngày 3: Đã tham gia hoạt động tình nguyện ngày 14/9/2024. Chương trình “ĐÊM HỘI TRĂNG RẰM 2024” 
Ngày 4: Tham gia Hoạt động “Ngày thứ 7 tình nguyện” do khoa Khoa học Xã hội và Nghệ thuật tổ chức tại chung cư 44 Nguyễn Biểu(08/02/2024); 
Ngày 5: Tham gia Hoạt động “Hành trình về nguồn – Trân trọng những dấu ấn Lịch sử - số 1” do khoa Khoa học Xã hội và Nghệ thuật tại bệnh viện Chợ Quán (16/02/2025)
Tham gia hoạt động chiếu phim truyền thống thước phim tự hào “Đừng đốt” (20/03/2025);
</t>
  </si>
  <si>
    <t>Quyết định số 1138/ QĐ-ĐHSG về việc cấp chứng nhận đạt chứng chỉ ngoại ngữ trình độ B1 VSTEP theo khung năng lực ngoại ngữ 6 bậc dùng cho Việt Nam
 Đạt chứng chỉ Ứng dụng CNTT cơ bản
Đạt chứng chỉ Ứng dụng CNTT trong dạy học
Đã tham gia hoạt động Seminar “Sử dụng AI trong thiết kế bài giảng môn Lịch sử - Địa lý và vận dụng một số phần mềm CNTT trong dạy học Địa lý” ngày 12/01/2025
Tham gia hoạt động “Tìm hiểu văn hoá Ấn Độ, kết nối văn hoá Ấn - Việt qua phim điện ảnh” (22/03/2025);
Tham gia Scroll Smart - Learn Fast (12/05/2025). 
Liên hoan Hữu nghị Việt Nam - Ấn Độ Lần thứ XII (ngày 20/12/2024) (Stt5)</t>
  </si>
  <si>
    <t>Trần Lê Nhật Anh</t>
  </si>
  <si>
    <t xml:space="preserve">Điểm rèn luyện năm học 2024 - 2025  (Không ghi xếp loại): 100
Phân tích chất lượng Đoàn viên năm học 2024 - 2025 (đối với Hội viên là Đoàn viên): Hoàn thành Xuất sắc nhiệm vụ
Giấy chứng nhận theo quyết định số 01-GCN/ĐTN ngày 09/5/2025 của Ban Thường vụ Đoàn khoa về việc đã đạt danh hiệu Thanh niên tiên tiến làm theo lời Bác khoa Khoa học Xã hội và Nghệ thuật năm học 2024 – 2025.
Tham gia hội thi trực tuyến tìm hiểu về Đảng Cộng sản Việt Nam “Tuổi trẻ sắt son niềm tin với Đảng”.
</t>
  </si>
  <si>
    <t xml:space="preserve">Điểm trung bình chung học tập năm học 2024 - 2025 (Không ghi xếp loại): 3.38
Giấy chứng nhận theo quyết định số 170/GCN-ĐHSG ngày 15/5/2025 về việc Thực hiện hoàn thành đề NCKH cấp Trường của sinh viên được Hội đồng khoa học cấp khoa nghiệm thu đạt loại Xuất sắc.
Giấy khen theo quyết định số 1224/QĐ-ĐHSG ngày 14/5/2025 đạt giải Nhì lĩnh vực Khoa học Xã hội và Nhân văn cuộc thi “Sinh viên nghiên cứu khoa học cấp Trường năm 2025”.
</t>
  </si>
  <si>
    <t xml:space="preserve">Tham gia giải chạy học sinh – sinh viên SRACE 2024 với vai trò vận động viên.
Tham gia Hội thao truyền thống sinh viên Trường Đại học Sài Gòn năm học 2024 - 2025 môn bóng chuyền.
</t>
  </si>
  <si>
    <t xml:space="preserve">Tham gia và đạt GCN đã tham gia Chương trình Xuân tình nguyện năm 2025.
Tham gia hành trình về nguồn “Trân trọng những dấu ấn lịch sử” tại Khu trại giam Bệnh viện Chợ Quán.
Tham gia chương trình Ngày Chủ nhật Xanh lần thứ 156 tại chung cư 44 Nguyễn Biểu.
 Tham dự lễ chào cờ “Tôi Yêu Tổ Quốc Tôi” Nhân Kỷ Niệm 50 Năm Ngày Giải Phóng Miền Nam, Thống Nhất Đất Nước (30/4/1975 - 30/4/2025)” .
Tham gia chương trình thắp nến tri ân các Anh hùng Liệt sĩ nhân kỷ niệm 50 năm ngày 30/4.
Tham gia giải chạy học sinh – sinh viên SRACE 2024 với vai trò vận động viên.
Tham gia phỏng vấn phục vụ đánh giá ngoài 06 Chương trình đào tạo trình độ Đại học và Thạc sĩ năm học 2024 tại Trường Đại học Sài Gòn. 
</t>
  </si>
  <si>
    <t>Chứng chỉ APTIS B1 do Hội đồng Anh cấp
Điểm trung bình các học phần Ngoại ngữ (trừ môn Ngoại ngữ chuyên ngành): 10.00
Đã hoàn thành Chuyên đề “Ứng dụng AI trong thiết kế bài giảng môn Lịch sử” ngày 11/01/2025
Tham gia tìm hiểu văn hoá Ấn Độ (Kết nối văn hoá Ấn – Việt qua phim ảnh).
Tham gia Talkshow Văn hoá đọc thời kỳ chuyển đổi số.
Tham gia Ngày hội Sinh viên với Ngoại ngữ lần thứ 10 năm 2025 - “English Camp - GenZith Horizon”, Hội Sinh viên Việt Nam Thành phố Hồ Chí Minh
Tham gia lễ tiễn Tổng Bí Thư, Chủ Tịch nước Cộng Hòa Dân Chủ Nhân Dân Lào thăm Thành Phố Hồ Chí Minh với vai trò tình nguyện viên.</t>
  </si>
  <si>
    <t>Trần Quốc Nam</t>
  </si>
  <si>
    <t xml:space="preserve">không đạt vì chương trình Tiếp bước chân xanh mùa 02 do Đoàn Hội khoa Báo chí và Truyền thông trường Đại học Khoa học Xã hội và Nhân văn tổ chức do chỉ có quy mô cấp khoa
</t>
  </si>
  <si>
    <t>Võ Nguyên Thảo</t>
  </si>
  <si>
    <t>Điểm rèn luyện năm học 2024 - 2025 đạt 100 trên 100 điểm.
Phân tích chất lượng Đoàn viên năm học 2024 - 2025 đạt Hoàn thành xuất sắc nhiệm vụ.
Tham gia hội thi tìm hiểu về chủ nghĩa Mác - Lênin, tư tưởng Hồ Chí Minh trường Đại học Sài Gòn năm 2025.
Đạt danh hiệu Thanh niên tiên tiến trường Đại học Sài Gòn làm theo lời Bác năm học 2024 - 2025 theo Giấy chứng nhận số 67-GCN/ĐU ngày 12/05/2025 của Đảng ủy trường.
Đạt danh hiệu Điển hình Thanh niên tiên tiến làm theo lời Bác khoa Khoa học Xã hội và Nghệ thuật năm 2024 - 2025 theo Giấy chứng nhận số 01-GCN/ĐTN ngày 09/05/2025.
Tham gia và đạt giấy chứng nhận Kiểm tra đánh giá nhận thức sau học tập về Nghị quyết số 57-NQ/TW ngày 22/12/2024 của Bộ Chính trị.
Tham gia và đạt giấy chứng nhận Đánh giá kết quả học tập chuyên đề về tư tưởng, đạo đức, phong cách Hồ Chí Minh trong cán bộ Đoàn, Đoàn viên năm 2024.
Tham gia vòng chung kết cuộc thi trực tuyến Tuổi trẻ học tập và làm theo tư tưởng đạo đức, phong cách Hồ Chí Minh năm học 2024 - 2025 ngày 09/03/2025.
Tham gia Chương trình Hành trình về nguồn - Trân trọng những dấu ấn lịch sử số 1 ngày 16/02/2025.</t>
  </si>
  <si>
    <t>Điểm trung bình chung học tập năm học 2024 - 2025 đạt 3.465 trên thang điểm 4.0.
Thành viên hoạt động tích cực tại Câu lạc bộ Hẹn cùng Văn.</t>
  </si>
  <si>
    <t>Tham gia hoạt động gây quỹ Thanh niên khỏe năm 2025 do Liên chi Hội Sinh viên Khoa Lịch sử trường Đại học Khoa học Xã hội và Nhân văn, Đại học Quốc gia Thành phố Hồ Chí Minh tổ chức.</t>
  </si>
  <si>
    <t>Đạt thành tích xuất sắc trong Chiến dịch Thanh niên tình nguyện hè xã Hòa Bình năm 2025 theo Giấy khen số 11-QĐ/ĐTN ngày 25/08/2025 của Ban chấp hành Xã Đoàn Hòa Bình.
Đạt thành tích xuất sắc trong chương trình Tiếp sức mùa thi năm 2025 theo Giấy khen số 17-QĐKT/ĐTN ngày 27/06/2025 của Ban chấp hành Đoàn trường Trung học phổ thông Lê Thị Riêng.
Tham gia Ngày chủ nhật xanh lần thứ 156 ngày 23/03/2025 và lần thứ 157 ngày 25/05/2025.
Tham gia hoạt động Hành trình Mỗi chi đoàn, chi hội tiên phong trong tình nguyện cùng Chi đoàn DVA1221 tại quận 8 lần 1 ngày 20/11/2024 và lần 2 ngày 08/05/2025.
Tham gia chương trình Trung thu cho em 2025 do Câu lạc bộ Thiện nguyện Tuổi trẻ Cai Lậy tổ chức tại xã Hiệp Đức, tỉnh Đồng Tháp ngày 05/10/2025.
Tham gia chương trình Tiếp sức mùa thi năm 2025 do Huyện Đoàn Hòa Bình, tỉnh Bạc Liêu tổ chức từ ngày 26 đến ngày 27/06/2025.</t>
  </si>
  <si>
    <t>Đạt chứng chỉ tiếng Anh VSTEP trình độ B1 do trường Đại học Sài Gòn cấp ngày 28/07/2025.
Đạt chứng chỉ Ứng dụng Công nghệ thông tin trong dạy học do Trung tâm Công nghệ thông tin trường Đại học Sài Gòn cấp.
Tham gia Hội thi Nghiệp vụ Sư phạm khoa Sư phạm Khoa học Xã hội năm học 2024 - 2025.
Đạt danh hiệu Cán bộ Hội tiêu biểu năm học 2024 - 2025 theo Giấy khen số 16/QĐ-BTK của Ban chấp hành Hội Sinh viên trường Đại học Sài Gòn.
Tham gia hoạt động Tìm hiểu Văn hóa Ấn Độ qua phim ảnh ngày 22/03/2025.</t>
  </si>
  <si>
    <t>Võ Thị Kim Chi</t>
  </si>
  <si>
    <t>Điểm rèn luyện năm học 2024 - 2025 đạt 100 trên 100 điểm. 
Kết quả phân tích chất lượng Đoàn viên năm học 2024 - 2025 đạt Đoàn viên Hoàn thành Xuất sắc nhiệm vụ. 
Đạt Giấy chứng nhận Cuộc thi trực tuyến Tự hào Việt Nam năm 2025. 
Đạt Giấy chứng nhận Cuộc thi trắc nghiệm tương tác trực tuyến tìm hiểu về 80 năm ngày tổng tuyển cử đầu tiên bầu Quốc hội Việt Nam tuần 15. 
Đạt Giấy chứng nhận Cuộc thi trắc nghiệm tương tác trực tuyến tìm hiểu về 80 năm ngày tổng tuyển cử đầu tiên bầu Quốc hội Việt Nam tuần 16. 
Đạt Giấy chứng nhận Cuộc thi trắc nghiệm tương tác trực tuyến tìm hiểu về 80 năm ngày tổng tuyển cử đầu tiên bầu Quốc hội Việt Nam tuần 23. 
Tham gia Cuộc thi chính luận về bảo vệ nền tảng tư tưởng của Đảng lần thứ Năm năm 2025. 
Tham gia Hội thi Kể chuyện về Học tập và làm theo tư tưởng, đạo đức, phong cách Hồ Chí Minh với chủ đề Người là niềm tin tất thắng. 
Tham gia Hội thi trực tuyến Hội tôi có gì năm học 2024 - 2025. 
Tham gia Sinh hoạt chính trị tháng 9 chủ đề Nhớ về Bác - Lòng ta trong sáng hơn năm học 2024 - 2025. 
Tham gia Hội thi tìm hiểu về luật Nghĩa vụ Quân sự, Luật Dân quân Tự vệ chào mừng kỷ niệm 80 năm ngày thành lập Quân đội Nhân dân Việt Nam do Đoàn phường 1 quận 5 tổ chức.</t>
  </si>
  <si>
    <t>Điểm trung bình chung học tập năm học 2024 - 2025 đạt 3.91 trên thang điểm 4.00. 
Thực hiện hoàn thành Xuất sắc đề tài Nghiên cứu khoa học cấp Trường của sinh viên theo Giấy chứng nhận số 170/GCN-Đại học Sài Gòn. 
Đạt giải Nhì lĩnh vực Khoa học Xã hội và Nhân văn tại Cuộc thi sinh viên Nghiên cứu khoa học cấp trường năm học 2025 theo Quyết định số 1224/QĐ-Đại học Sài Gòn. 
Tham gia vòng bán kết Giải thưởng sinh viên nghiên cứu khoa học Euréka năm 2025. 
Có đề tài nghiên cứu khoa học Hoạt động du học ở miền Nam Việt Nam dưới thời Việt Nam Cộng hòa (1954 – 1975) được hội đồng khoa học cấp khoa đánh giá 92.3 điểm và xếp loại Xuất sắc.</t>
  </si>
  <si>
    <t>Đạt danh hiệu Thanh niên khỏe trường Đại học Sài Gòn năm học 2024 - 2025 theo Quyết định số 02/GCN-BTK ngày 18/08/2025 của Ban Thư ký Hội Sinh viên trường. 
Tham gia Hội thao Đảng viên các Chi bộ sinh viên mở rộng trường Đại học Sài Gòn do Đảng bộ trường tổ chức. 
Đạt giải Khuyến khích môn Bóng đá nữ tại Hội thao truyền thống sinh viên trường Đại học Sài Gòn năm học 2024 - 2025.</t>
  </si>
  <si>
    <t>Hoàn thành Chiến dịch tình nguyện Mùa hè xanh trường Đại học Sài Gòn lần thứ 32 năm 2025 tại Đội hình Truyền thông. 
Tham gia hoạt động Vệ sinh nghĩa trang Liệt sĩ Nhà Bè quận 7 vào các ngày 14/09/2024, 19/10/2024, 18/01/2025 và 01/02/2025. 
Tham gia quyên góp chương trình Đêm hội trăng rằm năm 2024 phối hợp với Đoàn Phường 1 quận 5 ngày 14/09/2024. 
Hỗ trợ trang trí gian hàng ẩm thực khoa trong Ngày hội chào đón Tân sinh viên Khóa 24 ngày 05/10/2024. 
Tham gia chương trình ngày Chủ nhật xanh lần thứ 156 và Ngày đoàn viên - ngày làm việc tốt ngày 23/03/2025. 
Tham gia sơn vẽ mảng tường tuyên truyền bảo vệ môi trường hưởng ứng Lễ khởi động Tháng Thanh niên năm 2025 ngày 01/03/2025. 
Hỗ trợ hướng dẫn người dân thực hiện các dịch vụ công trực tuyến tại Phường 1 quận 5 ngày 16/03/2025. 
Tham gia biểu diễn văn nghệ tại lễ Kỷ niệm 50 năm ngày Giải phóng miền Nam, thống nhất đất nước do Nhà trường huy động năm 2025.</t>
  </si>
  <si>
    <t>Đạt Chứng chỉ tiếng Anh Aptis trình độ B2 do Hội đồng Anh cấp ngày 26/08/2025. 
Điểm trung bình các học phần Ngoại ngữ bao gồm Tiếng anh 1, 2, 3 đạt tuyệt đối 10.00 trên 10.00. 
Tham gia Talkshow Văn hoá đọc thời kỳ chuyển đổi số ngày 22/03/2025. 
Tham gia Chuyên đề Ứng dụng kỹ năng số cho sinh viên trường Đại học Sài Gòn năm học 2024 - 2025. 
Đạt danh hiệu Cán bộ đoàn tiêu biểu năm học 2024 - 2025 theo Quyết định số 06-QĐKT/ĐTN-VP ngày 18/04/2025 của Ban Chấp hành Đoàn trường Đại học Sài Gòn. 
Được khen thưởng vì đóng góp tích cực trong công tác Đoàn và phong trào thanh niên trường Đại học Sài Gòn năm học 2024 - 2025 theo Quyết định số 15-QĐKT/ĐTN-VP. 
Tham gia hoạt động Tìm hiểu Văn hoá Ấn Độ qua phim ảnh ngày 22/03/2025. 
Tham gia lễ bế mạc Liên hoan hữu nghị Việt Nam - Ấn Độ lần thứ XII ngày 20/12/2024. 
Đạt danh hiệu Sinh viên 5 tốt Tiêu biểu khoa Khoa học Xã hội và Nghệ thuật năm học 2024 - 2025.</t>
  </si>
  <si>
    <t>Trần Quang Vĩ</t>
  </si>
  <si>
    <t>Đánh giá chất lượng đoàn viên cuối năm học 2024 - 2025 đạt Hoàn thành xuất sắc nhiệm vụ.
Đạt danh hiệu Thanh niên tiên tiến Trường Đại học Sài Gòn làm theo lời Bác năm học 2024 - 2025 theo Giấy chứng nhận số 73-GCN/ĐU ngày 12/05/2025.
Là Đảng viên dự bị từ ngày 20/03/2025.</t>
  </si>
  <si>
    <t>Đạt danh hiệu Sinh viên 5 tốt cấp trường năm học 2024 - 2025.
Thực hiện đề tài nghiên cứu khoa học sinh viên được hội đồng khoa học cấp Trường nghiệm thu đánh giá từ loại Tốt với tên đề tài: Địa đạo và hầm bí mật ở Sài Gòn - Gia Định trong cuộc kháng chiến chống Mỹ</t>
  </si>
  <si>
    <t>Được tặng Giấy khen theo Quyết định số 02/QĐ-BTK ngày 25/01/2025 của Hội sinh viên trường vì thành tích xuất sắc trong Chiến dịch Xuân Tình Nguyện năm học 2024 – 2025.
Tham gia và nhận giấy chứng nhận hoàn thành Chiến dịch Xuân Tình Nguyện trường Đại Học Sài Gòn năm học 2024 – 2025.
Tham gia chương trình Đêm hội trăng rằm năm 2024.
Tham gia chương trình Hành trình về nguồn – Trân trọng những dấu ấn lịch sử số 1.
Tham gia các chương trình Ngày thứ 7 tình nguyện, Ngày Chủ nhật xanh và Ngày Đoàn viên - Ngày làm việc tốt năm học 2024 - 2025.</t>
  </si>
  <si>
    <t>Đạt chứng chỉ ngoại ngữ VSTEP trình độ B1 theo khung tham chiếu châu Âu.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SGU's Day 2024.
Đạt danh hiệu Cán bộ Hội tiêu biểu năm học 2024 – 2025 theo quyết định số 16/QĐ-BTK ngày 15/04/2025.
Hoàn thành chương trình Phổ cập Trí tuệ nhân tạo (AI).
Tham gia tập huấn chuyên đề An toàn giao thông và kỹ năng phòng tránh va chạm trong hoạt động tình nguyện ngày 04/01/2025.
Tham gia buổi chuyên đề Ứng dụng kỹ năng số cho sinh viên trường Đại học Sài Gòn năm 2024.
Có chứng chỉ tin học cơ bản và chứng chỉ ứng dụng công nghệ thông tin trong dạy học.</t>
  </si>
  <si>
    <t>Nguyễn Phạm Mẫn Nguyên</t>
  </si>
  <si>
    <t>3.5</t>
  </si>
  <si>
    <t>Kết quả đánh giá chất lượng Đoàn viên năm học 2024 - 2025 đạt Hoàn thành xuất sắc nhiệm vụ.
Đạt danh hiệu Thanh niên tiên tiến Trường Đại học Sài Gòn làm theo lời Bác năm học 2024-2025 theo quyết định số 66-GCN/ĐU ngày 12/05/2025.
Là thành viên chính thức đội thi tìm hiểu về chủ nghĩa Mác - Lênin, tư tưởng Hồ Chí Minh cấp trường Đại học Sài Gòn năm 2025.</t>
  </si>
  <si>
    <t>Nhận Giấy khen của Ban Chấp hành Hội Sinh viên trường vì đã có thành tích xuất sắc trong Chiến dịch Xuân Tình nguyện trường Đại học Sài Gòn lần thứ 17 năm 2025.
Tham gia và nhận giấy chứng nhận hoàn thành chiến dịch Xuân Tình nguyện trường Đại học Sài Gòn lần thứ 17 năm 2025.
Tham gia chương trình Hành trình về nguồn – Trân trọng những dấu ấn Lịch sử số 1 tương ứng 1 ngày tình nguyện.
Tham gia hoạt động Mỗi Chi đoàn, Chi hội tiên phong trong tình nguyện tương ứng 1 ngày tình nguyện.
Tham gia hoạt động Ngày thứ 7 tình nguyện tương ứng 1 ngày tình nguyện.
Tham gia Ngày Chủ nhật Xanh, Ngày Đoàn viên – Ngày làm việc tốt và Lễ kỷ niệm 94 năm ngày thành lập Đoàn tương ứng 1 ngày tình nguyện.
Thực hiện hỗ trợ dọn phòng thực hành khoa trong hoạt động Một ngày tình nguyện.</t>
  </si>
  <si>
    <t>Được Ban Chấp hành Hội Sinh viên trường tặng Giấy khen vì đã có thành tích xuất sắc trong Chiến dịch Xuân Tình nguyện trường Đại học Sài Gòn lần thứ 17 năm 2025.
Tham gia và hoàn thành chiến dịch tình nguyện Xuân Tình nguyện trường Đại học Sài Gòn lần thứ 17 năm 2025
Tham gia chương trình Hành trình về nguồn – Trân trọng những dấu ấn lịch sử số 1 tương ứng 1 ngày tình nguyện.
Tham gia hoạt động Mỗi Chi đoàn, Chi hội tiên phong trong tình nguyện tương ứng 1 ngày tình nguyện.
Tham gia chương trình Ngày thứ 7 tình nguyện tương ứng 1 ngày tình nguyện.
Tham gia Ngày chủ nhật xanh, Ngày Đoàn viên – Ngày làm việc tốt và Lễ kỷ niệm 94 năm ngày thành lập Đoàn tương ứng 1 ngày tình nguyện.
Tham gia hỗ trợ dọn phòng thực hành khoa trong hoạt động Một ngày tình nguyện.</t>
  </si>
  <si>
    <t>Đạt chứng chỉ tiếng Anh Aptis trình độ bậc 4 tương đương B2.
Tham gia Chương trình giao lưu và tặng quà cho sinh viên Lào tại Ký túc xá Sinh viên Lào Thành phố Hồ Chí Minh ngày 01/02/2025.
Hoàn thành lớp tập huấn chuyên đề Ứng dụng trí tuệ nhân tạo cho Thanh niên Việt Nam do Trung ương Đoàn tổ chức.
Hoàn thành lớp tập huấn Tìm hiểu kiến thức về Bình dân học vụ số do Trung tâm phát triển khoa học và công nghệ trẻ tổ chức.
Tham gia tập huấn chuyên đề An toàn giao thông và kỹ năng phòng tránh va chạm trong quá trình tham gia hoạt động tình nguyện ngày 04/01/2025.
Tham gia buổi chuyên đề Ứng dụng kỹ năng số cho sinh viên trường Đại học Sài Gòn năm 2024.
Xuất sắc hoàn thành nhiệm vụ tại Khu vực ASEAN Explorer – Sinh viên Đại học Sài Gòn tự tin hội nhập trong Ngày hội Tân sinh viên SGU’s Day 2024.
Được Ban Chấp hành Đoàn trường tặng giấy khen vì đóng góp tích cực trong công tác Đoàn và phong trào thanh niên trường Đại học Sài Gòn năm học 2024 - 2025.
Đạt danh hiệu Đoàn viên tiêu biểu trường Đại học Sài Gòn năm học 2024 – 2025.</t>
  </si>
  <si>
    <t>Lê Tường Hương Thuỷ</t>
  </si>
  <si>
    <t>Đánh giá chất lượng Đoàn viên năm học 2024 - 2025 đạt Hoàn thành xuất sắc nhiệm vụ.
Đạt danh hiệu Thanh niên tiên tiến Trường Đại học Sài Gòn làm theo lời Bác năm học 2024 - 2025 theo Giấy chứng nhận số 69-GCN/ĐU ngày 12/05/2025.</t>
  </si>
  <si>
    <t>Thực hiện đề tài nghiên cứu khoa học sinh viên được hội đồng khoa học cấp Trường nghiệm thu Áp dụng phim hoạt hình vào dạy học chủ đề trang trí ứng dụng môn Mĩ thuật lớp 7 tại trường Trung học Thực hành Sài Gòn. Kết quả đánh giá: 82.5 điểm, đạt loại Tốt</t>
  </si>
  <si>
    <t>Tham gia Giải chạy bộ Học sinh, Sinh viên và Thanh niên Công nhân năm 2025 do Nhà Văn hóa Sinh viên Thành phố Hồ Chí Minh tổ chức ngày 18/04/2025.
Đạt danh hiệu Thanh niên khỏe trường Đại học Sài Gòn năm 2024 theo Giấy chứng nhận số 02-QĐGCN/HSV ngày 05/10/2024.</t>
  </si>
  <si>
    <t>Tham gia và nhận giấy chứng nhận hoàn thành chiến dịch Xuân Tình Nguyện năm 2024.
Tham gia và nhận giấy chứng nhận hoàn thành chương trình Tiếp sức mùa thi năm 2024.
Tham gia hỗ trợ trang trí góc xuân tại phường 2, quận 3 tương ứng 1 ngày tình nguyện.
Tham gia chương trình Ngày thứ bảy tình nguyện lần 1 năm học 2024 - 2025 tương ứng 1 ngày tình nguyện.
Tham gia chương trình An sinh xã hội phường 1 năm 2025 tương ứng 1 ngày tình nguyện.
Tham gia chương trình Ngày thứ bảy tình nguyện tại phường 1, quận 5 tương ứng 1 ngày tình nguyện.
Thực hiện hỗ trợ người dân thực hiện các dịch vụ công trực tuyến tương ứng 1 ngày tình nguyện.</t>
  </si>
  <si>
    <t>Đạt chứng chỉ tiếng Anh tương đương trình độ B1 theo khung tham chiếu châu Âu.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SGU’s Day 2024.
Hoàn thành Chương trình phổ cập Trí tuệ nhân tạo dành cho Cán bộ Đoàn - Hội do Trung ương Đoàn cấp.
Tham gia tập huấn chuyên đề An toàn giao thông và kỹ năng phòng tránh va chạm trong quá trình tham gia hoạt động tình nguyện ngày 04/01/2025.
Tham gia buổi chuyên đề Ứng dụng kỹ năng số cho sinh viên trường Đại học Sài Gòn năm 2024.
Có chứng chỉ ứng dụng công nghệ thông tin cơ bản và ứng dụng công nghệ thông tin trong dạy học.</t>
  </si>
  <si>
    <t>Đỗ Thị Hương Trâm</t>
  </si>
  <si>
    <t>3.51</t>
  </si>
  <si>
    <t>Kết quả đánh giá chất lượng Đoàn viên năm học 2024 - 2025 đạt Hoàn thành xuất sắc nhiệm vụ.
Đạt danh hiệu Thanh niên tiên tiến trường Đại học Sài Gòn làm theo lời Bác năm học 2024 - 2025 theo quyết định số 70-GCN/ĐU ngày 12/05/2025.
Là Đảng viên chính thức từ ngày 04/08/2025.</t>
  </si>
  <si>
    <t>Là đồng tác giả bài viết khoa học "Phát huy truyền thống anh hùng cách mạng của nữ sinh Sài Gòn - Gia Định trong xây dựng và phát triển Thành phố Hồ Chí Minh trong thời kỳ mới".
Thực hiện đề tài nghiên cứu khoa học sinh viên được hội đồng khoa học cấp Trường nghiệm thu đánh giá từ loại Tốt trở lên.</t>
  </si>
  <si>
    <t>Đạt danh hiệu Thanh niên khỏe trường Đại học Sài Gòn năm 2024 theo giấy chứng nhận số 02-QĐGCN/HSV ngày 05/10/2024.
Đạt giải Nhất nội dung kéo co tại Hội thao sinh viên trường Đại học Sài Gòn giai đoạn 1 năm 2024.</t>
  </si>
  <si>
    <t>Nhận Giấy khen của Ban Chấp hành Hội Sinh viên trường vì đã có thành tích xuất sắc trong Chiến dịch Xuân Tình nguyện trường Đại học Sài Gòn lần thứ 17 năm 2025.
Hoàn thành nhiệm vụ chiến sĩ Đội hình thường trực tỉnh Đắk Nông trong chiến dịch tình nguyện Mùa hè xanh lần thứ 31 năm 2024.
Hoàn thành nhiệm vụ chiến sĩ đội hình Xuân tự hào trong chiến dịch Xuân Tình nguyện năm 2025.
Tham gia chương trình Đêm hội Trăng rằm 2024 tại trường Tiểu học Hàm Tử ngày 14/09/2024.
Tham gia các chương trình Ngày thứ 7 tình nguyện, Ngày Chủ nhật Xanh, Ngày Đoàn viên – Ngày làm việc tốt năm 2025.
Tham gia Hành trình về nguồn – Trân trọng những dấu ấn Lịch sử số 1 tại Khu trại giam Bệnh viện Chợ Quán ngày 16/02/2025.
Tham gia Lễ đón và lễ tiễn Tổng Bí thư, Chủ tịch nước Cộng hòa Dân chủ Nhân dân Lào thăm Thành phố Hồ Chí Minh ngày 12 - 13/09/2024.</t>
  </si>
  <si>
    <t>Đạt chứng chỉ tiếng Anh VSTEP trình độ B1 theo khung tham chiếu châu Âu.
Tham gia chương trình Liên hoan hữu nghị Nhân dân Việt Nam - Ấn Độ lần thứ 12 ngày 20/12/2024.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SGU's Day 2024.
Hoàn thành khóa học Ứng dụng Trí tuệ nhân tạo cho Thanh niên Việt Nam trong chương trình Phổ cập AI ngày 18/08/2025.
Tham gia tập huấn chuyên đề An toàn giao thông và kỹ năng phòng tránh va chạm trong hoạt động tình nguyện ngày 04/01/2025.
Tham gia buổi chuyên đề Ứng dụng kỹ năng số cho sinh viên trường Đại học Sài Gòn năm 2024.
Được khen thưởng vì đã có đóng góp tích cực trong công tác Đoàn và phong trào thanh niên trường Đại học Sài Gòn năm học 2023 - 2024.
Có chứng chỉ tin học cơ bản và chứng chỉ ứng dụng công nghệ thông tin trong dạy học.</t>
  </si>
  <si>
    <t>Huỳnh Tấn Khang</t>
  </si>
  <si>
    <t>Kết quả đánh giá chất lượng Đoàn viên năm học 2024 - 2025 đạt Hoàn thành xuất sắc nhiệm vụ.
Là thành viên chính thức đội thi tìm hiểu về chủ nghĩa Mác - Lênin, tư tưởng Hồ Chí Minh cấp trường Đại học Sài Gòn năm 2025.
Là Đảng viên chính thức từ ngày 06/08/2025.</t>
  </si>
  <si>
    <t>Có bài báo khoa học mang tên "Cảnh quan ngôn ngữ Trường Đại học Sài Gòn: Thực trạng và đề xuất" đăng tải trên kỷ yếu Khoa học Xã hội và Nhân văn lần thứ 2 xuất bản ngày 11/05/2025.
Thực hiện đề tài nghiên cứu khoa học sinh viên được hội đồng khoa học cấp Trường nghiệm thu đánh giá từ loại Tốt trở lên.</t>
  </si>
  <si>
    <t>Nhận Giấy khen của Ban Chấp hành Hội Sinh viên trường vì đã có thành tích xuất sắc trong Chiến dịch Xuân Tình nguyện trường Đại học Sài Gòn lần thứ 17 năm 2025.
Tham gia và nhận giấy chứng nhận hoàn thành chiến dịch Xuân Tình nguyện trường Đại học Sài Gòn lần thứ 17 năm 2025.
Tham gia tổ chức chương trình Đêm hội trăng rằm vào ngày 14/09/2025 tương ứng 1 ngày tình nguyện.
Tham gia tổ chức chương trình Ngày thứ 7 tình nguyện lần 1 vào ngày 08/02/2025 và lần tiếp theo vào ngày 15/03/2025.
Tham gia tổ chức chương trình Hành trình về nguồn – Trân trọng những dấu ấn Lịch sử số 1 vào ngày 16/02/2025.
Tham gia tổ chức chương trình Ngày chủ nhật Xanh và Lễ kỷ niệm 94 năm ngày thành lập Đoàn vào ngày 23/03/2025.</t>
  </si>
  <si>
    <t>Đạt chứng chỉ tiếng Anh trình độ B1 theo khung tham chiếu châu Âu.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SGU's Day 2024.
Tham gia tập huấn chuyên đề An toàn giao thông và kỹ năng phòng tránh va chạm trong quá trình tham gia hoạt động tình nguyện ngày 04/01/2025.
Tham gia buổi chuyên đề Ứng dụng kỹ năng số cho sinh viên trường Đại học Sài Gòn năm 2024.
Nhận Giấy khen của Ban Chấp hành Hội Sinh viên trường vì đóng góp tích cực trong công tác Hội và phong trào sinh viên năm học 2023 - 2024.
Đạt danh hiệu Cán bộ Hội tiêu biểu trường Đại học Sài Gòn hai năm học liên tiếp 2023 - 2024 và 2024 - 2025.
Được khen thưởng vì thành tích xuất sắc trong công tác Hội và phong trào sinh viên khoa Khoa học Xã hội và Nghệ thuật nhiệm kỳ 2023 - 2025.
Có chứng chỉ tin học cơ bản và chứng chỉ ứng dụng công nghệ thông tin trong dạy học.</t>
  </si>
  <si>
    <t>Vũ Ngọc Tiến</t>
  </si>
  <si>
    <t>3.69</t>
  </si>
  <si>
    <t>Kết quả đánh giá chất lượng Đoàn viên năm học 2024 - 2025 đạt Hoàn thành xuất sắc nhiệm vụ.
Là thành viên chính thức tham gia và lọt vào Vòng Bán kết hội thi Olympic các môn khoa học Mác - Lênin và tư tưởng Hồ Chí Minh trường Đại học Sài Gòn năm 2025.
Đạt danh hiệu Sao tháng Thanh niên SGU Nghĩ đúng Sống đẹp năm 2025 theo giấy chứng nhận số 06-QĐCN/ĐTN-VP.</t>
  </si>
  <si>
    <t xml:space="preserve">
Thực hiện đề tài nghiên cứu khoa học sinh viên "Hiện tượng trộn mã ngôn ngữ trong các tác phẩm nhạc trẻ Việt Nam (Giai đoạn 2018-2023)" và được hội đồng khoa học cấp trường nghiệm thu đạt 93 điểm, loại Xuất sắc.
Có bài báo khoa học cùng tên đề tài nghiên cứu được đăng trong Kỷ yếu Hội thảo Khoa học Quốc tế lần thứ Hai xuất bản ngày 02/06/2025.</t>
  </si>
  <si>
    <t>Được Ban Chấp hành Hội Sinh viên trường tặng Giấy khen vì đã có thành tích xuất sắc trong Chiến dịch Xuân tình nguyện trường Đại học Sài Gòn lần thứ 17 năm 2025.
Tham gia và hoàn thành chương trình Tiếp sức mùa thi năm 2025 do Trung tâm hỗ trợ học sinh, sinh viên Thành phố Hồ Chí Minh cấp giấy chứng nhận.
Tham gia và hoàn thành chiến dịch tình nguyện Mùa hè xanh lần thứ 31 năm 2024 trường Đại học Sài Gòn.
Tham gia chương trình Hành trình về nguồn – Trân trọng những dấu ấn lịch sử số 1.
Tham gia hoạt động Mỗi Chi đoàn, Chi hội tiên phong trong tình nguyện.
Tham gia Ngày hội an sinh xã hội phường 1 năm 2025
Tham gia hoạt động Ngày thứ 7 tình nguyện, Ngày Chủ nhật xanh và Ngày Đoàn viên – Ngày làm việc tốt.</t>
  </si>
  <si>
    <t>Đạt chứng chỉ tiếng Anh Aptis trình độ B2 tương đương trình độ trung cấp theo khung tham chiếu châu Âu.
Tham gia chương trình giao lưu và tặng quà cho sinh viên Lào tại Ký túc xá Sinh viên Lào Thành phố Hồ Chí Minh ngày 01/02/2025.
Xuất sắc hoàn thành nhiệm vụ tại khu vực ASEAN Explorer – Sinh viên Đại học Sài Gòn tự tin hội nhập trong Ngày hội Tân Sinh viên SGU’s Day 2024.
Hoàn thành lớp Kỹ năng Giao tiếp theo giấy chứng nhận số 04.25/GCN-HTHSSV.
Tham gia tập huấn chuyên đề An toàn giao thông và kỹ năng phòng tránh va chạm trong quá trình tham gia hoạt động tình nguyện ngày 04/01/2025.
Tham gia buổi chuyên đề Ứng dụng kỹ năng số cho sinh viên trường Đại học Sài Gòn năm 2024.
Có chứng chỉ tin học cơ bản và chứng chỉ ứng dụng công nghệ thông tin trong dạy học.</t>
  </si>
  <si>
    <t>Đặng Quốc Việt</t>
  </si>
  <si>
    <t>GIÁO DỤC</t>
  </si>
  <si>
    <t>3.66</t>
  </si>
  <si>
    <t xml:space="preserve">Giấy chứng nhận tham gia cuộc thi trực tuyến “Tự hào Việt nam”
Giấy chứng nhận tham gia và đạt giải Nhất cuộc thi “Giới thiệu các tác phẩm về Bác” năm 2025
</t>
  </si>
  <si>
    <t xml:space="preserve">Giấy chứng nhận hoạt động tích cực CLB học thuật khoa Giáo dục
</t>
  </si>
  <si>
    <t xml:space="preserve">Giấy chứng nhận tham gia Hội thao Đảng viên năm 2025
</t>
  </si>
  <si>
    <t xml:space="preserve">Giấy chứng nhận tham gia Chiến dịch Xuân tình nguyện Trường Đại học Sài Gòn lần thứ 17 - năm 2025
Giấy chứng nhận tham gia Chương trình Tiếp sức mùa thi năm 2025
</t>
  </si>
  <si>
    <t>Chứng chỉ Tiếng Anh VSTEP B1
Giấy chứng nhận hoàn thành khóa Tập huấn Kỹ năng AI dành cho cán bộ Đoàn - Hội
Giấy chứng nhận Tham gia Ngày hội sinh viên với ngoại ngữ năm 2025 chủ đề “Genzith HORIZON” do Trung tâm Hỗ trợ học sinh, sinh viên TP.HCM tổ chức,</t>
  </si>
  <si>
    <t>30 SV5T KHOA
07 SV5TTB KHOA</t>
  </si>
  <si>
    <t>Nguyễn Ngọc Minh Tâm</t>
  </si>
  <si>
    <t>3.46</t>
  </si>
  <si>
    <t>Không đạt hoạt động thanh niên khỏe Sức trẻ mùa trăng do Câu lạc bộ Chung sức vì sức khỏe cộng đồng trường Đại học Khoa học Xã hội và Nhân văn tổ chức là qu mô cấp khoa</t>
  </si>
  <si>
    <t>Nguyễn Thị Bảo Trâm</t>
  </si>
  <si>
    <t>3.38</t>
  </si>
  <si>
    <t>Tham gia cuộc thi trực tuyến tìm hiểu pháp luật an toàn giao thông "Hiểu đúng - Làm trúng"
Tham gia cuộc thi trực tuyến "Vinh quang Quân Kỳ Quyết Thắng" - tuần 1
Tham gia cuộc thi trực tuyến "Vinh quang Quân Kỳ Quyết Thắng" - tuần 2
Tham gia cuộc thi trực tuyến "Vinh quang Quân Kỳ Quyết Thắng" - tuần 3
Tham gia “SGU_Thi tìm hiểu Luật thanh niên năm 2025” - đợt 2
Tham gia cuộc thi trắc nghiệm tương tác trực tuyến tìm hiểu về 80 năm ngày tổng tuyển cử đầu tiên bầu Quốc hội Việt Nam (06/01/1946 - 06/01/2026) - Tuần 15: Trách nhiệm và quyền lợi của cử tri đối với Quốc hội 
Tham gia cuộc thi trắc nghiệm tương tác trực tuyến tìm hiểu về 80 năm ngày tổng tuyển cử đầu tiên bầu Quốc hội Việt Nam - Tuần 16: Quốc hội với công tác dân nguyện:
Tham gia cuộc thi trắc nghiệm tương tác trực tuyến tìm hiểu về 80 năm ngày tổng tuyển cử đầu tiên bầu Quốc hội Việt Nam - Tuần 17: Quốc hội với công tác quốc phòng an ninh
Tham gia Talkshow “Hành trình Đoàn viên tiêu biểu: Lý tưởng - Trải nghiệm - Thành công”
Tham gia Minigame 2/9 “Hướng về 80 năm Ngày Quốc Khánh nước Cộng hoà xã hội chủ nghĩa Việt Nam”: 
Tham gia Minigame “Giáo dục sử ký”;</t>
  </si>
  <si>
    <t xml:space="preserve">Minh chứng tham gia câu lạc bộ học thuật cấp khoa - Câu lạc bộ Học thuật khoa Giáo dục – The PEM Club
</t>
  </si>
  <si>
    <t xml:space="preserve">Minh chứng “Thanh niên khỏe”: 
</t>
  </si>
  <si>
    <t>Minh chứng được khen thưởng từ cấp trường trở lên về hoạt động tình nguyện: Giấy khen từ Uỷ ban nhân dân phường Chợ Lớn vì là chiến sĩ tình nguyện Trường Đại học Sài Gòn đã có thành tích xuất sắc trong hoạt động hè năm 2025 trên địa bàn phường Chợ Lớn.
Minh chứng tham gia chương trình “Góp mì cho em”: 1 ngày, ngày 15/5/2024
Minh chứng tham gia chương trình “Học bổng sẻ chia: 1 ngày, ngày 18/5/2024
Minh chứng tham gia chương trình “Cho em đến trường”: 1 ngày, ngày 21/6/2024
Minh chứng tham gia chương trình Tiếp sức mùa thi năm 2025: 5 ngày, ngày 22,23,25,26,27/6/2025
Minh chứng tham gia chiến dịch mùa hè xanh lần thứ 32 - năm 2025 Trường Đại học Sài Gòn: 30 ngày, từ ngày 03/7/2025 đến 03/8/2025
Minh chứng tham gia chương trình "Trung thu cho em - Gửi yêu thương, trao nụ cười": 1 ngày, ngày 06/10/2025</t>
  </si>
  <si>
    <t xml:space="preserve">Minh chứng chứng chỉ tiếng Anh: Aptis ESOL (General) B2
Minh chứng được Đoàn Thanh niên - Hội Sinh viên từ cấp trường trở lên khen thưởng về thành tích xuất sắc trong công tác Đoàn và phong trào thanh niên hoặc công tác Hội và phong trào sinh viên năm học 2024 - 2025: Giấy khen từ Uỷ ban nhân dân phường Chợ Lớn vì là chiến sĩ tình nguyện Trường Đại học Sài Gòn đã có thành tích xuất sắc trong hoạt động hè năm 2025 trên địa bàn phường Chợ Lớn.
Tham gia tích cực Ngày hội Tân Sinh viên “SGU’s Day” năm 2024 và xuất sắc hoàn thành nhiệm vụ tại Khu vực “ASEAN Explorer - Sinh viên Đại học Sài Gòn tự tin hội nhập”
Minh chứng tham gia Ngày hội sinh viên sinh viên với ngoại ngữ năm 2025 chủ đề “GenZith HORZION”
Minh chứng được khen thưởng từ cấp trường trở lên về hoạt động tình nguyện hoặc tham gia hiến máu tình nguyện: Giấy khen từ Uỷ ban nhân dân phường Chợ Lớn vì là chiến sĩ tình nguyện Trường Đại học Sài Gòn đã có thành tích xuất sắc trong hoạt động hè năm 2025 trên địa bàn phường Chợ Lớn
Minh chứng đạt chứng chỉ tiếng Anh trình độ B1 (theo khung tham chiếu châu Âu) hoặc tương đương B1 hoặc chứng chỉ ngoại ngữ khác ở trình độ tương đương trở lên (không xét thời hạn của chứng chỉ): Chứng chỉ tiếng Anh Aptis ESOL (General) B2
</t>
  </si>
  <si>
    <t>Nguyễn Thị Thuỳ Trang</t>
  </si>
  <si>
    <t>3.57</t>
  </si>
  <si>
    <t>Không đạt vì không có chứng chỉ ngoại ngữ</t>
  </si>
  <si>
    <t>Cao Hồng Thuý</t>
  </si>
  <si>
    <t>QUẢN TRỊ
KINH DOANH</t>
  </si>
  <si>
    <t>Đạt Danh hiệu Thanh niên Tiên tiến Trường Đại học Sài Gòn làm theo lời Bác năm học 2024- 2025(xác nhận của Đảng uỷ)
Là thành viên chính thức đội thi tìm hiểu về chủ nghĩa Mác - Lênin, tư tưởng Hồ Chí Minh từ cấp khoa
Tham gia học tập chuyên đề “Học tập và làm theo tư tưởng, đạo đức, phong cách Hồ Chí Minh”.
Tham gia Học tập Nghị quyết Đại hội Đoàn toàn quốc lần thứ XII</t>
  </si>
  <si>
    <t xml:space="preserve">Danh sách thành viên CLB Nghiên cứu khoa học ESSAC năm 2024 - 2025
 Có đóng góp tích cực trong hoạt động của Câu lạc bộ Nghiên cứu Khoa học ESSAC
</t>
  </si>
  <si>
    <t>Đạt danh hiệu Thanh niên khỏe cấp trường năm 2024-2025</t>
  </si>
  <si>
    <t xml:space="preserve">Đã có đóng góp tích cực trong Chiến dịch tình nguyện Mùa hè Xanh trường Đại học Sài Gòn lần thứ 32 - năm 2025
Giấy chứng nhận tham gia Chiến dịch Xuân Tình nguyện lần thứ 17 năm 2025
Giấy chứng nhận tham gia các hoạt động hỗ trợ tổ chức Lễ kỷ niệm 50 năm Ngày Giải phóng miền nam, thống nhất đất nước (30/04/1975 - 30/04/20250 - 08 ngày
Giấy chứng nhận đã tham gia và hoàn thành nhiệm vụ Tình nguyện viên góp phần tổ chức thành công Đại lễ Phật Đản Liên Hợp Quốc - VESAK 2025
Chương trình giao lưu, gặp mặt với CLB Truyền thống Thành Đoàn
</t>
  </si>
  <si>
    <t xml:space="preserve">Chứng chỉ APTIS B1 do BRITISH COUNCIL cấp
Giấy khen Cán bộ Đoàn tiêu biểu năm học 2024 - 2025
Giấy khen Đã có đóng góp tích cực trong Công tác Đoàn và phong trào thanh niên Trường Đại học Sài Gòn 2024-2025 cấp trường
Tham gia hoạt động “ASEAN EXPLORER - SINH VIÊN ĐẠI HỌC SÀI GÒN TỰ TIN HỘI NHẬP”.
</t>
  </si>
  <si>
    <t>CAO HỒNG THUÝ - 3123330380 - KHOA QUẢN TRỊ KINH DOANH (1).docx</t>
  </si>
  <si>
    <t>50 SV5T KHOA
12 SV5TTB KHOA</t>
  </si>
  <si>
    <t>Đoàn Thị Huỳnh Ngân</t>
  </si>
  <si>
    <t>Không đạt vì là Đoàn viên HTTNV</t>
  </si>
  <si>
    <t>ĐOÀN THỊ HUỲNH NGÂN - 3124550080 - KHOA QUẢN TRỊ KINH DOANH - BẢNG KHAI THÀNH TÍCH CÁ NHÂN - 2024-2025.docx</t>
  </si>
  <si>
    <t>ĐOÀN THỊ HUỲNH NGÂN - 3124550080 - KHOA QUẢN TRỊ KINH DOANH - MINH CHỨNG THÀNH TÍCH CÁ NHÂN - 2025.docx</t>
  </si>
  <si>
    <t>Hồ Thị Như Ý</t>
  </si>
  <si>
    <t xml:space="preserve"> Giấy chứng nhận của Đảng ủy trường Đại học Sài Gòn theo quyết định số 104/QĐ-BTK ngày 12/05/2025 về Danh hiệu Thanh niên tiên tiến Trường Đại học Sài Gòn làm theo lời bác năm học 2024 – 2025.</t>
  </si>
  <si>
    <t xml:space="preserve"> Danh sách thành viên CLB Tiếng Anh BAEC khoa năm 2024 - 2025
Minh chứng Thành viên tham gia hoạt động tích cực CLB Tiếng anh Khoa Quản trị kinh doanh 
</t>
  </si>
  <si>
    <t>Đạt danh hiệu “Thanh niên khỏe” cấp trường năm học 2024 - 2025</t>
  </si>
  <si>
    <t xml:space="preserve">Minh chứng Giấy chứng nhận tham gia Xuân tình nguyện cấp trường năm 2025
Minh chứng tham gia Chương trình “ Tiếp sức mùa thi 2025” tại điểm trường THPT Mỹ Xuyên
Minh chứng tham gia chuỗi Chương trình Xuân tình nguyện cấp khoa
26/4/2025 - Tham gia triển lãm 50 tác phẩm văn học - nghệ thuật tiêu biểu, 50 công trình xây dựng tiêu biểu, 50 sự kiện, hoạt động nổi bật của Thành phố Hồ Chí Minh nhân dịp kỷ niệm 50 năm Ngày giải phóng miền Nam, thống nhất đất nước (30/4/1975 - 30/4/2025). 
</t>
  </si>
  <si>
    <t xml:space="preserve">Chứng chỉ B2 - Chứng chỉ tiếng Anh Aptis Esol do BRITISH COUNCIL (Hội Đồng Anh cấp), cấp ngày 11/11/2024.
 Giấy khen của Ban Chấp hành Hội Sinh viên trường theo quyết định số 16/QĐ-BTK ngày 15/04/2025 về việc Đã đạt Danh hiệu Cán bộ Hội tiêu biểu năm học 2024 – 2025.
Giấy khen của Ban Chấp hành Hội Sinh viên trường theo quyết định số 48/QĐ-BTK ngày 23/10/2025 về việc Đã có thành tích xuất sắc trong công tác Hội và phong trào sinh viên Trường Đại học Sài gòn năm học 2024 – 2025.
Giấy khen của Ban Chấp hành Đoàn trường theo quyết định số 16/QĐ-BTK ngày 18/04/2025 về việc Đã có đóng góp tích cực trong hoạt động Tháng thanh niên trường Đại học Sài Gòn năm 2025
Minh chứng Tham gia hoạt động “ASEAN EXPLORER - SINH VIÊN ĐẠI HỌC SÀI GÒN TỰ TIN HỘI NHẬP”
25/9/2025: Tham gia  hoạt động “International conference on economics, finance, and management (icefem) 2025: sustainable business development in the ai age”. Địa điểm: Hội trường E, trường Đại học Sài Gòn. Vai trò: Ban lễ tân 
</t>
  </si>
  <si>
    <t>HỒ THỊ NHƯ Ý - 3123550193 - KHOA QUẢN TRỊ KINH DOANH- MINH CHỨNG HOẠT ĐỘNG.docx</t>
  </si>
  <si>
    <t>Nguyễn Hồng Xuyến</t>
  </si>
  <si>
    <t>Ngày 17/04/2025 Tham gia và đạt giấy chứng nhận danh hiệu Sao tháng “Thanh niên SGU nghĩ đúng – sống đẹp” năm 2024-2025</t>
  </si>
  <si>
    <t>- Tham gia và có chứng nhận hoạt động tích cực ít nhất 01 CLB về học thuật từ cấp khoa trở lên: CLB Tiếng Anh BAEC khoa Quản trị Kinh doanh</t>
  </si>
  <si>
    <t>Minh chứng tham gia tích cực Ngày hội Tân sinh viên “SGU’s Day” năm 2024 và đạt danh hiệu “Thanh niên khỏe” trường Đại học Sài Gòn năm 2024</t>
  </si>
  <si>
    <t xml:space="preserve">Tháng 01/2025: Giấy chứng nhận Chiến dịch Xuân tình nguyện Trường Đại học Sài Gòn lần thứ 17 – Năm 2025
01 ngày: 10/03/2025 tham gia hoạt động “chủ nhật xanh” tại KTX trường Đại học Sài Gòn.
01 ngày: 27/03/2025 Tham gia “ Xuân tình nguyện “ cấp Khoa
04 ngày: Tham gia “Tiếp sức mùa thi” 2025.
26/4/2025 - Tham gia triển lãm 50 tác phẩm văn học - nghệ thuật tiêu biểu, 50 công trình xây dựng tiêu biểu, 50 sự kiện, hoạt động nổi bật của Thành phố Hồ Chí Minh nhân dịp kỷ niệm 50 năm Ngày giải phóng miền Nam, thống nhất đất nước (30/4/1975 - 30/4/2025). 
</t>
  </si>
  <si>
    <t xml:space="preserve">Chứng chỉ B1 - Chứng chỉ tiếng Anh Aptis Esol do BRITISH COUNCIL (Hội Đồng Anh cấp), cấp ngày 11/11/2024.
Ngày 03/09/2025: Tham gia chương trình Trang bị Kỹ năng nghề  nghiệp; chủ đề: “Khảo sát nghề nghiệp yêu thích 2025 – ENTERPRISE OF CHOICE”
Ngày 05/10/2025:  Tham gia hoạt động “ASEAN EXPLORER - SINH VIÊN ĐẠI HỌC SÀI GÒN TỰ TIN HỘI NHẬP”
Ngày 17/5/2025: Tham gia Hội thảo chuyên đề Hội nhập quốc tế trong Ngày hội sinh viên với Ngoại ngữ năm 2025 “Global Ready: Skills for International Integration”
</t>
  </si>
  <si>
    <t>NGUYỄN HỒNG XUYẾN - 3123550192 - KHOA QUẢN TRỊ KINH DOANH - BẢNG KHAI THÀNH TÍCH.docx</t>
  </si>
  <si>
    <t>NGUYỄN HỒNG XUYẾN - 3123550192 - KHOA QUẢN TRỊ KINH DOANH - MINH CHỨNG THÀNH TÍCH.docx</t>
  </si>
  <si>
    <t>Nguyễn Huyền Bảo Trâm</t>
  </si>
  <si>
    <t>NGUYỄN HUYỀN BẢO TRÂM - 3122330422 - QUẢN TRỊ KINH DOANH - MINH CHỨNG THÀNH TÍCH CÁ NHÂN (1)</t>
  </si>
  <si>
    <t>Nguyễn Ngọc Thanh Thảo</t>
  </si>
  <si>
    <t>Kết quả phân tích chất lượng Đoàn viên năm học 2024 - 2025 đạt Hoàn thành xuất sắc nhiệm vụ.
Được khen thưởng điển hình Dân vận khéo năm 2025.
Tham gia hoạt động Ngọn cờ tiên phong - Người lính Cụ Hồ.
Tham gia hoạt động Quê hương tôi - Hành trình vì biển đảo quê hương.</t>
  </si>
  <si>
    <t>Tham gia và có chứng nhận hoạt động tích cực tại Câu lạc bộ Nghiên cứu khoa học ESSAC khoa Quản trị Kinh doanh.</t>
  </si>
  <si>
    <t>Đạt danh hiệu Thanh niên khỏe trường Đại học Sài Gòn năm 2024.</t>
  </si>
  <si>
    <t>Nhận Bằng khen của Ban Chấp hành Trung ương Hội Sinh viên Việt Nam vì đã có thành tích xuất sắc trong chiến dịch tình nguyện Mùa hè xanh năm 2024.
Nhận Giấy khen của Ban Chấp hành Hội Sinh viên trường vì đã có thành tích tốt trong Chiến dịch Xuân Tình nguyện trường Đại học Sài Gòn lần thứ 17 năm 2025.
Nhận Giấy khen của Ban Chấp hành Hội Sinh viên trường vì đã có thành tích tốt trong Chương trình Tiếp sức mùa thi Trường Đại học Sài Gòn năm 2025.
Tham gia và hoàn thành Chiến dịch Xuân Tình nguyện trường Đại học Sài Gòn lần thứ 17 năm 2025.
Tham gia và hoàn thành Chiến dịch tình nguyện Mùa hè xanh năm 2025.</t>
  </si>
  <si>
    <t>Tham gia English Camp 2025 do Thành phố Hồ Chí Minh tổ chức.
Nhận Giấy chứng nhận tham gia Liên hoan Câu lạc bộ - Đội - Nhóm toàn thành năm 2024.
Nhận Giấy khen của Ban Chấp hành Hội Sinh viên Thành phố Hồ Chí Minh vì đã có thành tích xuất sắc trong công tác Hội và phong trào sinh viên Thành phố năm học 2023 - 2024.</t>
  </si>
  <si>
    <t>NGUYỄN NGỌC THANH THẢO - 3122330360 - QUẢN TRỊ KINH DOANH - BẢNG KHAI THÀNH TÍCH CÁ NHÂN.docx</t>
  </si>
  <si>
    <t>NGUYỄN NGỌC THANH THẢO - 3122330360 - QUẢN TRỊ KINH DOANH - MINH CHỨNG THÀNH TÍCH CÁ NHÂN (1)</t>
  </si>
  <si>
    <t>Nguyễn Nhật Thủy Tiên</t>
  </si>
  <si>
    <t>NGUYỄN NHẬT THỦY TIÊN - 3124550143 - KHOA QUẢN TRỊ KINH DOANH - BẢNG KHAI THÀNH TÍCH CÁ NHÂN - 2024-2025.docx</t>
  </si>
  <si>
    <t>NGUYỄN NHẬT THỦY TIÊN - 3124550143 - KHOA QUẢN TRỊ KINH DOANH - MINH CHỨNG THÀNH TÍCH CÁ NHÂN - 2025.docx</t>
  </si>
  <si>
    <t>Nguyễn Thị Nhung</t>
  </si>
  <si>
    <t>Không đạt vì Chương trình Thanh niên khỏe Đại học Khoa học Xã hội và Nhân văn – Đại học Quốc gia TP.HCM chỉ có quy mô cấp Khoa</t>
  </si>
  <si>
    <t>NGUYỄN THỊ NHUNG - 3122330281 - KHOA QUẢN TRỊ KINH DOANH - BẢNG KHAI THÀNH TÍCH.docx</t>
  </si>
  <si>
    <t>NGUYỄN THỊ NHUNG - 3122330281 - KHOA QUẢN TRỊ KINH DOANH - MINH CHỨNG THÀNH TÍCH.docx</t>
  </si>
  <si>
    <t>Nguyễn Vũ Kha</t>
  </si>
  <si>
    <t xml:space="preserve">Minh chứng tham gia Hoạt động Nhật ký điện tử - Học và làm theo lời Bác
Minh chứng tham gia Hoạt động Quê hương tôi - Hành trình vì biển đảo quê hương
</t>
  </si>
  <si>
    <t xml:space="preserve">Minh chứng Giải nhất cuộc thi Tìm kiếm tài năng bán hàng mùa 3 năm học 2024-2025
Minh chứng Thành viên Ban chuyên môn Câu lạc bộ nghiên cứu khoa học ESSAC
</t>
  </si>
  <si>
    <t>Minh chứng Thành tích Sinh viên khỏe cấp trường năm học 2024-2025</t>
  </si>
  <si>
    <t xml:space="preserve">Minh chứng tham gia chuỗi Chương trình Xuân tình nguyện cấp khoa năm 2024-2025
Minh chứng tham gia Tiếp sức mùa thi năm 2025
</t>
  </si>
  <si>
    <t xml:space="preserve">Thành viên đội thi đạt giải khuyến khích cuộc thi Speak &amp; Play Date do CLB Tiếng anh BAEC khoa Quản trị kinh doanh tổ chức
Ngày 05/10/2025:  Tham gia hoạt động “ASEAN EXPLORER - SINH VIÊN ĐẠI HỌC SÀI GÒN TỰ TIN HỘI NHẬP”
Minh chứng là thành viên đội thi Đạt giải Nhất cuộc thi “Tìm kiếm tài năng bán hàng” năm 2025
Minh chứng Tham gia  hoạt động “International conference on economics, finance, and management (icefem) 2025: sustainable business development in the ai age”. 
Workshop Học làm nghiên cứu gia CLB ESSAC </t>
  </si>
  <si>
    <t>NGUYỄN VŨ KHA - 3123330144 - QUẢN TRỊ KINH DOANH - BẢNG KHAI THÀNH TÍCH CÁ NHÂN.docx</t>
  </si>
  <si>
    <t>NGUYỄN VŨ KHA - 3123330144 - QUẢN TRỊ KINH DOANH - MINH CHỨNG THÀNH TÍCH CÁ NHÂN (1).docx</t>
  </si>
  <si>
    <t>Sơn Thị Tuyết Duy</t>
  </si>
  <si>
    <t xml:space="preserve">-Tham gia cuộc thi tìm hiểu khu di tích lịch sử địa đạo củ chi:
- Tham gia kiểm tra nghị quyết số 57 – NQ/TW Ngày 22/12/2024 của Bộ Chính Trị Về Độ Phá Phát Triển Khoa Học, Công Nghệ, Đổi Mới Sáng Tạo Và Chuyển Đổi Số Quốc Gia.
</t>
  </si>
  <si>
    <t xml:space="preserve"> Đề tài nghiên cứu khoa học “Nghiên cứu sự hài lòng của sinh viên đối với hình thức học tập trực tuyến (E-Learning) tại trường Đại học Sài Gòn.
Tham gia và có chứng nhận hoạt động tích cực ít nhất 01 CLB về học thuật từ cấp khoa trở lên: CLB Tiếng Anh BAEC khoa Quản trị Kinh doanh</t>
  </si>
  <si>
    <t xml:space="preserve"> Ngày 05/10/2024: Tham gia sân chơi “ THANH NIÊN KHỎE” SGU’S DAY 2024
Tham gia hội thao “Về Miền Ký Ức” Ngày 11/05/2025 tại kí túc xá trường Đại học Sài Gòn, đạt giải khuyến khích.</t>
  </si>
  <si>
    <t xml:space="preserve">- Tham gia Lễ chào cờ “Tôi yêu Tổ quốc tôi” và chương trình hòa ca “Đất nước trọn niềm vui” của ban thư kí hội sinh viên Việt Nam Thành phố Hồ Chí Minh (2 ngày tình nguyện) (ngày 20/4/2025).
- Tham gia Lễ chào cờ “Tôi yêu Tổ quốc tôi” và tập luyện, quay hình chính thức tại Chương trình đồng diễn “Hòa bình đẹp lắm” (2 ngày tình nguyện) (ngày 29/04/2025).
- Tham gia hoạt động “Chủ Nhật Xanh” Ngày 09/03/2025 tại Kí túc xá.
- Tham gia tình nguyện dọn rác cùng Sài Gòn Xanh (ngày 12/01/2025).
</t>
  </si>
  <si>
    <t xml:space="preserve">- Chứng chỉ B2 - Chứng chỉ tiếng Anh Aptis Esol do BRITISH COUNCIL (Hội Đồng Anh cấp), cấp ngày 12/11/2024.
GCN tham gia Workshop "Học làm nghiên cứu gia" do CLB Nghiên cứu khoa học ESSAC khoa tổ chức
Tham gia hoạt động “ASEAN EXPLORER - SINH VIÊN ĐẠI HỌC SÀI GÒN TỰ TIN HỘI NHẬP”. 
</t>
  </si>
  <si>
    <t xml:space="preserve"> SƠN THỊ TUYẾT DUY - 3123550024 - KHOA QUẢN TRỊ KINH DOANH - BẢNG KHAI THÀNH TÍCH.docx</t>
  </si>
  <si>
    <t>SƠN THỊ TUYẾT DUY - 3123550024 - KHOA QUẢN TRỊ KINH DOANH - MINH CHỨNG THÀNH TÍCH.docx</t>
  </si>
  <si>
    <t>TỔNG</t>
  </si>
  <si>
    <t>SV5T TP</t>
  </si>
  <si>
    <r>
      <rPr>
        <sz val="12"/>
        <color theme="1"/>
        <rFont val="Times New Roman"/>
      </rPr>
      <t>HỘI SINH VIÊN VIỆT NAM TP. HỒ CHÍ MINH</t>
    </r>
    <r>
      <rPr>
        <b/>
        <sz val="12"/>
        <color theme="1"/>
        <rFont val="Times New Roman"/>
      </rPr>
      <t xml:space="preserve">
BCH TRƯỜNG ĐẠI HỌC SÀI GÒN
____</t>
    </r>
  </si>
  <si>
    <t>STT DS</t>
  </si>
  <si>
    <t>ĐẶNG QUỐC VIỆT - 3124530108 - KHOA GIÁO DỤC - BẢNG KHAI THÀNH TÍCH (1).docx</t>
  </si>
  <si>
    <t>ĐẶNG QUỐC VIỆT - 3124530108 - KHOA GIÁO DỤC - MINH CHỨNG THÀNH TÍCH (1).docx</t>
  </si>
  <si>
    <t>NGUYỄN THỊ BẢO TRÂM - 3124460039 - KHOA GIÁO DỤC - BẢNG KHAI THÀNH TÍCH..docx</t>
  </si>
  <si>
    <t>NGUYỄN THỊ BẢO TRÂM - 3124460039 - KHOA GIÁO DỤC - MINH CHỨNG THÀNH TÍCH.docx</t>
  </si>
  <si>
    <t>HỒ ANH THƯ - 3121200023 - GIÁO DỤC CHÍNH TRỊ - BẢNG KHAI THÀNH TÍCH CÁ NHÂN - 2024-2025</t>
  </si>
  <si>
    <t>HỒ-ANH-THƯ-3121200023-GIÁO-DỤC-CHÍNH-TRỊ-BẢNG-MINH-CHỨNG-THÀNH-TÍCH-CÁ-NHÂN-2025.docx</t>
  </si>
  <si>
    <t>LÊ THỊ THUỲ LINH- BẢNG KHAI THÀNH TÍCH CÁ NHÂN - 2025.docx</t>
  </si>
  <si>
    <t>PHƯƠNG KHIÊM- BẢNG KHAI THÀNH TÍCH CÁ NHÂN - 2025.docx</t>
  </si>
  <si>
    <t>MÃ TÚ TRÂN - 3124190142 - GIÁO DỤC MẦM NON - BẢNG KHAI THÀNH TÍCH.docx</t>
  </si>
  <si>
    <t>NGUYỄN TRƯƠNG KIM NGỌC - 3123190077 - GIÁO DỤC MẦM NON - BẢNG KHAI THÀNH TÍCH.docx</t>
  </si>
  <si>
    <t>TRẦN KIM PHÚC - 3123190099 - KHOA GIÁO DỤC MẦM NON - BẢNG KHAI THÀNH TÍCH.docx</t>
  </si>
  <si>
    <t>VÕ NGỌC ANH - 3123190005- KHOA GIÁO DỤC MẦM NON - BẢNG KHAI THÀNH TÍCH.docx</t>
  </si>
  <si>
    <t>MẪU 01 - NGUYỄN THỊ THÙY LINH - 3122150055- GDTH -BẢNG KHAI THÀNH TÍCH CÁ NHÂN - 2024-2025 .docx</t>
  </si>
  <si>
    <t>MẪU 03 - NGUYỄN THỊ THÙY LINH- 3122150055- GDTH - MINH CHỨNG THÀNH TÍCH CÁ NHÂN - 2025.docx</t>
  </si>
  <si>
    <t>CAO NGỌC THANH THẢO - 3122150122 - GIÁO DỤC TIỂU HỌC - BẢNG KHAI THÀNH TÍCH (1).docx</t>
  </si>
  <si>
    <t>CAO NGỌC THANH THẢO - 3122150122 - GIÁO DỤC TIỂU HỌC - MINH CHỨNG THÀNH TÍCH (1).docx</t>
  </si>
  <si>
    <t>BÙI NGUYỄN PHƯƠNG THÙY - 3122150128 - GDTH - BẢNG KHAI THÀNH TÍCH.docx</t>
  </si>
  <si>
    <t>BÙI NGUYỄN PHƯƠNG THÙY - 3122150128 - GDTH - MINH CHỨNG THÀNH TÍCH.docx</t>
  </si>
  <si>
    <t>LÊ THỊ HUYỀN TRANG - 3122150147 - GDTH - BẢNG KHAI THÀNH TÍCH.docx</t>
  </si>
  <si>
    <t>LÊ THỊ HUYỀN TRANG - 3122150147 - GDTH - MINH CHỨNG THÀNH TÍCH.docx</t>
  </si>
  <si>
    <t>MAI THỊ MINH HUYỀN - 3122150044 - GDTH - BẢNG KHAI THÀNH TÍCH CÁ NHÂN - 2024-2025 (1).docx</t>
  </si>
  <si>
    <t>MAI THỊ MINH HUYỀN - 3122150044 - GDTH - MINH CHỨNG THÀNH TÍCH CÁ NHÂN (1).docx</t>
  </si>
  <si>
    <t>ĐỖ TRẦN KIM NGÂN - 3122150072 - GDTH - BẢNG KHAI THÀNH TÍCH.docx</t>
  </si>
  <si>
    <t>ĐỖ TRẦN KIM NGÂN - 3122150072 - GDTH - MINH CHỨNG THÀNH TÍCH.docx</t>
  </si>
  <si>
    <t>TRỊNH NGUYỄN NGỌC NHI - 3122150092 - BẢNG KHAI THÀNH TÍCH CÁ NHÂN - 2024-2025.docx</t>
  </si>
  <si>
    <t>TRỊNH NGUYỄN NGỌC NHI - 3122150092 - MINH CHỨNG THÀNH TÍCH CÁ NHÂN - 2025.docx</t>
  </si>
  <si>
    <t>Lâm Tâm Như - 3122150096 - Bảng khai thành tích..docx</t>
  </si>
  <si>
    <t>Lâm Tâm Như - 3122150096 - Minh chứng..docx</t>
  </si>
  <si>
    <t>NGUYỄN THỊ HẢI YẾN - 3122150179 - GDTH - BẢNG KHAI THÀNH TÍCH.docx</t>
  </si>
  <si>
    <t>NGUYỄN THỊ HẢI YẾN - 3122150179- GDTH - MINH CHỨNG THÀNH TÍCH.docx</t>
  </si>
  <si>
    <t>NGUYỄN HỒNG NHẠC - 3123150105 - GDTH - BẢNG KHAI THÀNH TÍCH.docx</t>
  </si>
  <si>
    <t>NGUYỄN HỒNG NHẠC - 3123150105 - GDTH - MINH CHỨNG THÀNH TÍCH.docx</t>
  </si>
  <si>
    <t>ĐỖ NGUYỄN MAI UYÊN - 3123150188 - KHOA GIÁO DỤC TIỂU HỌC - BẢNG KHAI THÀNH TÍCH .docx</t>
  </si>
  <si>
    <t>ĐỖ NGUYỄN MAI UYÊN - 3123150188 - KHOA GIÁO DỤC TIỂU HỌC - MINH CHỨNG THÀNH TÍCH .docx</t>
  </si>
  <si>
    <t>HỒ THỊ THÚY DIỂM - 3123150033 - GDTH - BẢNG KHAI THÀNH TÍCH.docx</t>
  </si>
  <si>
    <t>HỒ THỊ THÚY DIỂM - 3123150033 - KHOA GIÁO DỤC TIỂU HỌC - MINH CHỨNG THÀNH TÍCH.docx</t>
  </si>
  <si>
    <t>DIỆC THIÊN HƯƠNG_3123150061_GIÁO DỤC TIỂU HỌC_BẢNG KHAI THÀNH TÍCH.docx</t>
  </si>
  <si>
    <t>DIỆC THIÊN HƯƠNG_3123150061_GIÁO DỤC TIỂU HỌC_MINH CHỨNG THÀNH TÍCH.docx</t>
  </si>
  <si>
    <t>NGUYỄN THỊ TRÚC LIN - 3123150067 - KHOA GIÁO DỤC TIỂU HỌC - BẢNG KHAI THÀNH TÍCH- đã bổ sung.docx</t>
  </si>
  <si>
    <t>NGUYỄN THỊ TRÚC LIN - 3123150067 - KHOA GIÁO DỤC TIỂU HỌC - MINH CHỨNG THÀNH TÍCH- đã bổ sung.docx</t>
  </si>
  <si>
    <t>LÊ THỊ THANH THANH - 3122150120- GDTH - BẢNG KHAI THÀNH TÍCH.docx</t>
  </si>
  <si>
    <t>LÊ THỊ THANH THANH -3122150120 - GDTH - MINH CHỨNG THÀNH TÍCH (Final).docx</t>
  </si>
  <si>
    <t>ĐÀO TRẦN THANH- BẢNG KHAI THÀNH TÍCH CÁ NHÂN - 2025.docx</t>
  </si>
  <si>
    <t>SV5T - Biểu mẫu tổng hợp thành tích TQ.docx</t>
  </si>
  <si>
    <t>8. NGUYỄN THỊ THẢO QUỲNH</t>
  </si>
  <si>
    <t>MINH THƯ - BẢNG KHAI.docx</t>
  </si>
  <si>
    <t>9. TRẦN NGỌC MINH THƯ</t>
  </si>
  <si>
    <t>BẢO NGỌC - BẢNG KHAI.docx</t>
  </si>
  <si>
    <t>10. LÊ THÁI BẢO NGỌC</t>
  </si>
  <si>
    <t>PHƯƠNG LINH - BẢNG KHAI.docx</t>
  </si>
  <si>
    <t>11. NGUYỄN HOÀNG PHƯƠNG LINH</t>
  </si>
  <si>
    <t>BÙI THỊ HẢI LÂM - 3122090011 - KHXH&amp;NT - BẢNG KHAI THÀNH TÍCH_.docx</t>
  </si>
  <si>
    <t>BÙI THỊ HẢI LÂM - 3122090011 - KHXH&amp;NT - MINH CHỨNG THÀNH TÍCH_.docx</t>
  </si>
  <si>
    <t>LÊ HOÀNG PHƯƠNG ANH - 3121160003 - KHXH&amp;NT - BẢNG KHAI THÀNH TÍCH CÁ NHÂN - 2024-2025.docx</t>
  </si>
  <si>
    <t>LÊ HOÀNG PHƯƠNG ANH - 3121160003 - KHXH&amp;NT - MINH CHỨNG THÀNH TÍCH CÁ NHÂN - 2024-2025.docx</t>
  </si>
  <si>
    <t>LÊ XUÂN DIỆU - 3122090004 - KHXH&amp;NT - BẢN KHAI THÀNH TÍCH.docx</t>
  </si>
  <si>
    <t>LÊ XUÂN DIỆU - 3122090004 - KHXH&amp;NT - MINH CHỨNG THÀNH TÍCH.docx</t>
  </si>
  <si>
    <t>NGUYỄN THANH VI - 3121220044 - KHXH&amp;NT -  BẢNG KHAI THÀNH TÍCH.docx</t>
  </si>
  <si>
    <t>NGUYỄN THANH VI - 3121220044 - KHXH&amp;NT - MINH CHỨNG THÀNH TÍCH.docx</t>
  </si>
  <si>
    <t>NGUYỄN THỊ THƯƠNG - 3122390067 - KHXH&amp;NT - BẢNG KHAI THÀNH TÍCH_.docx</t>
  </si>
  <si>
    <t>NGUYỄN THỊ THƯƠNG - 3122390067 - KHXH&amp;NT - MINH CHỨNG THÀNH TÍCH  (1).docx</t>
  </si>
  <si>
    <t>NGUYỄN TRẦN ÁNH NHUNG - 3122390043 - KHXH&amp;NT - BẢNG KHAI THÀNH TÍCH.docx</t>
  </si>
  <si>
    <t>NGUYỄN TRẦN ÁNH NHUNG - 3122390043 - KHXH&amp;NT - MINH CHỨNG THÀNH TÍCH.docx</t>
  </si>
  <si>
    <t>PHẠM NGỌC BẢO ANH - 3123100002 - BẢNG KHAI THÀNH TÍCH CÁ NHÂN - 2024-2025.docx</t>
  </si>
  <si>
    <t>PHẠM NGỌC BẢO ANH - 3123100002 - MINH CHỨNG THÀNH TÍCH CÁ NHÂN - 2025.docx</t>
  </si>
  <si>
    <t>TẠ YẾN CHI_3123090007_KHXH&amp;NT_BẢNG KHAI THÀNH TÍCH CÁ NHÂN - 2024-2025.docx</t>
  </si>
  <si>
    <t>TẠ YẾN CHI_3123090007_KHXH&amp;NT_MINH CHỨNG THÀNH TÍCH CÁ NHÂN - 2025.docx</t>
  </si>
  <si>
    <t>TRẦN DUY TÔN - 3121220037 - KHXH&amp;NT - BẢNG KHAI THÀNH TÍCH.docx</t>
  </si>
  <si>
    <t>TRẦN DUY TÔN - 3121220037 - KHXH&amp;NT - MINH CHỨNG THÀNH TÍCH.docx</t>
  </si>
  <si>
    <t>TRẦN LÊ NHẬT ANH - 3122100001 - KHXH&amp;NT- BẢNG KHAI THÀNH TÍCH.docx</t>
  </si>
  <si>
    <t>TRẦN LÊ NHẬT ANH - 3122100001 - KHXH&amp;NT- BẢNG MINH CHỨNG THÀNH TÍCH.docx</t>
  </si>
  <si>
    <t>VÕ NGUYÊN THẢO - 3122090022 - KHXH&amp;NT - BẢNG KHAI THÀNH TÍCH.docx</t>
  </si>
  <si>
    <t>VÕ NGUYÊN THẢO - 3122090022 - KHXH&amp;NT - MINH CHỨNG THÀNH TÍCH CÁ NHÂN - 2025.docx</t>
  </si>
  <si>
    <t>VÕ THỊ KIM CHI - 3123100004 - KHOA KHOA HỌC XÃ HỘI VÀ NGHỆ THUẬT - BẢN KHAI THÀNH TÍCH.docx</t>
  </si>
  <si>
    <t>VÕ THỊ KIM CHI - 3123100004 - KHOA KHOA HỌC XÃ HỘI VÀ NGHỆ THUẬT - MINH CHỨNG HOẠT ĐỘNG.docx</t>
  </si>
  <si>
    <t>SV5T - Biểu mẫu tổng hợp thành tích Trần Quang Vĩ.pdf</t>
  </si>
  <si>
    <t>12. TRẦN QUANG VĨ</t>
  </si>
  <si>
    <t>13.NGUYỄN THỊ MẪN NGUYÊN .docx</t>
  </si>
  <si>
    <t>13. NGUYỄN PHẠM MẪN NGUYÊN</t>
  </si>
  <si>
    <t>14.LÊ TƯỜNG HƯƠNG THỦY .docx</t>
  </si>
  <si>
    <t>14. LÊ TƯỜNG HƯƠNG THUỶ</t>
  </si>
  <si>
    <t>15.ĐỖ THỊ HƯƠNG TRÂM .docx</t>
  </si>
  <si>
    <t>15. ĐỖ THỊ HƯƠNG TRÂM</t>
  </si>
  <si>
    <t>33.HUỲNH TẤN KHANG.docx</t>
  </si>
  <si>
    <t>33. HUỲNH TẤN KHANG</t>
  </si>
  <si>
    <t>16.VŨ NGỌC TIẾN - BẢNG KHAI.docx</t>
  </si>
  <si>
    <t>16. VŨ NGỌC TIẾN</t>
  </si>
  <si>
    <t>KHIẾU THỊ THUỲ DƯƠNG - NGOẠI NGỮ - BẢNG KHAI THÀNH TÍCH.docx</t>
  </si>
  <si>
    <t>LÂM ĐÌNH QUỐC KHÁNH -  NGOẠI NGỮ - BẢNG KHAI THÀNH TÍCH.docx</t>
  </si>
  <si>
    <t>LƯU GIA LINH - DSA1241 - 3124130045(1).docx</t>
  </si>
  <si>
    <t>NGUYỄN ANH TUẤN - NGOẠI NGỮ - BẢNG KHAI THÀNH TÍCH.docx</t>
  </si>
  <si>
    <t>NGUYỄN CÔNG THÀNH - NGOẠI NGỮ - BẢNG KHAI THÀNH TÍCH.docx</t>
  </si>
  <si>
    <t>NGUYỄN ĐỖ MINH PHƯƠNG - NGOẠI NGỮ - BẢNG KHAI THÀNH TÍCH.docx</t>
  </si>
  <si>
    <t>NGUYỄN GIA BẢO - NGOẠI NGỮ - BẢNG KHAI THÀNH TÍCH.docx</t>
  </si>
  <si>
    <t>NGUYỄN LÊ QUỲNH NHƯ – 3123380226 – KHOA NGOẠI NGỮ – BẢNG KHAI THÀNH TÍCH”;.docx</t>
  </si>
  <si>
    <t>NGUYỄN THỊ HOÀNG MƠ - NGOẠI NGỮ - BẢNG KHAI THÀNH TÍCH.docx</t>
  </si>
  <si>
    <t>NGUYỄN THỊ HUYỀN TRANG - NGOẠI NGỮ - BẢNG KHAI THÀNH TÍCH.docx</t>
  </si>
  <si>
    <t>NGUYỄN TRUNG KIÊN - NGOẠI NGỮ - BẢNG KHAI THÀNH TÍCH.docx</t>
  </si>
  <si>
    <t>PHẠM NGỌC BẢO TRÂN - NGOẠI NGỮ - BẢNG KHAI THÀNH TÍCH.docx</t>
  </si>
  <si>
    <t>PHAN LÊ YẾN NHI - NGOẠI NGỮ - BẢNG KHAI THÀNH TÍCH.docx</t>
  </si>
  <si>
    <t>TRẦN TẤN TRÍ ĐỨC - NGOẠI NGỮ - BẢNG KHAI THÀNH TÍCH.docx</t>
  </si>
  <si>
    <t>TRIỆU THỊ HIỀN TÂM - NGOẠI NGỮ - BẢNG KHAI THÀNH TÍCH.docx</t>
  </si>
  <si>
    <t>TRƯƠNG HUYỀN DIỆU - NGOẠI NGỮ - BẢNG KHAI THÀNH TÍCH.docx</t>
  </si>
  <si>
    <t>VÕ HOÀNG MINH TRIẾT -  NGOẠI NGỮ - BẢNG KHAI THÀNH TÍCH.docx</t>
  </si>
  <si>
    <t>VÕ MAI HẢI PHƯƠNG - NGOẠI NGỮ - BẢNG KHAI THÀNH TÍCH.docx</t>
  </si>
  <si>
    <t>VŨ DIỆP MINH HUYỀN - NGOẠI NGỮ - BẢNG KHAI THÀNH TÍCH.docx</t>
  </si>
  <si>
    <t>VŨ HUY HOÀNG - NGOẠI NGỮ - BẢNG KHAI THÀNH TÍCH.docx</t>
  </si>
  <si>
    <t>Đạt Danh hiệu Thanh niên Tiên tiến Trường Đại học Sài Gòn làm theo lời Bác năm học 2024- 2025(xác nhận của Đảng uỷ)
Danh hiệu Sao Tháng Thanh niên SGU “Nghĩ đúng Sống đẹp” năm 2025
Là thành viên chính thức đội thi tìm hiểu về chủ nghĩa Mác - Lênin, tư tưởng Hồ Chí Minh từ cấp khoa
Tham gia học tập chuyên đề “Học tập và làm theo tư tưởng, đạo đức, phong cách Hồ Chí Minh”.
Tham gia Học tập Nghị quyết Đại hội Đoàn toàn quốc lần thứ XII</t>
  </si>
  <si>
    <t xml:space="preserve">Đã có đóng góp tích cực trong Chiến dịch tình nguyện Mùa hè Xanh trường Đại học Sài Gòn lần thứ 32 - năm 2025
Giấy chứng nhận tham gia Chiến dịch Xuân Tình nguyện lần thứ 17 năm 2025
Giấy chứng nhận tham gia các hoạt động hỗ trợ tổ chức Lễ kỷ niệm 50 năm Ngày Giải phóng miền nam, thống nhất đất nước (30/04/1975 - 30/04/20250 - 08 ngày
Giấy chứng nhận đã tham gia và hoàn thành nhiệm vụ Tình nguyện viên góp phần tổ chức thành công Đại lễ Phật Đản Liên Hợp Quốc - VESAK 2025
</t>
  </si>
  <si>
    <t xml:space="preserve">Chứng chỉ APTIS B1 do BRITISH COUNCIL cấp
Giấy khen Cán bộ Đoàn tiêu biểu năm học 2024 - 2025
Giấy khen Đã có đóng góp tích cực trong Công tác Đoàn và phong trào thanh niên Trường Đại học Sài Gòn 2024-2025 cấp trường
Tham gia hoạt động “ASEAN EXPLORER - SINH VIÊN ĐẠI HỌC SÀI GÒN TỰ TIN HỘI NHẬP”.
</t>
  </si>
  <si>
    <t>CAO HỒNG THÚY - 3123330380 - QUẢN TRỊ KINH DOANH - BẢNG KHAI THÀNH TÍCH .docx</t>
  </si>
  <si>
    <t>Minh chứng Giấy chứng nhận tham gia Xuân tình nguyện cấp trường năm 2025
Minh chứng tham gia Chương trình “ Tiếp sức mùa thi 2025” tại điểm trường THPT Mỹ Xuyên
01 ngày: 09/03/2025 Tham gia hoạt động tình nguyện Trái tim hồng cấp khoa</t>
  </si>
  <si>
    <t xml:space="preserve">Chứng chỉ B2 - Chứng chỉ tiếng Anh Aptis Esol do BRITISH COUNCIL (Hội Đồng Anh cấp), cấp ngày 11/11/2024.
 Giấy khen của Ban Chấp hành Hội Sinh viên trường theo quyết định số 16/QĐ-BTK ngày 15/04/2025 về việc Đã đạt Danh hiệu Cán bộ Hội tiêu biểu năm học 2024 – 2025.
Giấy khen của Ban Chấp hành Hội Sinh viên trường theo quyết định số 48/QĐ-BTK ngày 23/10/2025 về việc Đã có thành tích xuất sắc trong công tác Hội và phong trào sinh viên Trường Đại học Sài gòn năm học 2024 – 2025.
Giấy khen của Ban Chấp hành Đoàn trường theo quyết định số 16/QĐ-BTK ngày 18/04/2025 về việc Đã có đóng góp tích cực trong hoạt động Tháng thanh niên trường Đại học Sài Gòn năm 2025
Minh chứng Tham gia hoạt động “ASEAN EXPLORER - SINH VIÊN ĐẠI HỌC SÀI GÒN TỰ TIN HỘI NHẬP”
</t>
  </si>
  <si>
    <t>HỒ THỊ NHƯ Ý - 3123550193 - KHOA QUẢN TRỊ KINH DOANH - BẢNG KHAI THÀNH TÍCH.docx</t>
  </si>
  <si>
    <t>HỒ THỊ NHƯ Ý - 3123550193 - KHOA QUẢN TRỊ KINH DOANH- MINH CHỨNG HOẠT ĐỘNG (1).docx</t>
  </si>
  <si>
    <t xml:space="preserve">Tháng 01/2025: Giấy chứng nhận Chiến dịch Xuân tình nguyện Trường Đại học Sài Gòn lần thứ 17 – Năm 2025
01 ngày: 10/03/2025 tham gia hoạt động “chủ nhật xanh” tại KTX trường Đại học Sài Gòn.
01 ngày: 27/03/2025 Tham gia “ Xuân tình nguyện “ cấp Khoa
04 ngày: Tham gia “Tiếp sức mùa thi” 2025.
26/4/2025 - Tham gia triển lãm 50 tác phẩm văn học - nghệ thuật tiêu biểu, 50 công trình xây dựng tiêu biểu, 50 sự kiện, hoạt động nổi bật của Thành phố Hồ Chí Minh nhân dịp kỷ niệm 50 năm Ngày giải phóng miền Nam, thống nhất đất nước (30/4/1975 - 30/4/2025). 
</t>
  </si>
  <si>
    <t xml:space="preserve">Chứng chỉ B1 - Chứng chỉ tiếng Anh Aptis Esol do BRITISH COUNCIL (Hội Đồng Anh cấp), cấp ngày 11/11/2024.
Ngày 03/09/2025: Tham gia chương trình Trang bị Kỹ năng nghề  nghiệp; chủ đề: “Khảo sát nghề nghiệp yêu thích 2025 – ENTERPRISE OF CHOICE”
Ngày 05/10/2025:  Tham gia hoạt động “ASEAN EXPLORER - SINH VIÊN ĐẠI HỌC SÀI GÒN TỰ TIN HỘI NHẬP”
Ngày 17/5/2025: Tham gia Hội thảo chuyên đề Hội nhập quốc tế trong Ngày hội sinh viên với Ngoại ngữ năm 2025 “Global Ready: Skills for International Integration”
</t>
  </si>
  <si>
    <t>Kết quả phân tích chất lượng Đoàn viên năm học 2024 - 2025 đạt Hoàn thành xuất sắc nhiệm vụ
Tham gia cuộc thi học tập Nghị quyết Đại hội Đoàn Toàn quốc lần thứ XII</t>
  </si>
  <si>
    <t>Chứng chỉ B1 - Chứng chỉ tiếng Anh Aptis Esol do BRITISH COUNCIL (Hội Đồng Anh cấp), cấp ngày 11/11/2024.
GCN tham gia Workshop "Học làm nghiên cứu gia" do CLB Nghiên cứu khoa học ESSAC khoa tổ chức
Tham gia English Camp 2025 do Thành phố Hồ Chí Minh tổ chức.
Tham gia hoạt động “ASEAN EXPLORER - SINH VIÊN ĐẠI HỌC SÀI GÒN TỰ TIN HỘI NHẬP”
Nhận Giấy chứng nhận tham gia Liên hoan Câu lạc bộ - Đội - Nhóm toàn thành năm 2024.
Nhận Giấy khen của Ban Chấp hành Hội Sinh viên Thành phố Hồ Chí Minh vì đã có thành tích xuất sắc trong công tác Hội và phong trào sinh viên Thành phố năm học 2023 - 2024.</t>
  </si>
  <si>
    <t>NGUYỄN NGỌC THANH THẢO - 3122330360 - QUẢN TRỊ KINH DOANH - MINH CHỨNG THÀNH TÍCH CÁ NHÂN.docx</t>
  </si>
  <si>
    <t>Kết quả phân tích chất lượng Đoàn viên năm học 2024 - 2025 đạt Hoàn thành xuất sắc nhiệm vụ
Minh chứng tham gia Hoạt động Nhật ký điện tử - Học và làm theo lời Bác
Minh chứng tham gia Hoạt động Quê hương tôi - Hành trình vì biển đảo quê hương
Minh chứng tham gia hoạt động “Ngọn cờ tiên phong - Người lính cụ Hồ”</t>
  </si>
  <si>
    <t xml:space="preserve">Minh chứng Giải nhất cuộc thi Tìm kiếm tài năng bán hàng mùa 3 năm học 2024-2025 do khoa Quản trị Kinh doanh tổ chức
Minh chứng Thành viên Ban chuyên môn Câu lạc bộ nghiên cứu khoa học ESSAC
</t>
  </si>
  <si>
    <t xml:space="preserve">Tham gia hoạt động “Ngày Chủ nhật Xanh lần thứ 156” do khoa phối hợp với Đoàn phường tổ chức (22/03/2025)
Tham gia hoạt động “Tình nguyện ngày Xuân” trong chuỗi Xuân tình nguyện khoa Quản trị Kinh doanh
Tham gia hoạt động tình nguyện “Trái tim hồng” do khoa Quản trị Kinh doanh tổ chức
Giấy chứng nhận tham gia Tiếp sức mùa thi năm 2025
Giấy chứng nhận tham gia tình nguyện dự án “Góp mì cho em” </t>
  </si>
  <si>
    <t xml:space="preserve">Thành viên đội thi đạt giải khuyến khích cuộc thi Speak &amp; Play Date do CLB Tiếng anh BAEC khoa Quản trị kinh doanh tổ chức
Ngày 05/10/2025:  Tham gia hoạt động “ASEAN EXPLORER - SINH VIÊN ĐẠI HỌC SÀI GÒN TỰ TIN HỘI NHẬP”
Minh chứng là thành viên đội thi Đạt giải Nhất cuộc thi “Tìm kiếm tài năng bán hàng” năm 2025
GCN Workshop Học làm nghiên cứu gia CLB ESSAC </t>
  </si>
  <si>
    <t xml:space="preserve">-Tham gia cuộc thi tìm hiểu khu di tích lịch sử địa đạo củ chi:
- Tham gia kiểm tra nghị quyết số 57 – NQ/TW Ngày 22/12/2024 của Bộ Chính Trị Về Độ Phá Phát Triển Khoa Học, Công Nghệ, Đổi Mới Sáng Tạo Và Chuyển Đổi Số Quốc Gia.
</t>
  </si>
  <si>
    <t>Tham gia và có chứng nhận hoạt động tích cực ít nhất 01 CLB về học thuật từ cấp khoa trở lên: CLB Tiếng Anh BAEC khoa Quản trị Kinh doanh</t>
  </si>
  <si>
    <t>Tham gia Lễ chào cờ “Tôi yêu Tổ quốc tôi” và chương trình hòa ca “Đất nước trọn niềm vui” của ban thư kí hội sinh viên Việt Nam Thành phố Hồ Chí Minh (2 ngày tình nguyện) (ngày 20/4/2025).
Tham gia Lễ chào cờ “Tôi yêu Tổ quốc tôi” và tập luyện, quay hình chính thức tại Chương trình đồng diễn “Hòa bình đẹp lắm” (2 ngày tình nguyện) (ngày 29/04/2025).
Tham gia hoạt động “Chủ Nhật Xanh” Ngày 09/03/2025 tại Kí túc xá.
Tham gia tình nguyện dọn rác cùng Sài Gòn Xanh (ngày 12/01/2025).
Tham gia hoạt động “Tình nguyện ngày Xuân” trong chuỗi Xuân tình nguyện khoa Quản trị Kinh doanh
Tham gia tình nguyện hỗ trợ sự kiện phiên chợ quần áo cũ (9-14/01/2025)</t>
  </si>
  <si>
    <t xml:space="preserve">Chứng chỉ B2 - Chứng chỉ tiếng Anh Aptis Esol do BRITISH COUNCIL (Hội Đồng Anh cấp), cấp ngày 12/11/2024.
GCN tham gia Workshop "Học làm nghiên cứu gia" do CLB Nghiên cứu khoa học ESSAC khoa tổ chức
Tham gia hoạt động “ASEAN EXPLORER - SINH VIÊN ĐẠI HỌC SÀI GÒN TỰ TIN HỘI NHẬP”. 
</t>
  </si>
  <si>
    <t>SƠN THỊ TUYẾT DUY - 3123550024 - KHOA QUẢN TRỊ KINH DOANH - BẢNG KHAI THÀNH TÍCH.docx</t>
  </si>
  <si>
    <t>23.ĐÀO NGỌC LINH.docx</t>
  </si>
  <si>
    <t>23. ĐÀO NGỌC LINH</t>
  </si>
  <si>
    <t xml:space="preserve">24.LÝ THỊ NGỌC MAI </t>
  </si>
  <si>
    <t>24. LÝ THỊ NGỌC MAI</t>
  </si>
  <si>
    <t>26.NGUYỄN NGỌC TÂM THI.docx</t>
  </si>
  <si>
    <t>26. NGUYỄN NGỌC TÂM THI</t>
  </si>
  <si>
    <t>34.NGÔ PHƯƠNG THANH.docx</t>
  </si>
  <si>
    <t>34. NGÔ PHƯƠNG THANH</t>
  </si>
  <si>
    <t>TRƯƠNG HẢI CHÂU - BẢNG KHAI THÀNH TÍCH.docx</t>
  </si>
  <si>
    <t>29. NGUYỄN MINH KHANG</t>
  </si>
  <si>
    <t>30.LÊ CÔNG PHƯỚC .docx</t>
  </si>
  <si>
    <t>30. LÊ CÔNG PHƯỚC</t>
  </si>
  <si>
    <t>ỦY BAN NHÂN DÂN</t>
  </si>
  <si>
    <t>CỘNG HÒA XÃ HỘI CHỦ NGHĨA VIỆT NAM</t>
  </si>
  <si>
    <t>THÀNH PHỐ HỒ CHÍ MINH</t>
  </si>
  <si>
    <t>Độc lập - Tự do - Hạnh phúc</t>
  </si>
  <si>
    <t>TRƯỜNG ĐẠI HỌC SÀI GÒN</t>
  </si>
  <si>
    <t>BẢNG ĐIỂM RÈN LUYỆN</t>
  </si>
  <si>
    <t>(Năm học 2024 - 2025)</t>
  </si>
  <si>
    <t>Số
 TT</t>
  </si>
  <si>
    <t>Mã 
 sinh viên</t>
  </si>
  <si>
    <t>Họ tên sinh viên</t>
  </si>
  <si>
    <t>Lớp</t>
  </si>
  <si>
    <t>Học
 kỳ</t>
  </si>
  <si>
    <t>Điểm
 rèn luyện</t>
  </si>
  <si>
    <t>Xếp loại</t>
  </si>
  <si>
    <t>Điểm
 TBC</t>
  </si>
  <si>
    <t>Khoa</t>
  </si>
  <si>
    <t>Ghi chú</t>
  </si>
  <si>
    <t>DGD1211</t>
  </si>
  <si>
    <t>Xuất sắc</t>
  </si>
  <si>
    <t>Giáo dục chính trị</t>
  </si>
  <si>
    <t>DGD1221</t>
  </si>
  <si>
    <t>Tốt</t>
  </si>
  <si>
    <t>Võ Thanh Quyến</t>
  </si>
  <si>
    <t>DKM1231</t>
  </si>
  <si>
    <t>Kỹ thuật và Công nghệ</t>
  </si>
  <si>
    <t>DDV1231</t>
  </si>
  <si>
    <t>DCT1221</t>
  </si>
  <si>
    <t>Công nghệ Thông tin</t>
  </si>
  <si>
    <t>DCT122C4</t>
  </si>
  <si>
    <t>DGT1213</t>
  </si>
  <si>
    <t>Giáo dục Tiểu học</t>
  </si>
  <si>
    <t>DGT1212</t>
  </si>
  <si>
    <t>DGT1211</t>
  </si>
  <si>
    <t>DGT1222</t>
  </si>
  <si>
    <t>DGT1221</t>
  </si>
  <si>
    <t>DGT1223</t>
  </si>
  <si>
    <t>DGT1233</t>
  </si>
  <si>
    <t>DGT1232</t>
  </si>
  <si>
    <t>DGT1231</t>
  </si>
  <si>
    <t>DGT1242</t>
  </si>
  <si>
    <t>DGT1243</t>
  </si>
  <si>
    <t>DGT1241</t>
  </si>
  <si>
    <t>Trung bình</t>
  </si>
  <si>
    <t>DNH1211</t>
  </si>
  <si>
    <t>Khoa học Xã hội và Nghệ thuật</t>
  </si>
  <si>
    <t>DLD1211</t>
  </si>
  <si>
    <t>DVA1221</t>
  </si>
  <si>
    <t>DSU1221</t>
  </si>
  <si>
    <t>Lê Nguyễn Kiều Ngân</t>
  </si>
  <si>
    <t>DTT1221</t>
  </si>
  <si>
    <t>DVA1231</t>
  </si>
  <si>
    <t>Mai Thanh An</t>
  </si>
  <si>
    <t>DSU1231</t>
  </si>
  <si>
    <t>DLU1221</t>
  </si>
  <si>
    <t>Luật</t>
  </si>
  <si>
    <t>DLU1223</t>
  </si>
  <si>
    <t>DLU1222</t>
  </si>
  <si>
    <t>DLU1231</t>
  </si>
  <si>
    <t>DLU1232</t>
  </si>
  <si>
    <t>DLU1233</t>
  </si>
  <si>
    <t>DLU1243</t>
  </si>
  <si>
    <t>DLU1242</t>
  </si>
  <si>
    <t>DLU1241</t>
  </si>
  <si>
    <t>Khá</t>
  </si>
  <si>
    <t>DSA1212</t>
  </si>
  <si>
    <t>Ngoại ngữ</t>
  </si>
  <si>
    <t>DSA1211</t>
  </si>
  <si>
    <t>DAN1215</t>
  </si>
  <si>
    <t>DSA1221</t>
  </si>
  <si>
    <t>DAN1225</t>
  </si>
  <si>
    <t>DAN1223</t>
  </si>
  <si>
    <t>DSA1231</t>
  </si>
  <si>
    <t>DSA1232</t>
  </si>
  <si>
    <t>DAN1231</t>
  </si>
  <si>
    <t>DAN1236</t>
  </si>
  <si>
    <t>DAN1233</t>
  </si>
  <si>
    <t>DSA1241</t>
  </si>
  <si>
    <t>DSA1242</t>
  </si>
  <si>
    <t>DQK1226</t>
  </si>
  <si>
    <t>Quản trị Kinh doanh</t>
  </si>
  <si>
    <t>DQK1223</t>
  </si>
  <si>
    <t>DQK1231</t>
  </si>
  <si>
    <t>Cao Hồng Thúy</t>
  </si>
  <si>
    <t>DQK1232</t>
  </si>
  <si>
    <t>DKQ1231</t>
  </si>
  <si>
    <t>DKQ1233</t>
  </si>
  <si>
    <t>DKQ1242</t>
  </si>
  <si>
    <t>DLI1211</t>
  </si>
  <si>
    <t>Sư phạm Khoa học Tự nhiên</t>
  </si>
  <si>
    <t>DSI1211</t>
  </si>
  <si>
    <t>DHO1221</t>
  </si>
  <si>
    <t>DLI1231</t>
  </si>
  <si>
    <t>Huỳnh Ngọc Bảo Khang</t>
  </si>
  <si>
    <t>DSI1231</t>
  </si>
  <si>
    <t>DKE1216</t>
  </si>
  <si>
    <t>Tài chính - Kế toán</t>
  </si>
  <si>
    <t>DKE1217</t>
  </si>
  <si>
    <t>Phạm Thùy Trang</t>
  </si>
  <si>
    <t>DKE1211</t>
  </si>
  <si>
    <t>DTN1214</t>
  </si>
  <si>
    <t>DKE1223</t>
  </si>
  <si>
    <t>DKE1225</t>
  </si>
  <si>
    <t>Võ Lê Tâm Đan</t>
  </si>
  <si>
    <t>DTN1223</t>
  </si>
  <si>
    <t>DTN1222</t>
  </si>
  <si>
    <t>DTN1221</t>
  </si>
  <si>
    <t>DKE1235</t>
  </si>
  <si>
    <t>DTN1236</t>
  </si>
  <si>
    <t>DTN1233</t>
  </si>
  <si>
    <t>DKE1242</t>
  </si>
  <si>
    <t>DTO1211</t>
  </si>
  <si>
    <t>Toán - Ứng dụng</t>
  </si>
  <si>
    <t>DTU1212</t>
  </si>
  <si>
    <t>DTO1221</t>
  </si>
  <si>
    <t>DTO1231</t>
  </si>
  <si>
    <t>DTU1232</t>
  </si>
  <si>
    <t>DTU1241</t>
  </si>
  <si>
    <t>DTU1242</t>
  </si>
  <si>
    <t>DDU1242</t>
  </si>
  <si>
    <t>DDU1241</t>
  </si>
  <si>
    <t>DQT1212</t>
  </si>
  <si>
    <t>Văn hóa và Du lịch</t>
  </si>
  <si>
    <t>DVI1221</t>
  </si>
  <si>
    <t>DVI1223</t>
  </si>
  <si>
    <t>DQT1222</t>
  </si>
  <si>
    <t>DDL1221</t>
  </si>
  <si>
    <t>DDL1222</t>
  </si>
  <si>
    <t>DVI1232</t>
  </si>
  <si>
    <t>DQT1232</t>
  </si>
  <si>
    <t>DDL1231</t>
  </si>
  <si>
    <t>DDL1232</t>
  </si>
  <si>
    <t>Tổng cộng danh sách này có 172 sinh viên./.</t>
  </si>
  <si>
    <t>Thành phố Hồ Chí Minh, ngày tháng 12 năm 2025</t>
  </si>
  <si>
    <t>TL. HIỆU TRƯỞNG</t>
  </si>
  <si>
    <t>TRƯỞNG PHÒNG CÔNG TÁC SINH VIÊN</t>
  </si>
  <si>
    <t>Tào Hữu Đạt</t>
  </si>
  <si>
    <t>3.43</t>
  </si>
  <si>
    <t>Giáo dục Chính trị</t>
  </si>
  <si>
    <t>3.90</t>
  </si>
  <si>
    <t>3.33</t>
  </si>
  <si>
    <t>3.71</t>
  </si>
  <si>
    <t>3.54</t>
  </si>
  <si>
    <t>3.70</t>
  </si>
  <si>
    <t>3.53</t>
  </si>
  <si>
    <t>3.77</t>
  </si>
  <si>
    <t>3.88</t>
  </si>
  <si>
    <t>3.68</t>
  </si>
  <si>
    <t>3.41</t>
  </si>
  <si>
    <t>3.79</t>
  </si>
  <si>
    <t>3.74</t>
  </si>
  <si>
    <t>3.72</t>
  </si>
  <si>
    <t>3.29</t>
  </si>
  <si>
    <t>3.52</t>
  </si>
  <si>
    <t>3.80</t>
  </si>
  <si>
    <t>3.59</t>
  </si>
  <si>
    <t>Hồ Thị Thuý Diểm</t>
  </si>
  <si>
    <t>3.58</t>
  </si>
  <si>
    <t>2.86</t>
  </si>
  <si>
    <t>3.86</t>
  </si>
  <si>
    <t>3.24</t>
  </si>
  <si>
    <t>3.34</t>
  </si>
  <si>
    <t>4.00</t>
  </si>
  <si>
    <t>3.67</t>
  </si>
  <si>
    <t>3.26</t>
  </si>
  <si>
    <t>3.27</t>
  </si>
  <si>
    <t>3.50</t>
  </si>
  <si>
    <t>2.97</t>
  </si>
  <si>
    <t>3.30</t>
  </si>
  <si>
    <t>3.84</t>
  </si>
  <si>
    <t>3.91</t>
  </si>
  <si>
    <t>3.25</t>
  </si>
  <si>
    <t>3.31</t>
  </si>
  <si>
    <t>Trương Thuỳ Trang</t>
  </si>
  <si>
    <t>3.32</t>
  </si>
  <si>
    <t>2.91</t>
  </si>
  <si>
    <t>Tài chính – Kế toán</t>
  </si>
  <si>
    <t>3.95</t>
  </si>
  <si>
    <t>2.81</t>
  </si>
  <si>
    <t>Đỗ Thảo Linh</t>
  </si>
  <si>
    <t>3.82</t>
  </si>
  <si>
    <t>Nguyễn Đỗ Minh Phương</t>
  </si>
  <si>
    <t>2.83</t>
  </si>
  <si>
    <t>Khiếu Thị Thuỳ Dương</t>
  </si>
  <si>
    <t>3.49</t>
  </si>
  <si>
    <t>Văn hoá và Du lịch</t>
  </si>
  <si>
    <t>3.18</t>
  </si>
  <si>
    <t>3.55</t>
  </si>
  <si>
    <t>3.44</t>
  </si>
  <si>
    <t>2.84</t>
  </si>
  <si>
    <t>3.00</t>
  </si>
  <si>
    <t>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</si>
</sst>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scheme val="minor"/>
    </font>
    <font>
      <b/>
      <sz val="12"/>
      <color theme="1"/>
      <name val="Times New Roman"/>
    </font>
    <font>
      <sz val="10"/>
      <color theme="1"/>
      <name val="Times New Roman"/>
    </font>
    <font>
      <b/>
      <sz val="15"/>
      <color rgb="FFFFFFFF"/>
      <name val="Times New Roman"/>
    </font>
    <font>
      <sz val="10"/>
      <name val="Arial"/>
    </font>
    <font>
      <b/>
      <sz val="10"/>
      <color theme="1"/>
      <name val="Times New Roman"/>
    </font>
    <font>
      <b/>
      <sz val="11"/>
      <color theme="1"/>
      <name val="Times New Roman"/>
    </font>
    <font>
      <u/>
      <sz val="10"/>
      <color theme="1"/>
      <name val="Times New Roman"/>
    </font>
    <font>
      <sz val="11"/>
      <color rgb="FF000000"/>
      <name val="Times New Roman"/>
    </font>
    <font>
      <u/>
      <sz val="10"/>
      <color theme="1"/>
      <name val="Times New Roman"/>
    </font>
    <font>
      <u/>
      <sz val="11"/>
      <color theme="1"/>
      <name val="Times New Roman"/>
    </font>
    <font>
      <u/>
      <sz val="10"/>
      <color theme="1"/>
      <name val="Times New Roman"/>
    </font>
    <font>
      <u/>
      <sz val="10"/>
      <color theme="1"/>
      <name val="Times New Roman"/>
    </font>
    <font>
      <sz val="11"/>
      <color theme="1"/>
      <name val="Times New Roman"/>
    </font>
    <font>
      <u/>
      <sz val="11"/>
      <color theme="1"/>
      <name val="Times New Roman"/>
    </font>
    <font>
      <u/>
      <sz val="11"/>
      <color theme="1"/>
      <name val="Times New Roman"/>
    </font>
    <font>
      <u/>
      <sz val="11"/>
      <color theme="1"/>
      <name val="Times New Roman"/>
    </font>
    <font>
      <u/>
      <sz val="11"/>
      <color rgb="FF0000FF"/>
      <name val="Times New Roman"/>
    </font>
    <font>
      <b/>
      <sz val="13"/>
      <color rgb="FFFFFFFF"/>
      <name val="Times New Roman"/>
    </font>
    <font>
      <b/>
      <sz val="13"/>
      <color rgb="FF0000FF"/>
      <name val="Times New Roman"/>
    </font>
    <font>
      <sz val="13"/>
      <color theme="1"/>
      <name val="&quot;Times New Roman&quot;"/>
    </font>
    <font>
      <b/>
      <sz val="13"/>
      <color theme="1"/>
      <name val="&quot;Times New Roman&quot;"/>
    </font>
    <font>
      <sz val="13"/>
      <color theme="1"/>
      <name val="Calibri"/>
    </font>
    <font>
      <sz val="11"/>
      <color theme="1"/>
      <name val="Calibri"/>
    </font>
    <font>
      <b/>
      <sz val="14"/>
      <color theme="1"/>
      <name val="&quot;Times New Roman&quot;"/>
    </font>
    <font>
      <sz val="12"/>
      <color theme="1"/>
      <name val="&quot;Times New Roman&quot;"/>
    </font>
    <font>
      <i/>
      <sz val="12"/>
      <color theme="1"/>
      <name val="&quot;Times New Roman&quot;"/>
    </font>
    <font>
      <b/>
      <sz val="12"/>
      <color theme="1"/>
      <name val="&quot;Times New Roman&quot;"/>
    </font>
    <font>
      <sz val="12"/>
      <color rgb="FF000000"/>
      <name val="&quot;Times New Roman&quot;"/>
    </font>
    <font>
      <sz val="12"/>
      <color theme="1"/>
      <name val="Times New Roman"/>
    </font>
  </fonts>
  <fills count="9">
    <fill>
      <patternFill patternType="none"/>
    </fill>
    <fill>
      <patternFill patternType="gray125"/>
    </fill>
    <fill>
      <patternFill patternType="solid">
        <fgColor rgb="FF1155CC"/>
        <bgColor rgb="FF1155CC"/>
      </patternFill>
    </fill>
    <fill>
      <patternFill patternType="solid">
        <fgColor rgb="FFB6D7A8"/>
        <bgColor rgb="FFB6D7A8"/>
      </patternFill>
    </fill>
    <fill>
      <patternFill patternType="solid">
        <fgColor rgb="FFA4C2F4"/>
        <bgColor rgb="FFA4C2F4"/>
      </patternFill>
    </fill>
    <fill>
      <patternFill patternType="solid">
        <fgColor rgb="FFDEEAFF"/>
        <bgColor rgb="FFDEEAFF"/>
      </patternFill>
    </fill>
    <fill>
      <patternFill patternType="solid">
        <fgColor rgb="FFFFFF00"/>
        <bgColor rgb="FFFFFF00"/>
      </patternFill>
    </fill>
    <fill>
      <patternFill patternType="solid">
        <fgColor rgb="FFFFFFFF"/>
        <bgColor rgb="FFFFFFFF"/>
      </patternFill>
    </fill>
    <fill>
      <patternFill patternType="solid">
        <fgColor rgb="FFF1C232"/>
        <bgColor rgb="FFF1C232"/>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94">
    <xf numFmtId="0" fontId="0" fillId="0" borderId="0" xfId="0"/>
    <xf numFmtId="49" fontId="2" fillId="0" borderId="0" xfId="0" applyNumberFormat="1"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1" fillId="4" borderId="6" xfId="0" applyFont="1" applyFill="1"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vertical="center"/>
    </xf>
    <xf numFmtId="0" fontId="5" fillId="0" borderId="6" xfId="0" applyFont="1" applyBorder="1" applyAlignment="1">
      <alignment horizontal="center" vertical="center" wrapText="1"/>
    </xf>
    <xf numFmtId="49" fontId="2" fillId="0" borderId="6" xfId="0" applyNumberFormat="1" applyFont="1" applyBorder="1" applyAlignment="1">
      <alignment horizontal="center" vertical="center"/>
    </xf>
    <xf numFmtId="49" fontId="2" fillId="5" borderId="6" xfId="0" applyNumberFormat="1" applyFont="1" applyFill="1" applyBorder="1" applyAlignment="1">
      <alignment horizontal="center" vertical="center"/>
    </xf>
    <xf numFmtId="0" fontId="5" fillId="0" borderId="6" xfId="0" applyFont="1" applyBorder="1" applyAlignment="1">
      <alignment horizontal="center" vertical="center"/>
    </xf>
    <xf numFmtId="0" fontId="6" fillId="0" borderId="6" xfId="0" applyFont="1" applyBorder="1" applyAlignment="1">
      <alignment vertical="center"/>
    </xf>
    <xf numFmtId="0" fontId="7" fillId="0" borderId="6" xfId="0" applyFont="1" applyBorder="1" applyAlignment="1">
      <alignment vertical="center"/>
    </xf>
    <xf numFmtId="0" fontId="8" fillId="0" borderId="6" xfId="0" applyFont="1" applyBorder="1" applyAlignment="1">
      <alignment vertical="center"/>
    </xf>
    <xf numFmtId="0" fontId="2" fillId="5" borderId="6" xfId="0" applyFont="1" applyFill="1" applyBorder="1" applyAlignment="1">
      <alignment vertical="center"/>
    </xf>
    <xf numFmtId="0" fontId="2" fillId="5" borderId="6" xfId="0" applyFont="1" applyFill="1" applyBorder="1" applyAlignment="1">
      <alignment horizontal="center" vertical="center"/>
    </xf>
    <xf numFmtId="0" fontId="5" fillId="5" borderId="6" xfId="0" applyFont="1" applyFill="1" applyBorder="1" applyAlignment="1">
      <alignment horizontal="center" vertical="center"/>
    </xf>
    <xf numFmtId="0" fontId="9" fillId="5" borderId="6" xfId="0" applyFont="1" applyFill="1" applyBorder="1" applyAlignment="1">
      <alignment vertical="center"/>
    </xf>
    <xf numFmtId="0" fontId="8" fillId="5" borderId="6" xfId="0" applyFont="1" applyFill="1" applyBorder="1" applyAlignment="1">
      <alignment vertical="center"/>
    </xf>
    <xf numFmtId="0" fontId="10" fillId="5" borderId="6" xfId="0" applyFont="1" applyFill="1" applyBorder="1" applyAlignment="1">
      <alignment vertical="center"/>
    </xf>
    <xf numFmtId="0" fontId="11" fillId="0" borderId="6" xfId="0" applyFont="1" applyBorder="1" applyAlignment="1">
      <alignment vertical="center"/>
    </xf>
    <xf numFmtId="0" fontId="2" fillId="6" borderId="6" xfId="0" applyFont="1" applyFill="1" applyBorder="1" applyAlignment="1">
      <alignment vertical="center"/>
    </xf>
    <xf numFmtId="0" fontId="2" fillId="6" borderId="6" xfId="0" applyFont="1" applyFill="1" applyBorder="1" applyAlignment="1">
      <alignment horizontal="center" vertical="center"/>
    </xf>
    <xf numFmtId="49" fontId="2" fillId="6" borderId="6" xfId="0" applyNumberFormat="1" applyFont="1" applyFill="1" applyBorder="1" applyAlignment="1">
      <alignment horizontal="center" vertical="center"/>
    </xf>
    <xf numFmtId="0" fontId="5" fillId="6" borderId="6" xfId="0" applyFont="1" applyFill="1" applyBorder="1" applyAlignment="1">
      <alignment horizontal="center" vertical="center"/>
    </xf>
    <xf numFmtId="0" fontId="12" fillId="6" borderId="6" xfId="0" applyFont="1" applyFill="1" applyBorder="1" applyAlignment="1">
      <alignment vertical="center"/>
    </xf>
    <xf numFmtId="0" fontId="2" fillId="6" borderId="0" xfId="0" applyFont="1" applyFill="1" applyAlignment="1">
      <alignment vertical="center"/>
    </xf>
    <xf numFmtId="0" fontId="13" fillId="5" borderId="6" xfId="0" applyFont="1" applyFill="1" applyBorder="1" applyAlignment="1">
      <alignment vertical="center"/>
    </xf>
    <xf numFmtId="0" fontId="2" fillId="5" borderId="6" xfId="0" applyFont="1" applyFill="1" applyBorder="1" applyAlignment="1">
      <alignment vertical="center" wrapText="1"/>
    </xf>
    <xf numFmtId="0" fontId="6" fillId="0" borderId="6" xfId="0" applyFont="1" applyBorder="1" applyAlignment="1">
      <alignment horizontal="center" vertical="center"/>
    </xf>
    <xf numFmtId="0" fontId="14" fillId="0" borderId="6" xfId="0" applyFont="1" applyBorder="1" applyAlignment="1">
      <alignment vertical="center"/>
    </xf>
    <xf numFmtId="0" fontId="2" fillId="5" borderId="6" xfId="0" quotePrefix="1" applyFont="1" applyFill="1" applyBorder="1" applyAlignment="1">
      <alignment horizontal="center" vertical="center"/>
    </xf>
    <xf numFmtId="0" fontId="15" fillId="5" borderId="6" xfId="0" applyFont="1" applyFill="1" applyBorder="1" applyAlignment="1">
      <alignment vertical="center"/>
    </xf>
    <xf numFmtId="0" fontId="5" fillId="7" borderId="6" xfId="0" applyFont="1" applyFill="1" applyBorder="1" applyAlignment="1">
      <alignment horizontal="center" vertical="center"/>
    </xf>
    <xf numFmtId="0" fontId="16" fillId="0" borderId="6" xfId="0" applyFont="1" applyBorder="1" applyAlignment="1">
      <alignment vertical="center"/>
    </xf>
    <xf numFmtId="0" fontId="17" fillId="0" borderId="6" xfId="0" applyFont="1" applyBorder="1" applyAlignment="1">
      <alignment vertical="center"/>
    </xf>
    <xf numFmtId="0" fontId="19" fillId="8" borderId="6" xfId="0" applyFont="1" applyFill="1" applyBorder="1" applyAlignment="1">
      <alignment horizontal="center" vertical="center"/>
    </xf>
    <xf numFmtId="49" fontId="2" fillId="7" borderId="0" xfId="0" applyNumberFormat="1" applyFont="1" applyFill="1" applyAlignment="1">
      <alignment horizontal="center" vertical="center"/>
    </xf>
    <xf numFmtId="49" fontId="2" fillId="7" borderId="6" xfId="0" applyNumberFormat="1" applyFont="1" applyFill="1" applyBorder="1" applyAlignment="1">
      <alignment horizontal="center" vertical="center"/>
    </xf>
    <xf numFmtId="0" fontId="13" fillId="0" borderId="6" xfId="0" applyFont="1" applyBorder="1" applyAlignment="1">
      <alignment horizontal="center" vertical="center"/>
    </xf>
    <xf numFmtId="0" fontId="2" fillId="0" borderId="6" xfId="0" applyFont="1" applyBorder="1" applyAlignment="1">
      <alignment vertical="center" wrapText="1"/>
    </xf>
    <xf numFmtId="0" fontId="2" fillId="0" borderId="6" xfId="0" quotePrefix="1" applyFont="1" applyBorder="1" applyAlignment="1">
      <alignment horizontal="center" vertical="center"/>
    </xf>
    <xf numFmtId="0" fontId="13" fillId="0" borderId="6" xfId="0" applyFont="1" applyBorder="1" applyAlignment="1">
      <alignment vertical="center" wrapText="1"/>
    </xf>
    <xf numFmtId="0" fontId="2" fillId="7" borderId="0" xfId="0" applyFont="1" applyFill="1" applyAlignment="1">
      <alignment vertical="center"/>
    </xf>
    <xf numFmtId="0" fontId="20" fillId="0" borderId="0" xfId="0" applyFont="1" applyAlignment="1">
      <alignment horizontal="center"/>
    </xf>
    <xf numFmtId="0" fontId="20" fillId="0" borderId="0" xfId="0" applyFont="1" applyAlignment="1">
      <alignment horizontal="left" vertical="top"/>
    </xf>
    <xf numFmtId="0" fontId="22" fillId="0" borderId="0" xfId="0" applyFont="1"/>
    <xf numFmtId="0" fontId="23" fillId="0" borderId="0" xfId="0" applyFont="1" applyAlignment="1">
      <alignment horizontal="left" vertical="top"/>
    </xf>
    <xf numFmtId="0" fontId="20" fillId="0" borderId="0" xfId="0" applyFont="1" applyAlignment="1">
      <alignment horizontal="left"/>
    </xf>
    <xf numFmtId="0" fontId="25" fillId="0" borderId="6" xfId="0" applyFont="1" applyBorder="1" applyAlignment="1">
      <alignment horizontal="center"/>
    </xf>
    <xf numFmtId="0" fontId="25" fillId="0" borderId="0" xfId="0" applyFont="1" applyAlignment="1">
      <alignment horizontal="center"/>
    </xf>
    <xf numFmtId="0" fontId="25" fillId="0" borderId="0" xfId="0" applyFont="1" applyAlignment="1">
      <alignment horizontal="left" vertical="top"/>
    </xf>
    <xf numFmtId="0" fontId="25" fillId="0" borderId="0" xfId="0" applyFont="1"/>
    <xf numFmtId="0" fontId="25" fillId="0" borderId="0" xfId="0" applyFont="1" applyAlignment="1">
      <alignment horizontal="left"/>
    </xf>
    <xf numFmtId="0" fontId="25" fillId="0" borderId="8" xfId="0" applyFont="1" applyBorder="1" applyAlignment="1">
      <alignment horizontal="center"/>
    </xf>
    <xf numFmtId="0" fontId="25" fillId="0" borderId="8" xfId="0" applyFont="1" applyBorder="1" applyAlignment="1">
      <alignment horizontal="left"/>
    </xf>
    <xf numFmtId="0" fontId="25" fillId="0" borderId="9" xfId="0" applyFont="1" applyBorder="1" applyAlignment="1">
      <alignment horizontal="center"/>
    </xf>
    <xf numFmtId="0" fontId="23" fillId="0" borderId="0" xfId="0" applyFont="1"/>
    <xf numFmtId="0" fontId="25" fillId="0" borderId="0" xfId="0" applyFont="1" applyAlignment="1">
      <alignment horizontal="center" vertical="top"/>
    </xf>
    <xf numFmtId="0" fontId="28" fillId="0" borderId="0" xfId="0" applyFont="1" applyAlignment="1">
      <alignment horizontal="center"/>
    </xf>
    <xf numFmtId="0" fontId="6" fillId="0" borderId="1" xfId="0" applyFont="1" applyBorder="1" applyAlignment="1">
      <alignment vertical="center"/>
    </xf>
    <xf numFmtId="0" fontId="4" fillId="0" borderId="7" xfId="0" applyFont="1" applyBorder="1"/>
    <xf numFmtId="0" fontId="4" fillId="0" borderId="5" xfId="0" applyFont="1" applyBorder="1"/>
    <xf numFmtId="0" fontId="6" fillId="5" borderId="1" xfId="0" applyFont="1" applyFill="1" applyBorder="1" applyAlignment="1">
      <alignment vertical="center"/>
    </xf>
    <xf numFmtId="0" fontId="2" fillId="2" borderId="2" xfId="0" applyFont="1" applyFill="1" applyBorder="1" applyAlignment="1">
      <alignment vertical="center"/>
    </xf>
    <xf numFmtId="0" fontId="4" fillId="0" borderId="3" xfId="0" applyFont="1" applyBorder="1"/>
    <xf numFmtId="0" fontId="4" fillId="0" borderId="4" xfId="0" applyFont="1" applyBorder="1"/>
    <xf numFmtId="0" fontId="6" fillId="5" borderId="7" xfId="0" applyFont="1" applyFill="1" applyBorder="1" applyAlignment="1">
      <alignment vertical="center"/>
    </xf>
    <xf numFmtId="0" fontId="5" fillId="0" borderId="1" xfId="0" applyFont="1" applyBorder="1" applyAlignment="1">
      <alignment horizontal="center" vertical="center"/>
    </xf>
    <xf numFmtId="0" fontId="18" fillId="2" borderId="2" xfId="0" applyFont="1" applyFill="1" applyBorder="1" applyAlignment="1">
      <alignment horizontal="center" vertical="center"/>
    </xf>
    <xf numFmtId="0" fontId="5" fillId="0" borderId="1" xfId="0" applyFont="1" applyBorder="1" applyAlignment="1">
      <alignment horizontal="center" vertical="center" wrapText="1"/>
    </xf>
    <xf numFmtId="0" fontId="1" fillId="4" borderId="2" xfId="0" applyFont="1" applyFill="1" applyBorder="1" applyAlignment="1">
      <alignment horizontal="center" vertical="center"/>
    </xf>
    <xf numFmtId="0" fontId="1" fillId="4" borderId="1" xfId="0" applyFont="1" applyFill="1" applyBorder="1" applyAlignment="1">
      <alignment horizontal="center" vertical="center"/>
    </xf>
    <xf numFmtId="0" fontId="1" fillId="0" borderId="0" xfId="0" applyFont="1" applyAlignment="1">
      <alignment horizontal="center" vertical="center" wrapText="1"/>
    </xf>
    <xf numFmtId="0" fontId="0" fillId="0" borderId="0" xfId="0"/>
    <xf numFmtId="0" fontId="3" fillId="2" borderId="0" xfId="0" applyFont="1" applyFill="1" applyAlignment="1">
      <alignment horizontal="center" vertical="center" wrapText="1"/>
    </xf>
    <xf numFmtId="0" fontId="1" fillId="3" borderId="1" xfId="0" applyFont="1" applyFill="1" applyBorder="1" applyAlignment="1">
      <alignment horizontal="center" vertical="center"/>
    </xf>
    <xf numFmtId="49" fontId="1"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xf>
    <xf numFmtId="0" fontId="25" fillId="0" borderId="1" xfId="0" applyFont="1" applyBorder="1" applyAlignment="1">
      <alignment horizontal="center"/>
    </xf>
    <xf numFmtId="0" fontId="25" fillId="0" borderId="1" xfId="0" applyFont="1" applyBorder="1" applyAlignment="1">
      <alignment horizontal="left"/>
    </xf>
    <xf numFmtId="0" fontId="25" fillId="0" borderId="7" xfId="0" applyFont="1" applyBorder="1" applyAlignment="1">
      <alignment horizontal="center"/>
    </xf>
    <xf numFmtId="0" fontId="25" fillId="0" borderId="7" xfId="0" applyFont="1" applyBorder="1" applyAlignment="1">
      <alignment horizontal="left"/>
    </xf>
    <xf numFmtId="0" fontId="26" fillId="0" borderId="0" xfId="0" applyFont="1" applyAlignment="1">
      <alignment horizontal="center"/>
    </xf>
    <xf numFmtId="0" fontId="27" fillId="0" borderId="0" xfId="0" applyFont="1" applyAlignment="1">
      <alignment horizontal="center"/>
    </xf>
    <xf numFmtId="0" fontId="20" fillId="0" borderId="0" xfId="0" applyFont="1" applyAlignment="1">
      <alignment horizontal="center"/>
    </xf>
    <xf numFmtId="0" fontId="21" fillId="0" borderId="0" xfId="0" applyFont="1" applyAlignment="1">
      <alignment horizontal="center"/>
    </xf>
    <xf numFmtId="0" fontId="24" fillId="0" borderId="0" xfId="0" applyFont="1" applyAlignment="1">
      <alignment horizontal="center"/>
    </xf>
    <xf numFmtId="0" fontId="25" fillId="0" borderId="10" xfId="0" applyFont="1" applyBorder="1"/>
    <xf numFmtId="0" fontId="4" fillId="0" borderId="10" xfId="0" applyFont="1" applyBorder="1"/>
    <xf numFmtId="0" fontId="5" fillId="0" borderId="1" xfId="0" applyFont="1" applyBorder="1" applyAlignment="1">
      <alignment vertical="center" wrapText="1"/>
    </xf>
    <xf numFmtId="0" fontId="5" fillId="5" borderId="1" xfId="0" applyFont="1" applyFill="1" applyBorder="1" applyAlignment="1">
      <alignment vertical="center"/>
    </xf>
    <xf numFmtId="0" fontId="5" fillId="5" borderId="1" xfId="0" applyFont="1" applyFill="1" applyBorder="1" applyAlignment="1">
      <alignment vertical="center" wrapText="1"/>
    </xf>
    <xf numFmtId="0" fontId="5" fillId="0" borderId="1" xfId="0" applyFont="1" applyBorder="1" applyAlignment="1">
      <alignment vertic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document/d/1K6j-uBVheusnJNIjLBwq_STE9oF1nDzb/edit?usp=drive_link&amp;ouid=105199658487974895650&amp;rtpof=true&amp;sd=true" TargetMode="External"/><Relationship Id="rId299" Type="http://schemas.openxmlformats.org/officeDocument/2006/relationships/hyperlink" Target="https://drive.google.com/open?id=1XcYVfbgTkQ9PeE_snT3_6v1DSDG5hBeh&amp;usp=drive_copy" TargetMode="External"/><Relationship Id="rId21" Type="http://schemas.openxmlformats.org/officeDocument/2006/relationships/hyperlink" Target="https://docs.google.com/document/d/1HjK1kSH7hMj5cYALTcI2PBN37rrn23nA/edit?usp=drive_link&amp;ouid=105199658487974895650&amp;rtpof=true&amp;sd=true" TargetMode="External"/><Relationship Id="rId63" Type="http://schemas.openxmlformats.org/officeDocument/2006/relationships/hyperlink" Target="https://docs.google.com/document/d/14hiiB8cRwclQI18pmv6U4p4O5b6KhjIb/edit?usp=drive_link&amp;ouid=105199658487974895650&amp;rtpof=true&amp;sd=true" TargetMode="External"/><Relationship Id="rId159" Type="http://schemas.openxmlformats.org/officeDocument/2006/relationships/hyperlink" Target="https://drive.google.com/drive/folders/1-w0P8_ykZj9M9H81XiRGfYhB0FdK8dyl" TargetMode="External"/><Relationship Id="rId170" Type="http://schemas.openxmlformats.org/officeDocument/2006/relationships/hyperlink" Target="https://drive.google.com/drive/folders/11N1YJABY-VCcLGJtmlL4_RlKUAn-h9EZ" TargetMode="External"/><Relationship Id="rId226" Type="http://schemas.openxmlformats.org/officeDocument/2006/relationships/hyperlink" Target="https://drive.google.com/open?id=1brPorHME4IvLc9I_08purWSCPZTuTi2e&amp;usp=drive_copy" TargetMode="External"/><Relationship Id="rId268" Type="http://schemas.openxmlformats.org/officeDocument/2006/relationships/hyperlink" Target="https://drive.google.com/open?id=19WldkeiZFcrHborbh_FABtb3vV3O8V-s&amp;usp=drive_copy" TargetMode="External"/><Relationship Id="rId32" Type="http://schemas.openxmlformats.org/officeDocument/2006/relationships/hyperlink" Target="https://docs.google.com/document/d/1QtESb7Y1dDIHHKiXqBRp04AwPuDUwmY8/edit?usp=drive_link&amp;ouid=105199658487974895650&amp;rtpof=true&amp;sd=true" TargetMode="External"/><Relationship Id="rId74" Type="http://schemas.openxmlformats.org/officeDocument/2006/relationships/hyperlink" Target="https://drive.google.com/open?id=1TjboU-kDnmF6wRRU-Nxov9Q4i-sF5DUQ&amp;usp=drive_copy" TargetMode="External"/><Relationship Id="rId128" Type="http://schemas.openxmlformats.org/officeDocument/2006/relationships/hyperlink" Target="https://drive.google.com/open?id=1DohV7tr-VVVk8XqtaZ1OSpALbyOb9k3a&amp;usp=drive_copy" TargetMode="External"/><Relationship Id="rId5" Type="http://schemas.openxmlformats.org/officeDocument/2006/relationships/hyperlink" Target="https://docs.google.com/document/d/1Ua1UgHmXn9P1-xrBZsvy9lX1tWx8Yd8E/edit?usp=drive_link&amp;ouid=105199658487974895650&amp;rtpof=true&amp;sd=true" TargetMode="External"/><Relationship Id="rId181" Type="http://schemas.openxmlformats.org/officeDocument/2006/relationships/hyperlink" Target="https://drive.google.com/open?id=1X0Yn7LwS_jYAFYGeFUZCI_EQUnzhC1p5&amp;usp=drive_copy" TargetMode="External"/><Relationship Id="rId237" Type="http://schemas.openxmlformats.org/officeDocument/2006/relationships/hyperlink" Target="https://drive.google.com/open?id=1N6-7to-J_fOV-VWaFXpnnxcNAoK8PJwU&amp;usp=drive_copy" TargetMode="External"/><Relationship Id="rId279" Type="http://schemas.openxmlformats.org/officeDocument/2006/relationships/hyperlink" Target="https://drive.google.com/open?id=1ElTyo4lRg_fuhmtxA0SPZXT-kn3KNF7I&amp;usp=drive_copy" TargetMode="External"/><Relationship Id="rId43" Type="http://schemas.openxmlformats.org/officeDocument/2006/relationships/hyperlink" Target="https://docs.google.com/document/d/1ZOeo49bKCQoqCcKmk-aU36bccfBZtfy2/edit?usp=drive_web&amp;ouid=107639235496425521759&amp;rtpof=true" TargetMode="External"/><Relationship Id="rId139" Type="http://schemas.openxmlformats.org/officeDocument/2006/relationships/hyperlink" Target="https://drive.google.com/open?id=1gJ76UpppkmZpLHAsilEu4FPc7VK73FhB&amp;usp=drive_copy" TargetMode="External"/><Relationship Id="rId290" Type="http://schemas.openxmlformats.org/officeDocument/2006/relationships/hyperlink" Target="https://docs.google.com/document/d/1ogypTAoEfkrnfJbzyCy89JQb4YrfeqWa/edit?usp=drive_link&amp;ouid=105199658487974895650&amp;rtpof=true&amp;sd=true" TargetMode="External"/><Relationship Id="rId85" Type="http://schemas.openxmlformats.org/officeDocument/2006/relationships/hyperlink" Target="https://docs.google.com/document/d/1wFr2R6gGxEjyieVYfuC2zH3mIasccjxj/edit" TargetMode="External"/><Relationship Id="rId150" Type="http://schemas.openxmlformats.org/officeDocument/2006/relationships/hyperlink" Target="https://drive.google.com/open?id=1ER7AFrEjquqzVgfic446PC_SYvXard-f&amp;usp=drive_copy" TargetMode="External"/><Relationship Id="rId192" Type="http://schemas.openxmlformats.org/officeDocument/2006/relationships/hyperlink" Target="https://drive.google.com/drive/folders/1NTLhLEm9U0F1sojpLhawby7P8xbJpq08" TargetMode="External"/><Relationship Id="rId206" Type="http://schemas.openxmlformats.org/officeDocument/2006/relationships/hyperlink" Target="https://drive.google.com/open?id=1bzzSCCNr-UlxF0sLKxQaRZ4IsWYpinIP&amp;usp=drive_copy" TargetMode="External"/><Relationship Id="rId248" Type="http://schemas.openxmlformats.org/officeDocument/2006/relationships/hyperlink" Target="https://drive.google.com/open?id=1zTP3eyCcvUfttSaqGQeUxbMFH-en8bsc&amp;usp=drive_copy" TargetMode="External"/><Relationship Id="rId12" Type="http://schemas.openxmlformats.org/officeDocument/2006/relationships/hyperlink" Target="https://drive.google.com/open?id=1YfJ18H6lSSm817x2wKX3Un36IV0_uPKA&amp;usp=drive_copy" TargetMode="External"/><Relationship Id="rId108" Type="http://schemas.openxmlformats.org/officeDocument/2006/relationships/hyperlink" Target="https://drive.google.com/open?id=10210Ywat-TqPaXyxU8ibPOFylS64A_MU&amp;usp=drive_copy" TargetMode="External"/><Relationship Id="rId54" Type="http://schemas.openxmlformats.org/officeDocument/2006/relationships/hyperlink" Target="https://docs.google.com/document/d/1QJB1SHHb9QQWO2m9R2Nrf96C1c_wJIKk/edit?usp=drive_link&amp;ouid=105199658487974895650&amp;rtpof=true&amp;sd=true" TargetMode="External"/><Relationship Id="rId75" Type="http://schemas.openxmlformats.org/officeDocument/2006/relationships/hyperlink" Target="https://docs.google.com/document/d/1L13xOs14l5yYfylNc-9dpNCXwtNe7ilX/edit?usp=drive_link&amp;ouid=105199658487974895650&amp;rtpof=true&amp;sd=true" TargetMode="External"/><Relationship Id="rId96" Type="http://schemas.openxmlformats.org/officeDocument/2006/relationships/hyperlink" Target="https://drive.google.com/open?id=1fe9yG9fQvJkalU9SXHgES1mhwMXZifIR&amp;usp=drive_copy" TargetMode="External"/><Relationship Id="rId140" Type="http://schemas.openxmlformats.org/officeDocument/2006/relationships/hyperlink" Target="https://drive.google.com/open?id=1YYNY2aVWrLh6hXOTb9tK6h5NfpLmWpbr&amp;usp=drive_copy" TargetMode="External"/><Relationship Id="rId161" Type="http://schemas.openxmlformats.org/officeDocument/2006/relationships/hyperlink" Target="https://drive.google.com/drive/folders/1R-XVAzt24M15eZFwc-8ji3v41halVA3C" TargetMode="External"/><Relationship Id="rId182" Type="http://schemas.openxmlformats.org/officeDocument/2006/relationships/hyperlink" Target="https://docs.google.com/document/d/1EqMxtRuNV90-9wB6jqET_pw-f4Hky3Q4/edit?usp=drive_link&amp;ouid=105199658487974895650&amp;rtpof=true&amp;sd=true" TargetMode="External"/><Relationship Id="rId217" Type="http://schemas.openxmlformats.org/officeDocument/2006/relationships/hyperlink" Target="https://drive.google.com/open?id=1lhAZ14Mva3TnRTPezW8fn1CovE-SRPiA&amp;usp=drive_copy" TargetMode="External"/><Relationship Id="rId6" Type="http://schemas.openxmlformats.org/officeDocument/2006/relationships/hyperlink" Target="https://docs.google.com/document/d/11DH5er_3b4jA-d5q22grJTY3WK9y8EWf/edit?usp=drive_link&amp;ouid=105199658487974895650&amp;rtpof=true&amp;sd=true" TargetMode="External"/><Relationship Id="rId238" Type="http://schemas.openxmlformats.org/officeDocument/2006/relationships/hyperlink" Target="https://drive.google.com/open?id=1WtiYGFkieXy4FuWM_hs3rzAhx03F1Mta&amp;usp=drive_copy" TargetMode="External"/><Relationship Id="rId259" Type="http://schemas.openxmlformats.org/officeDocument/2006/relationships/hyperlink" Target="https://drive.google.com/open?id=19SEFvLHheH0rqYxDXZ1riOCs_6eRl9kv&amp;usp=drive_copy" TargetMode="External"/><Relationship Id="rId23" Type="http://schemas.openxmlformats.org/officeDocument/2006/relationships/hyperlink" Target="https://docs.google.com/document/d/1azbIN4g8OFgabgOohxG9dY0tSb_Z2uwL/edit?usp=drive_link&amp;ouid=105199658487974895650&amp;rtpof=true&amp;sd=true" TargetMode="External"/><Relationship Id="rId119" Type="http://schemas.openxmlformats.org/officeDocument/2006/relationships/hyperlink" Target="https://docs.google.com/document/d/1SHuNXTvMFjMNi0rkcM6um9lo5Cr3aM46/edit?usp=drive_link&amp;ouid=105199658487974895650&amp;rtpof=true&amp;sd=true" TargetMode="External"/><Relationship Id="rId270" Type="http://schemas.openxmlformats.org/officeDocument/2006/relationships/hyperlink" Target="https://drive.google.com/open?id=1_OFFqxo2MYu8xHlIAbinguEqhmrbEh4h&amp;usp=drive_copy" TargetMode="External"/><Relationship Id="rId291" Type="http://schemas.openxmlformats.org/officeDocument/2006/relationships/hyperlink" Target="https://drive.google.com/open?id=1HmtOWtxnmXEn_uuQg_ce4IxZcbMUbm-TieqJX4FG6Zg&amp;usp=drive_copy" TargetMode="External"/><Relationship Id="rId44" Type="http://schemas.openxmlformats.org/officeDocument/2006/relationships/hyperlink" Target="https://drive.google.com/drive/folders/1M_6OwEy3SiM0wKkHUHo20OK-ACrzLFV4" TargetMode="External"/><Relationship Id="rId65" Type="http://schemas.openxmlformats.org/officeDocument/2006/relationships/hyperlink" Target="https://docs.google.com/document/d/1sJUDz8BWtS-TX1Z73dp9SQr8Nc9teIrS/edit?usp=drive_link&amp;ouid=105199658487974895650&amp;rtpof=true&amp;sd=true" TargetMode="External"/><Relationship Id="rId86" Type="http://schemas.openxmlformats.org/officeDocument/2006/relationships/hyperlink" Target="https://drive.google.com/open?id=1JOixgI5Lkqo5VsGpNydd0LUKimQW6XU3&amp;usp=drive_copy" TargetMode="External"/><Relationship Id="rId130" Type="http://schemas.openxmlformats.org/officeDocument/2006/relationships/hyperlink" Target="https://drive.google.com/open?id=1S6A-5i3XgjgA5C42rIn1-IPsLphq-MJv&amp;usp=drive_copy" TargetMode="External"/><Relationship Id="rId151" Type="http://schemas.openxmlformats.org/officeDocument/2006/relationships/hyperlink" Target="https://drive.google.com/open?id=1FyAdcVBh4FXPpMlRyJvl5ENHJtwMAoya&amp;usp=drive_copy" TargetMode="External"/><Relationship Id="rId172" Type="http://schemas.openxmlformats.org/officeDocument/2006/relationships/hyperlink" Target="https://drive.google.com/open?id=1YuGEHNHwNTyN-ZktYZ_LjTwnaQyiNA8Q&amp;usp=drive_copy" TargetMode="External"/><Relationship Id="rId193" Type="http://schemas.openxmlformats.org/officeDocument/2006/relationships/hyperlink" Target="https://drive.google.com/open?id=1M3Oe-7hMqKMlQdj_qIDlT3KG69Lasp81&amp;usp=drive_copy" TargetMode="External"/><Relationship Id="rId207" Type="http://schemas.openxmlformats.org/officeDocument/2006/relationships/hyperlink" Target="https://drive.google.com/open?id=1sQWzmuiFb0OEo49JN7eU6sVpaJxMLXF8&amp;usp=drive_copy" TargetMode="External"/><Relationship Id="rId228" Type="http://schemas.openxmlformats.org/officeDocument/2006/relationships/hyperlink" Target="https://drive.google.com/open?id=1T_Wa4vHZgHnwJYggNaCCNdch76N1zWAV&amp;usp=drive_copy" TargetMode="External"/><Relationship Id="rId249" Type="http://schemas.openxmlformats.org/officeDocument/2006/relationships/hyperlink" Target="https://drive.google.com/open?id=1iLtTbw42voZT74GnKWZ6VI-o5o2feqi1&amp;usp=drive_copy" TargetMode="External"/><Relationship Id="rId13" Type="http://schemas.openxmlformats.org/officeDocument/2006/relationships/hyperlink" Target="https://docs.google.com/document/d/1vQunDtpmZ_ljTjEX6aiPxeywvkmO7_hQ/edit?usp=drive_link&amp;ouid=105199658487974895650&amp;rtpof=true&amp;sd=true" TargetMode="External"/><Relationship Id="rId109" Type="http://schemas.openxmlformats.org/officeDocument/2006/relationships/hyperlink" Target="https://drive.google.com/open?id=1flVJBF750iZ1ch2j7WNuVQwPdBQ82QKr&amp;usp=drive_copy" TargetMode="External"/><Relationship Id="rId260" Type="http://schemas.openxmlformats.org/officeDocument/2006/relationships/hyperlink" Target="https://drive.google.com/open?id=1__LwPklmPjeEeQ9yEfIJmdq8nWGAkzH2&amp;usp=drive_copy" TargetMode="External"/><Relationship Id="rId281" Type="http://schemas.openxmlformats.org/officeDocument/2006/relationships/hyperlink" Target="https://drive.google.com/open?id=1vt1R3q-vXz7BvO00GwAxVJ2J6wSTAt4b&amp;usp=drive_copy" TargetMode="External"/><Relationship Id="rId34" Type="http://schemas.openxmlformats.org/officeDocument/2006/relationships/hyperlink" Target="https://docs.google.com/document/d/1YT4BXxivftu9t_HbnC2OcEhyqrw5atsr/edit?usp=drive_link&amp;ouid=105199658487974895650&amp;rtpof=true&amp;sd=true" TargetMode="External"/><Relationship Id="rId55" Type="http://schemas.openxmlformats.org/officeDocument/2006/relationships/hyperlink" Target="https://docs.google.com/document/d/1ieRO-bOWtVTSRfUUQN3lDFDgeXg5Ao75/edit?usp=drive_link&amp;ouid=105199658487974895650&amp;rtpof=true&amp;sd=true" TargetMode="External"/><Relationship Id="rId76" Type="http://schemas.openxmlformats.org/officeDocument/2006/relationships/hyperlink" Target="https://docs.google.com/document/d/1K3vs1nntFm9QGEshD_kkcIDBh2gruPPP/edit?usp=drive_link&amp;ouid=105199658487974895650&amp;rtpof=true&amp;sd=true" TargetMode="External"/><Relationship Id="rId97" Type="http://schemas.openxmlformats.org/officeDocument/2006/relationships/hyperlink" Target="https://drive.google.com/open?id=1JtpdRJsMQoTIfpkbr9E0hA189XnOg80U&amp;usp=drive_copy" TargetMode="External"/><Relationship Id="rId120" Type="http://schemas.openxmlformats.org/officeDocument/2006/relationships/hyperlink" Target="https://docs.google.com/document/d/1YimCmCQLtl4BdZkBowT6Tu6wn_XE5xpC/edit?usp=drive_link&amp;ouid=105199658487974895650&amp;rtpof=true&amp;sd=true" TargetMode="External"/><Relationship Id="rId141" Type="http://schemas.openxmlformats.org/officeDocument/2006/relationships/hyperlink" Target="https://drive.google.com/open?id=1ZIF159AKsK2Imjq4sr7q4P0IwYgjj9W3&amp;usp=drive_copy" TargetMode="External"/><Relationship Id="rId7" Type="http://schemas.openxmlformats.org/officeDocument/2006/relationships/hyperlink" Target="https://docs.google.com/document/d/10q2azJNwHomMxVWpNEzjg2OkLSb8YU2U/edit?usp=drive_link&amp;ouid=105199658487974895650&amp;rtpof=true&amp;sd=true" TargetMode="External"/><Relationship Id="rId162" Type="http://schemas.openxmlformats.org/officeDocument/2006/relationships/hyperlink" Target="https://drive.google.com/open?id=1VfKZPrSXzdSRYUddlPwaWKNAv5BoG5pc&amp;usp=drive_copy" TargetMode="External"/><Relationship Id="rId183" Type="http://schemas.openxmlformats.org/officeDocument/2006/relationships/hyperlink" Target="https://drive.google.com/open?id=1NCWS0tdDJNIAvSge-7-1CM21BFLqU0CL&amp;usp=drive_copy" TargetMode="External"/><Relationship Id="rId218" Type="http://schemas.openxmlformats.org/officeDocument/2006/relationships/hyperlink" Target="https://drive.google.com/open?id=1yLhe2y7XmrZB39ai-FCO9Fx5e8OsvsBw&amp;usp=drive_copy" TargetMode="External"/><Relationship Id="rId239" Type="http://schemas.openxmlformats.org/officeDocument/2006/relationships/hyperlink" Target="https://drive.google.com/open?id=19g4v4BQ_G75x_2c4b-Fwa8Kcrk2gfR_K&amp;usp=drive_copy" TargetMode="External"/><Relationship Id="rId250" Type="http://schemas.openxmlformats.org/officeDocument/2006/relationships/hyperlink" Target="https://drive.google.com/open?id=1Ay2HOy8ZP9ZrCO6tDGGWSp6DZSMgjiWH&amp;usp=drive_copy" TargetMode="External"/><Relationship Id="rId271" Type="http://schemas.openxmlformats.org/officeDocument/2006/relationships/hyperlink" Target="https://drive.google.com/open?id=1o0fu3kpM71K6WQ3X2AXIQXo3z0wkZZXe&amp;usp=drive_copy" TargetMode="External"/><Relationship Id="rId292" Type="http://schemas.openxmlformats.org/officeDocument/2006/relationships/hyperlink" Target="https://drive.google.com/open?id=1Dwvrcqi3XMqY5DhfW7eh157gqvFzeo0O&amp;usp=drive_copy" TargetMode="External"/><Relationship Id="rId24" Type="http://schemas.openxmlformats.org/officeDocument/2006/relationships/hyperlink" Target="https://docs.google.com/document/d/1Yi-aMBxvUkhZHhlExZuqhg9_Ln0sGDTH/edit?usp=drive_link&amp;ouid=105199658487974895650&amp;rtpof=true&amp;sd=true" TargetMode="External"/><Relationship Id="rId45" Type="http://schemas.openxmlformats.org/officeDocument/2006/relationships/hyperlink" Target="https://drive.google.com/drive/folders/1wsBLwv3jmIa7eWHUu-3kAjVVzgHFDdXl" TargetMode="External"/><Relationship Id="rId66" Type="http://schemas.openxmlformats.org/officeDocument/2006/relationships/hyperlink" Target="https://docs.google.com/document/d/1wVEg8Bw2J5eM5IYUTEWpCNYXQJPB71fx/edit?usp=drive_link&amp;ouid=105199658487974895650&amp;rtpof=true&amp;sd=true" TargetMode="External"/><Relationship Id="rId87" Type="http://schemas.openxmlformats.org/officeDocument/2006/relationships/hyperlink" Target="https://drive.google.com/open?id=1xL2q0RViQLZs2j1hQ2M5fjjjucGjgIuj&amp;usp=drive_copy" TargetMode="External"/><Relationship Id="rId110" Type="http://schemas.openxmlformats.org/officeDocument/2006/relationships/hyperlink" Target="https://drive.google.com/open?id=1pF7DD8aHwhzxniCP6SgMQqRMB85Yy8AP&amp;usp=drive_copy" TargetMode="External"/><Relationship Id="rId131" Type="http://schemas.openxmlformats.org/officeDocument/2006/relationships/hyperlink" Target="https://drive.google.com/open?id=1Owl3-t-OAhjaIS9-JY07aPVT1NoW6mcP&amp;usp=drive_copy" TargetMode="External"/><Relationship Id="rId152" Type="http://schemas.openxmlformats.org/officeDocument/2006/relationships/hyperlink" Target="https://drive.google.com/open?id=1NByfh0qWBLJtCxr_zs4_l08ikRvPP4wp&amp;usp=drive_copy" TargetMode="External"/><Relationship Id="rId173" Type="http://schemas.openxmlformats.org/officeDocument/2006/relationships/hyperlink" Target="https://drive.google.com/open?id=1AP7glko2_NGLaVEj9SNLgsoXZxoixsbo&amp;usp=drive_copy" TargetMode="External"/><Relationship Id="rId194" Type="http://schemas.openxmlformats.org/officeDocument/2006/relationships/hyperlink" Target="https://drive.google.com/open?id=1FWuBDd2JWqvATxi5ZZY26Nbw1RVtAZAr&amp;usp=drive_copy" TargetMode="External"/><Relationship Id="rId208" Type="http://schemas.openxmlformats.org/officeDocument/2006/relationships/hyperlink" Target="https://drive.google.com/open?id=1Ol_eEgzpikMsR00L3ulwZ3eeDGSViXyu&amp;usp=drive_copy" TargetMode="External"/><Relationship Id="rId229" Type="http://schemas.openxmlformats.org/officeDocument/2006/relationships/hyperlink" Target="https://drive.google.com/open?id=1MV7oKFSp0xaDGEY4yz97tTK6knSWYGTm&amp;usp=drive_copy" TargetMode="External"/><Relationship Id="rId240" Type="http://schemas.openxmlformats.org/officeDocument/2006/relationships/hyperlink" Target="https://drive.google.com/open?id=1-vkFHQyoo0HFBZ11uzBzCCXNFzVDQ5d0&amp;usp=drive_copy" TargetMode="External"/><Relationship Id="rId261" Type="http://schemas.openxmlformats.org/officeDocument/2006/relationships/hyperlink" Target="https://drive.google.com/open?id=13_r8wrSGAK0VTFpiFCP1wRdNrHtLW-7p&amp;usp=drive_copy" TargetMode="External"/><Relationship Id="rId14" Type="http://schemas.openxmlformats.org/officeDocument/2006/relationships/hyperlink" Target="https://docs.google.com/document/d/16xbpZZf3DD1aJgSoutKkIvXJWAJowLWM/edit?usp=drive_link&amp;ouid=105199658487974895650&amp;rtpof=true&amp;sd=true" TargetMode="External"/><Relationship Id="rId35" Type="http://schemas.openxmlformats.org/officeDocument/2006/relationships/hyperlink" Target="https://drive.google.com/file/d/1rverje6Es2oniqIDVVK-z1ta6SWEMz9C/view?usp=drive_link" TargetMode="External"/><Relationship Id="rId56" Type="http://schemas.openxmlformats.org/officeDocument/2006/relationships/hyperlink" Target="https://docs.google.com/document/d/131knE0yqBE-xESFUV3EtYTLCt5yOwKUC/edit?usp=drive_link&amp;ouid=105199658487974895650&amp;rtpof=true&amp;sd=true" TargetMode="External"/><Relationship Id="rId77" Type="http://schemas.openxmlformats.org/officeDocument/2006/relationships/hyperlink" Target="https://drive.google.com/open?id=1uKomoD_MexyYbvdi9VwchFvYkDd_OLy0&amp;usp=drive_copy" TargetMode="External"/><Relationship Id="rId100" Type="http://schemas.openxmlformats.org/officeDocument/2006/relationships/hyperlink" Target="https://drive.google.com/open?id=1ESdq22n6E56b-Ok2MxVCY7zYtoMKJ3Zf&amp;usp=drive_copy" TargetMode="External"/><Relationship Id="rId282" Type="http://schemas.openxmlformats.org/officeDocument/2006/relationships/hyperlink" Target="https://drive.google.com/open?id=1UG-dhL75GMpEW8z5Ou8LvzhrYFiz4oM7&amp;usp=drive_copy" TargetMode="External"/><Relationship Id="rId8" Type="http://schemas.openxmlformats.org/officeDocument/2006/relationships/hyperlink" Target="https://docs.google.com/document/d/1v-rpf4bZCEhOHAMLMKbpGqCH_VdrPbRi/edit?usp=drive_link&amp;ouid=105199658487974895650&amp;rtpof=true&amp;sd=true" TargetMode="External"/><Relationship Id="rId98" Type="http://schemas.openxmlformats.org/officeDocument/2006/relationships/hyperlink" Target="https://drive.google.com/open?id=1x4LheGzFP7F0-2en3APC-b8Gdpheghh_&amp;usp=drive_copy" TargetMode="External"/><Relationship Id="rId121" Type="http://schemas.openxmlformats.org/officeDocument/2006/relationships/hyperlink" Target="https://docs.google.com/document/d/1TXr_JJdfO2Ixejxh_jb_p5vgr-GVbDJH/edit?usp=drive_link&amp;ouid=105199658487974895650&amp;rtpof=true&amp;sd=true" TargetMode="External"/><Relationship Id="rId142" Type="http://schemas.openxmlformats.org/officeDocument/2006/relationships/hyperlink" Target="https://drive.google.com/open?id=1E0F0lYcWd0BaM8qho2OU1cWqft43nYXN&amp;usp=drive_copy" TargetMode="External"/><Relationship Id="rId163" Type="http://schemas.openxmlformats.org/officeDocument/2006/relationships/hyperlink" Target="https://drive.google.com/open?id=1hCnfn_zdd5CS09AWyRpkG6FjTZwScYbM&amp;usp=drive_copy" TargetMode="External"/><Relationship Id="rId184" Type="http://schemas.openxmlformats.org/officeDocument/2006/relationships/hyperlink" Target="https://drive.google.com/open?id=1H-8RtkyLUuX6NY9dP-l0CFKwIsFmCBqk&amp;usp=drive_copy" TargetMode="External"/><Relationship Id="rId219" Type="http://schemas.openxmlformats.org/officeDocument/2006/relationships/hyperlink" Target="https://docs.google.com/document/d/1NcSGmYVvzuPEcGuVuEuZo3DbIyiSXETr/edit?usp=drive_web&amp;ouid=107639235496425521759&amp;rtpof=true" TargetMode="External"/><Relationship Id="rId230" Type="http://schemas.openxmlformats.org/officeDocument/2006/relationships/hyperlink" Target="https://drive.google.com/open?id=1fo1egvm8FBt1moY765c6oq8xaWiGLT9Z&amp;usp=drive_copy" TargetMode="External"/><Relationship Id="rId251" Type="http://schemas.openxmlformats.org/officeDocument/2006/relationships/hyperlink" Target="https://drive.google.com/open?id=17Tb53fg6wmpjtfNYpCy5EjtKqV4pJc7G&amp;usp=drive_copy" TargetMode="External"/><Relationship Id="rId25" Type="http://schemas.openxmlformats.org/officeDocument/2006/relationships/hyperlink" Target="https://docs.google.com/document/d/11zVFO5Vsxc20sfwyX-ojrWQbgcR-Nnno/edit?usp=drive_link&amp;ouid=105199658487974895650&amp;rtpof=true&amp;sd=true" TargetMode="External"/><Relationship Id="rId46" Type="http://schemas.openxmlformats.org/officeDocument/2006/relationships/hyperlink" Target="https://docs.google.com/document/d/1CMiaNsD1a0S0ZaU9kSBVYzXzXvuWhmO4/edit?usp=drive_link&amp;ouid=105199658487974895650&amp;rtpof=true&amp;sd=true" TargetMode="External"/><Relationship Id="rId67" Type="http://schemas.openxmlformats.org/officeDocument/2006/relationships/hyperlink" Target="https://docs.google.com/document/d/1j2rwj9MzvTjULNjIYoTOzT_ocsFToXmo/edit?usp=drive_link&amp;ouid=105199658487974895650&amp;rtpof=true&amp;sd=true" TargetMode="External"/><Relationship Id="rId272" Type="http://schemas.openxmlformats.org/officeDocument/2006/relationships/hyperlink" Target="https://drive.google.com/open?id=1OoiLwWxcFoJ_aeP6G0xzAmEutLy_Tbh2&amp;usp=drive_copy" TargetMode="External"/><Relationship Id="rId293" Type="http://schemas.openxmlformats.org/officeDocument/2006/relationships/hyperlink" Target="https://drive.google.com/open?id=1yZHfA2UCayw9sFf_hKR6AePamwTLKunS&amp;usp=drive_copy" TargetMode="External"/><Relationship Id="rId88" Type="http://schemas.openxmlformats.org/officeDocument/2006/relationships/hyperlink" Target="https://drive.google.com/open?id=1wb-oh618UjO229vLqBk3g_1UU6DJ6N03&amp;usp=drive_copy" TargetMode="External"/><Relationship Id="rId111" Type="http://schemas.openxmlformats.org/officeDocument/2006/relationships/hyperlink" Target="https://drive.google.com/open?id=1cv4K3aJpIinGtbIFmBwdDuJYme7ABLwp&amp;usp=drive_copy" TargetMode="External"/><Relationship Id="rId132" Type="http://schemas.openxmlformats.org/officeDocument/2006/relationships/hyperlink" Target="https://drive.google.com/open?id=11nQNLCgqK3swkWaieYm7P20PQ4B9mY1B&amp;usp=drive_copy" TargetMode="External"/><Relationship Id="rId153" Type="http://schemas.openxmlformats.org/officeDocument/2006/relationships/hyperlink" Target="https://drive.google.com/open?id=14aVfhmB6VJAyzuIzwFtCnVXQrKSh7bg0&amp;usp=drive_copy" TargetMode="External"/><Relationship Id="rId174" Type="http://schemas.openxmlformats.org/officeDocument/2006/relationships/hyperlink" Target="https://drive.google.com/open?id=14s2gOomokbd1KVqj8hLL_BVImaTxWFG_&amp;usp=drive_copy" TargetMode="External"/><Relationship Id="rId195" Type="http://schemas.openxmlformats.org/officeDocument/2006/relationships/hyperlink" Target="https://drive.google.com/open?id=16ngyooykjoC3N2vgaTSH90F9ltNEVyRG&amp;usp=drive_copy" TargetMode="External"/><Relationship Id="rId209" Type="http://schemas.openxmlformats.org/officeDocument/2006/relationships/hyperlink" Target="https://drive.google.com/open?id=1bIl3PlbbhLL8rESjyTt94pr8bU3NglLv&amp;usp=drive_copy" TargetMode="External"/><Relationship Id="rId220" Type="http://schemas.openxmlformats.org/officeDocument/2006/relationships/hyperlink" Target="https://drive.google.com/drive/folders/1gLglLxtNv8St3Pzh5xwwoz7-lHNdddQq" TargetMode="External"/><Relationship Id="rId241" Type="http://schemas.openxmlformats.org/officeDocument/2006/relationships/hyperlink" Target="https://drive.google.com/open?id=1AwiZIroFNpJNaaIyomSLOQdg8Hc5SjSz&amp;usp=drive_copy" TargetMode="External"/><Relationship Id="rId15" Type="http://schemas.openxmlformats.org/officeDocument/2006/relationships/hyperlink" Target="https://docs.google.com/document/d/1cMnPCsbLBo8qNPAFwEbpzvqp29OMeMsX/edit?usp=drive_link&amp;ouid=105199658487974895650&amp;rtpof=true&amp;sd=true" TargetMode="External"/><Relationship Id="rId36" Type="http://schemas.openxmlformats.org/officeDocument/2006/relationships/hyperlink" Target="https://drive.google.com/file/d/1_qnUkDxabvhMxmfY9qmv6kaFspMycqUf/view?usp=drive_link" TargetMode="External"/><Relationship Id="rId57" Type="http://schemas.openxmlformats.org/officeDocument/2006/relationships/hyperlink" Target="https://docs.google.com/document/d/1_j1_FzsGnwuDmH0wKkuuq5Tc-TPebSu1/edit?usp=drive_link&amp;ouid=105199658487974895650&amp;rtpof=true&amp;sd=true" TargetMode="External"/><Relationship Id="rId262" Type="http://schemas.openxmlformats.org/officeDocument/2006/relationships/hyperlink" Target="https://drive.google.com/open?id=1eXchilZl1X5lVlTFfhPbTDz9e4dJy2_T&amp;usp=drive_copy" TargetMode="External"/><Relationship Id="rId283" Type="http://schemas.openxmlformats.org/officeDocument/2006/relationships/hyperlink" Target="https://drive.google.com/open?id=15Td8SA8ww5oom89_afbY3HeTA3xrLplz&amp;usp=drive_copy" TargetMode="External"/><Relationship Id="rId78" Type="http://schemas.openxmlformats.org/officeDocument/2006/relationships/hyperlink" Target="https://docs.google.com/document/d/1smkzTt_8MJHTJPnptMBFNyCdNhnbeiil/edit?usp=drive_link&amp;ouid=105199658487974895650&amp;rtpof=true&amp;sd=true" TargetMode="External"/><Relationship Id="rId99" Type="http://schemas.openxmlformats.org/officeDocument/2006/relationships/hyperlink" Target="https://drive.google.com/open?id=1ELSWTpj6XlO2rlZ04AsXS79XkM4zdDqO&amp;usp=drive_copy" TargetMode="External"/><Relationship Id="rId101" Type="http://schemas.openxmlformats.org/officeDocument/2006/relationships/hyperlink" Target="https://drive.google.com/open?id=14TTbXRODnBtYbtj9IB3tHSBe_OT4Gpw0&amp;usp=drive_copy" TargetMode="External"/><Relationship Id="rId122" Type="http://schemas.openxmlformats.org/officeDocument/2006/relationships/hyperlink" Target="https://docs.google.com/document/d/1E_Oo-URUyiDGl6l0CSKCGpn3Sg8W_63u/edit?usp=drive_link&amp;ouid=105199658487974895650&amp;rtpof=true&amp;sd=true" TargetMode="External"/><Relationship Id="rId143" Type="http://schemas.openxmlformats.org/officeDocument/2006/relationships/hyperlink" Target="https://drive.google.com/open?id=1nh74eNwqpqajB7KBxsGjUaptVpXvO39K&amp;usp=drive_copy" TargetMode="External"/><Relationship Id="rId164" Type="http://schemas.openxmlformats.org/officeDocument/2006/relationships/hyperlink" Target="https://drive.google.com/open?id=1o7gEqdyFNompQ6eetu77SokzMlw9paZw&amp;usp=drive_copy" TargetMode="External"/><Relationship Id="rId185" Type="http://schemas.openxmlformats.org/officeDocument/2006/relationships/hyperlink" Target="https://drive.google.com/open?id=1kBUN1cQ9p9Gnbt40O6xeKTcu7P5kFsvM&amp;usp=drive_copy" TargetMode="External"/><Relationship Id="rId9" Type="http://schemas.openxmlformats.org/officeDocument/2006/relationships/hyperlink" Target="https://drive.google.com/drive/folders/15r6RVG0qqy-5fq2HvzdBv0nqTfBuo1G8" TargetMode="External"/><Relationship Id="rId210" Type="http://schemas.openxmlformats.org/officeDocument/2006/relationships/hyperlink" Target="https://drive.google.com/open?id=1_BYCuEvJYN1NO8g2cO6Izw_c9KavRkpD&amp;usp=drive_copy" TargetMode="External"/><Relationship Id="rId26" Type="http://schemas.openxmlformats.org/officeDocument/2006/relationships/hyperlink" Target="https://docs.google.com/document/d/1a4IJ-37F2UndNPQePsFJQly1_4sL5gNm/edit?usp=drive_link&amp;ouid=105199658487974895650&amp;rtpof=true&amp;sd=true" TargetMode="External"/><Relationship Id="rId231" Type="http://schemas.openxmlformats.org/officeDocument/2006/relationships/hyperlink" Target="https://drive.google.com/open?id=1ef6urIlQPz-QedD079ph-uciPCuvDtc1&amp;usp=drive_copy" TargetMode="External"/><Relationship Id="rId252" Type="http://schemas.openxmlformats.org/officeDocument/2006/relationships/hyperlink" Target="https://drive.google.com/open?id=1lzVlmx2P-yFGFotItnykcL_yM1N29hXw&amp;usp=drive_copy" TargetMode="External"/><Relationship Id="rId273" Type="http://schemas.openxmlformats.org/officeDocument/2006/relationships/hyperlink" Target="https://drive.google.com/open?id=1gFsS7IJypMW6zF9wcBC4XJ0rXdD1e2BO&amp;usp=drive_copy" TargetMode="External"/><Relationship Id="rId294" Type="http://schemas.openxmlformats.org/officeDocument/2006/relationships/hyperlink" Target="https://docs.google.com/document/d/1rZ_XYXDE3HwFETbSWkfc6kSSR5dFWgKE/edit?usp=drive_link&amp;ouid=105199658487974895650&amp;rtpof=true&amp;sd=true" TargetMode="External"/><Relationship Id="rId47" Type="http://schemas.openxmlformats.org/officeDocument/2006/relationships/hyperlink" Target="https://docs.google.com/document/d/11pZi5xDKT-QW-K5Qc7JdfO_va4_17_AD/edit?usp=drive_link&amp;ouid=105199658487974895650&amp;rtpof=true&amp;sd=true" TargetMode="External"/><Relationship Id="rId68" Type="http://schemas.openxmlformats.org/officeDocument/2006/relationships/hyperlink" Target="https://docs.google.com/document/d/1JI8PFcLVxp9XK4nBtEY0Ge26UxILhM8o/edit" TargetMode="External"/><Relationship Id="rId89" Type="http://schemas.openxmlformats.org/officeDocument/2006/relationships/hyperlink" Target="https://drive.google.com/open?id=1SrsaIJfxKLPsfSvZCWdLhAZAA3NK8dZo&amp;usp=drive_copy" TargetMode="External"/><Relationship Id="rId112" Type="http://schemas.openxmlformats.org/officeDocument/2006/relationships/hyperlink" Target="https://docs.google.com/document/d/1gWgwQMmT_6i-OS7d1xXkPDNeY_HQicfz/edit?usp=drive_link&amp;ouid=105199658487974895650&amp;rtpof=true&amp;sd=true" TargetMode="External"/><Relationship Id="rId133" Type="http://schemas.openxmlformats.org/officeDocument/2006/relationships/hyperlink" Target="https://drive.google.com/open?id=1ATURFYayTrYTWZiOE7JMZ_JX2MDHZIjZ&amp;usp=drive_copy" TargetMode="External"/><Relationship Id="rId154" Type="http://schemas.openxmlformats.org/officeDocument/2006/relationships/hyperlink" Target="https://docs.google.com/document/d/1Ydvzy2ZTxEB6MSeDa9bNidak-7YSSZN3/edit?usp=drive_web&amp;ouid=107639235496425521759&amp;rtpof=true" TargetMode="External"/><Relationship Id="rId175" Type="http://schemas.openxmlformats.org/officeDocument/2006/relationships/hyperlink" Target="https://drive.google.com/open?id=1BwY3pgi8Ctb62ilXxEnF_Zhbiif9wy2b&amp;usp=drive_copy" TargetMode="External"/><Relationship Id="rId196" Type="http://schemas.openxmlformats.org/officeDocument/2006/relationships/hyperlink" Target="https://drive.google.com/open?id=1C34q9dvLdzEpdEMI287vEyPAArBP-c5g&amp;usp=drive_copy" TargetMode="External"/><Relationship Id="rId200" Type="http://schemas.openxmlformats.org/officeDocument/2006/relationships/hyperlink" Target="https://drive.google.com/open?id=19gfFbHmfC-7BM9W-312BWYetkVWaDGtu&amp;usp=drive_copy" TargetMode="External"/><Relationship Id="rId16" Type="http://schemas.openxmlformats.org/officeDocument/2006/relationships/hyperlink" Target="https://docs.google.com/document/d/1hl432UbO--1qh0IOg55IUOUmC8t26Sif-uqDR61XBFY/edit?usp=drive_link" TargetMode="External"/><Relationship Id="rId221" Type="http://schemas.openxmlformats.org/officeDocument/2006/relationships/hyperlink" Target="https://drive.google.com/drive/folders/10s_k_QV4QOR1RY2R1V5fdPIZsu4SW4G8" TargetMode="External"/><Relationship Id="rId242" Type="http://schemas.openxmlformats.org/officeDocument/2006/relationships/hyperlink" Target="https://drive.google.com/open?id=1F1CfDLDhheubRvOydWJWowKCqCHbAY01&amp;usp=drive_copy" TargetMode="External"/><Relationship Id="rId263" Type="http://schemas.openxmlformats.org/officeDocument/2006/relationships/hyperlink" Target="https://drive.google.com/open?id=1qdxR2treNT5py35cEe6N8Ehd-QKaEbgL&amp;usp=drive_copy" TargetMode="External"/><Relationship Id="rId284" Type="http://schemas.openxmlformats.org/officeDocument/2006/relationships/hyperlink" Target="https://drive.google.com/open?id=1y9cDAgwG8AU4_DcomSmwk8HopKgdBp8U&amp;usp=drive_copy" TargetMode="External"/><Relationship Id="rId37" Type="http://schemas.openxmlformats.org/officeDocument/2006/relationships/hyperlink" Target="https://docs.google.com/document/d/1noqEfGxwnHQL7wJmsrjhv6qCuwVSZSSt/edit?usp=drive_link&amp;ouid=105199658487974895650&amp;rtpof=true&amp;sd=true" TargetMode="External"/><Relationship Id="rId58" Type="http://schemas.openxmlformats.org/officeDocument/2006/relationships/hyperlink" Target="https://drive.google.com/file/d/1bb0sJ82kAW_O7QU6xDsZ3n_j-48kQCvj/view?usp=drive_link" TargetMode="External"/><Relationship Id="rId79" Type="http://schemas.openxmlformats.org/officeDocument/2006/relationships/hyperlink" Target="https://drive.google.com/open?id=1QmlGA3NvmrnNMbIvOLQsRiOCraAQV-1f&amp;usp=drive_copy" TargetMode="External"/><Relationship Id="rId102" Type="http://schemas.openxmlformats.org/officeDocument/2006/relationships/hyperlink" Target="https://drive.google.com/open?id=1ah4H1fk_dwbt37cKNNJ3oYomSqMJzWkx&amp;usp=drive_copy" TargetMode="External"/><Relationship Id="rId123" Type="http://schemas.openxmlformats.org/officeDocument/2006/relationships/hyperlink" Target="https://docs.google.com/document/d/19N36EMtWVz_1Mnqh11hqrjR8wVekiz0L/edit?usp=drive_link&amp;ouid=105199658487974895650&amp;rtpof=true&amp;sd=true" TargetMode="External"/><Relationship Id="rId144" Type="http://schemas.openxmlformats.org/officeDocument/2006/relationships/hyperlink" Target="https://drive.google.com/open?id=1sDBZwg3j5xC1FmSWWHT_8Zst5mTrg8fY&amp;usp=drive_copy" TargetMode="External"/><Relationship Id="rId90" Type="http://schemas.openxmlformats.org/officeDocument/2006/relationships/hyperlink" Target="https://drive.google.com/open?id=16jOWp8WL0w1T1tuRPiGbW-_BuDOudmrv&amp;usp=drive_copy" TargetMode="External"/><Relationship Id="rId165" Type="http://schemas.openxmlformats.org/officeDocument/2006/relationships/hyperlink" Target="https://drive.google.com/open?id=1mcL6bgdtwvTYZpMRaB75f6x-2BYcFK6c&amp;usp=drive_copy" TargetMode="External"/><Relationship Id="rId186" Type="http://schemas.openxmlformats.org/officeDocument/2006/relationships/hyperlink" Target="https://drive.google.com/open?id=1Kdrb3gszvxW1N-vIwJJ75Y5HnxCNXkDM&amp;usp=drive_copy" TargetMode="External"/><Relationship Id="rId211" Type="http://schemas.openxmlformats.org/officeDocument/2006/relationships/hyperlink" Target="https://drive.google.com/open?id=1FtzzSFkF0BFDc5WibY-QoWY17RjDSr2m&amp;usp=drive_copy" TargetMode="External"/><Relationship Id="rId232" Type="http://schemas.openxmlformats.org/officeDocument/2006/relationships/hyperlink" Target="https://drive.google.com/open?id=1-X4PG_oZ397_UourpVZ1mMAPQ8YTBjqt&amp;usp=drive_copy" TargetMode="External"/><Relationship Id="rId253" Type="http://schemas.openxmlformats.org/officeDocument/2006/relationships/hyperlink" Target="https://drive.google.com/open?id=11uRsaNCHVhG2-c77HDRmuiEzE4pwd76_&amp;usp=drive_copy" TargetMode="External"/><Relationship Id="rId274" Type="http://schemas.openxmlformats.org/officeDocument/2006/relationships/hyperlink" Target="https://drive.google.com/open?id=1LMIQoOqRzc5U0qecWiCK8GtxHVUBXKJQ&amp;usp=drive_copy" TargetMode="External"/><Relationship Id="rId295" Type="http://schemas.openxmlformats.org/officeDocument/2006/relationships/hyperlink" Target="https://drive.google.com/open?id=1BFPVdQeQYS83lW5bt1D_F2WLpQltrPOf&amp;usp=drive_copy" TargetMode="External"/><Relationship Id="rId27" Type="http://schemas.openxmlformats.org/officeDocument/2006/relationships/hyperlink" Target="https://docs.google.com/document/d/18IEyoz8I8XsSySe0WmwzMAZjiTZdASQR/edit?usp=drive_link&amp;ouid=105199658487974895650&amp;rtpof=true&amp;sd=true" TargetMode="External"/><Relationship Id="rId48" Type="http://schemas.openxmlformats.org/officeDocument/2006/relationships/hyperlink" Target="https://docs.google.com/document/d/14KrWKZd8K2UKyaRouzgP5wq47nJTu4xP/edit?usp=drive_link&amp;ouid=105199658487974895650&amp;rtpof=true&amp;sd=true" TargetMode="External"/><Relationship Id="rId69" Type="http://schemas.openxmlformats.org/officeDocument/2006/relationships/hyperlink" Target="https://drive.google.com/drive/folders/1Xi7r_BFmtUCqm-s7aixcZnPSVTuZvrr0" TargetMode="External"/><Relationship Id="rId113" Type="http://schemas.openxmlformats.org/officeDocument/2006/relationships/hyperlink" Target="https://docs.google.com/document/d/18M5NxSEV-eQqjR_C2RMNu3gi9julsooy/edit?usp=drive_link&amp;ouid=105199658487974895650&amp;rtpof=true&amp;sd=true" TargetMode="External"/><Relationship Id="rId134" Type="http://schemas.openxmlformats.org/officeDocument/2006/relationships/hyperlink" Target="https://drive.google.com/open?id=1GwPvRi5JTKFtJEY8fXsx1_pSNG-ng6cN&amp;usp=drive_copy" TargetMode="External"/><Relationship Id="rId80" Type="http://schemas.openxmlformats.org/officeDocument/2006/relationships/hyperlink" Target="https://drive.google.com/open?id=1NxW3zSPAOUP3Kuhv3ww_XS5HDy3_AfsM&amp;usp=drive_copy" TargetMode="External"/><Relationship Id="rId155" Type="http://schemas.openxmlformats.org/officeDocument/2006/relationships/hyperlink" Target="https://drive.google.com/drive/folders/13stFH7FVmleCS3tRCXp3HjuoXnSsYKE_" TargetMode="External"/><Relationship Id="rId176" Type="http://schemas.openxmlformats.org/officeDocument/2006/relationships/hyperlink" Target="https://drive.google.com/open?id=1tVFv28a8MAwbUoFzMiGvjN7NxniGVgt4&amp;usp=drive_copy" TargetMode="External"/><Relationship Id="rId197" Type="http://schemas.openxmlformats.org/officeDocument/2006/relationships/hyperlink" Target="https://drive.google.com/open?id=1LpH8HsYNDFA2Jl3a68bIdyrPKLqwqetu&amp;usp=drive_copy" TargetMode="External"/><Relationship Id="rId201" Type="http://schemas.openxmlformats.org/officeDocument/2006/relationships/hyperlink" Target="https://drive.google.com/open?id=1Af0aqUynGEzt1Q5-hdwY0tvCoEy1AIvm&amp;usp=drive_copy" TargetMode="External"/><Relationship Id="rId222" Type="http://schemas.openxmlformats.org/officeDocument/2006/relationships/hyperlink" Target="https://drive.google.com/drive/folders/1XAg2ajJL5sq25UMk-b-r4ZxCyDAOX5r4" TargetMode="External"/><Relationship Id="rId243" Type="http://schemas.openxmlformats.org/officeDocument/2006/relationships/hyperlink" Target="https://drive.google.com/open?id=1NaqkDKOTusfCyXe2__ySPF4gP0eCDATb&amp;usp=drive_copy" TargetMode="External"/><Relationship Id="rId264" Type="http://schemas.openxmlformats.org/officeDocument/2006/relationships/hyperlink" Target="https://drive.google.com/open?id=1wqgYqyNVKUxEhS6kcmsFfoIysrDhmloQ&amp;usp=drive_copy" TargetMode="External"/><Relationship Id="rId285" Type="http://schemas.openxmlformats.org/officeDocument/2006/relationships/hyperlink" Target="https://drive.google.com/open?id=12AcXKq9CbpipU3tZ9lfMoTAyB5e34mG-&amp;usp=drive_copy" TargetMode="External"/><Relationship Id="rId17" Type="http://schemas.openxmlformats.org/officeDocument/2006/relationships/hyperlink" Target="https://docs.google.com/document/d/1AIHzOWs3JW--rgifGml-PosMA8MoxzvO/edit?usp=drive_link&amp;ouid=105199658487974895650&amp;rtpof=true&amp;sd=true" TargetMode="External"/><Relationship Id="rId38" Type="http://schemas.openxmlformats.org/officeDocument/2006/relationships/hyperlink" Target="https://docs.google.com/document/d/10EpxK-5N4347fzfs1cQC-0oWplc6BCog/edit?usp=drive_link&amp;ouid=105199658487974895650&amp;rtpof=true&amp;sd=true" TargetMode="External"/><Relationship Id="rId59" Type="http://schemas.openxmlformats.org/officeDocument/2006/relationships/hyperlink" Target="https://drive.google.com/file/d/14LQx_SFayW1FfI-ss0McltQpnqtNI-8K/view?usp=drive_link" TargetMode="External"/><Relationship Id="rId103" Type="http://schemas.openxmlformats.org/officeDocument/2006/relationships/hyperlink" Target="https://drive.google.com/open?id=1H8RgR_pg79s6Tsqj-6vROISXhQMRDY2O&amp;usp=drive_copy" TargetMode="External"/><Relationship Id="rId124" Type="http://schemas.openxmlformats.org/officeDocument/2006/relationships/hyperlink" Target="https://docs.google.com/document/d/1qx_7UbVWJhYWYu_EL84DSeHcq5S5yBth/edit?usp=drive_link&amp;ouid=105199658487974895650&amp;rtpof=true&amp;sd=true" TargetMode="External"/><Relationship Id="rId70" Type="http://schemas.openxmlformats.org/officeDocument/2006/relationships/hyperlink" Target="https://drive.google.com/open?id=1kUdycxk5Gnfn4betgxv49FAhnJPjFuce&amp;usp=drive_copy" TargetMode="External"/><Relationship Id="rId91" Type="http://schemas.openxmlformats.org/officeDocument/2006/relationships/hyperlink" Target="https://drive.google.com/open?id=1FVHA3jAu4absIhKAlJ4lVpMHs7tXzAzV&amp;usp=drive_copy" TargetMode="External"/><Relationship Id="rId145" Type="http://schemas.openxmlformats.org/officeDocument/2006/relationships/hyperlink" Target="https://drive.google.com/open?id=1b31y11SWxSpuNvJwdvWfsCj2RcjyUz8f&amp;usp=drive_copy" TargetMode="External"/><Relationship Id="rId166" Type="http://schemas.openxmlformats.org/officeDocument/2006/relationships/hyperlink" Target="https://drive.google.com/open?id=1R0Mt714LxUaleF_9d8NoqMeQZxcrkIEP&amp;usp=drive_copy" TargetMode="External"/><Relationship Id="rId187" Type="http://schemas.openxmlformats.org/officeDocument/2006/relationships/hyperlink" Target="https://drive.google.com/open?id=1B6ONiyvQQYp7RVP7MXxEfWrkkns5yTQh&amp;usp=drive_copy" TargetMode="External"/><Relationship Id="rId1" Type="http://schemas.openxmlformats.org/officeDocument/2006/relationships/hyperlink" Target="https://drive.google.com/file/d/1Ef-cRQlMslIMnD0CGFFPgS6kJS01Mcou/view?usp=drive_link" TargetMode="External"/><Relationship Id="rId212" Type="http://schemas.openxmlformats.org/officeDocument/2006/relationships/hyperlink" Target="https://drive.google.com/open?id=1ts_i1DyI-YNy6L2sV6Bh-504TtN2AZZJ&amp;usp=drive_copy" TargetMode="External"/><Relationship Id="rId233" Type="http://schemas.openxmlformats.org/officeDocument/2006/relationships/hyperlink" Target="https://drive.google.com/open?id=1Z0l-9ohMfP7HwLdj-QQys5shre2qU4kB&amp;usp=drive_copy" TargetMode="External"/><Relationship Id="rId254" Type="http://schemas.openxmlformats.org/officeDocument/2006/relationships/hyperlink" Target="https://drive.google.com/open?id=1bPKvoqxDuNF52C4NxGtKzE8xHPn7yoaz&amp;usp=drive_copy" TargetMode="External"/><Relationship Id="rId28" Type="http://schemas.openxmlformats.org/officeDocument/2006/relationships/hyperlink" Target="https://docs.google.com/document/d/17V701lsj2QcqgtLvLbZ3p2coyIGV9FsV/edit?usp=drive_link&amp;ouid=105199658487974895650&amp;rtpof=true&amp;sd=true" TargetMode="External"/><Relationship Id="rId49" Type="http://schemas.openxmlformats.org/officeDocument/2006/relationships/hyperlink" Target="https://docs.google.com/document/d/1jQeqQwA0fBr-gTPLBwzN7-4T04-kODIN/edit?usp=drive_link&amp;ouid=105199658487974895650&amp;rtpof=true&amp;sd=true" TargetMode="External"/><Relationship Id="rId114" Type="http://schemas.openxmlformats.org/officeDocument/2006/relationships/hyperlink" Target="https://docs.google.com/document/d/1wxVgns4AeGPRNAkPa0mbC-DIeoPvw9s9/edit?usp=drive_link&amp;ouid=105199658487974895650&amp;rtpof=true&amp;sd=true" TargetMode="External"/><Relationship Id="rId275" Type="http://schemas.openxmlformats.org/officeDocument/2006/relationships/hyperlink" Target="https://drive.google.com/open?id=1Mw_PHVn_SejnoyANUpkPcl7NgS2pE9QL&amp;usp=drive_copy" TargetMode="External"/><Relationship Id="rId296" Type="http://schemas.openxmlformats.org/officeDocument/2006/relationships/hyperlink" Target="https://docs.google.com/document/d/1_FITRuOjR3Z9NBLWLI2O16iotVKROgfe/edit?usp=drive_link&amp;ouid=105199658487974895650&amp;rtpof=true&amp;sd=true" TargetMode="External"/><Relationship Id="rId60" Type="http://schemas.openxmlformats.org/officeDocument/2006/relationships/hyperlink" Target="https://docs.google.com/document/d/1zhgwWe-uaTaDTcRSRfk0k0ZOSPWRi5a5/edit?usp=drive_link&amp;ouid=105199658487974895650&amp;rtpof=true&amp;sd=true" TargetMode="External"/><Relationship Id="rId81" Type="http://schemas.openxmlformats.org/officeDocument/2006/relationships/hyperlink" Target="https://drive.google.com/open?id=1DwAKvAEjnyACl_jFfSilf61T8zypbZcJ&amp;usp=drive_copy" TargetMode="External"/><Relationship Id="rId135" Type="http://schemas.openxmlformats.org/officeDocument/2006/relationships/hyperlink" Target="https://drive.google.com/open?id=1zLy3chMBg9sVHUuqTYt47lTLVe7UjLn8&amp;usp=drive_copy" TargetMode="External"/><Relationship Id="rId156" Type="http://schemas.openxmlformats.org/officeDocument/2006/relationships/hyperlink" Target="https://docs.google.com/document/d/1uL2yGmyZ6-G4fj7sCh9Tlm0f4xpUN473/edit?usp=drive_web&amp;ouid=107639235496425521759&amp;rtpof=true" TargetMode="External"/><Relationship Id="rId177" Type="http://schemas.openxmlformats.org/officeDocument/2006/relationships/hyperlink" Target="https://drive.google.com/open?id=1xGem_UyXvbIV0qKeng0ps1x5Fp8GVujP&amp;usp=drive_copy" TargetMode="External"/><Relationship Id="rId198" Type="http://schemas.openxmlformats.org/officeDocument/2006/relationships/hyperlink" Target="https://drive.google.com/open?id=15AS8x3sFZ3sqdzjhY1CcjLFVm_O1aybZ&amp;usp=drive_copy" TargetMode="External"/><Relationship Id="rId202" Type="http://schemas.openxmlformats.org/officeDocument/2006/relationships/hyperlink" Target="https://drive.google.com/open?id=1M6kJZURrEWIKWOqEGIDrSE5158tjVVIf&amp;usp=drive_copy" TargetMode="External"/><Relationship Id="rId223" Type="http://schemas.openxmlformats.org/officeDocument/2006/relationships/hyperlink" Target="https://drive.google.com/drive/folders/1XAg2ajJL5sq25UMk-b-r4ZxCyDAOX5r4" TargetMode="External"/><Relationship Id="rId244" Type="http://schemas.openxmlformats.org/officeDocument/2006/relationships/hyperlink" Target="https://drive.google.com/open?id=1cnIecK37kUiRXXiZwGKlPXC8nzCxICKm&amp;usp=drive_copy" TargetMode="External"/><Relationship Id="rId18" Type="http://schemas.openxmlformats.org/officeDocument/2006/relationships/hyperlink" Target="https://docs.google.com/document/d/1Ar8OWH3eiD1IT92QC3kIiSeybJ1cgRDE/edit?usp=drive_link&amp;ouid=105199658487974895650&amp;rtpof=true&amp;sd=true" TargetMode="External"/><Relationship Id="rId39" Type="http://schemas.openxmlformats.org/officeDocument/2006/relationships/hyperlink" Target="https://docs.google.com/document/d/1W7TGdiBx8XXgOXXtsNrLLbxIUrHCdqXt/edit?usp=drive_link&amp;ouid=105199658487974895650&amp;rtpof=true&amp;sd=true" TargetMode="External"/><Relationship Id="rId265" Type="http://schemas.openxmlformats.org/officeDocument/2006/relationships/hyperlink" Target="https://drive.google.com/open?id=1wqgYqyNVKUxEhS6kcmsFfoIysrDhmloQ&amp;usp=drive_copy" TargetMode="External"/><Relationship Id="rId286" Type="http://schemas.openxmlformats.org/officeDocument/2006/relationships/hyperlink" Target="https://drive.google.com/open?id=1a4NR6EKK0TfG12lkKsVqFUSBlbnBFnAD&amp;usp=drive_copy" TargetMode="External"/><Relationship Id="rId50" Type="http://schemas.openxmlformats.org/officeDocument/2006/relationships/hyperlink" Target="https://docs.google.com/document/d/136tvuZTPO9JHvJdugRwiwlctkTcNFa5k/edit?usp=drive_link&amp;ouid=105199658487974895650&amp;rtpof=true&amp;sd=true" TargetMode="External"/><Relationship Id="rId104" Type="http://schemas.openxmlformats.org/officeDocument/2006/relationships/hyperlink" Target="https://drive.google.com/open?id=1yp-iGvJE73LCI33_UkbhP-FWvuwkXVF4&amp;usp=drive_copy" TargetMode="External"/><Relationship Id="rId125" Type="http://schemas.openxmlformats.org/officeDocument/2006/relationships/hyperlink" Target="https://docs.google.com/document/d/1u0d6LqhVVaBMs5lM2fpLe45Vp7bkNo0Q/edit?usp=drive_link&amp;ouid=105199658487974895650&amp;rtpof=true&amp;sd=true" TargetMode="External"/><Relationship Id="rId146" Type="http://schemas.openxmlformats.org/officeDocument/2006/relationships/hyperlink" Target="https://drive.google.com/open?id=1kmH_3fhhJolwlRdi6u0NIKvTQQ4emeJR&amp;usp=drive_copy" TargetMode="External"/><Relationship Id="rId167" Type="http://schemas.openxmlformats.org/officeDocument/2006/relationships/hyperlink" Target="https://drive.google.com/open?id=1zlp5l2jsKMNXfFM_0uo-bLMQj3Y0hHtR&amp;usp=drive_copy" TargetMode="External"/><Relationship Id="rId188" Type="http://schemas.openxmlformats.org/officeDocument/2006/relationships/hyperlink" Target="https://drive.google.com/open?id=1fIFios2p98aof2dd7XikY92mvcK-LgyJ&amp;usp=drive_copy" TargetMode="External"/><Relationship Id="rId71" Type="http://schemas.openxmlformats.org/officeDocument/2006/relationships/hyperlink" Target="https://drive.google.com/open?id=1x0SztIxTdBdgxeuP6dayFUrc8mmveMDg&amp;usp=drive_copy" TargetMode="External"/><Relationship Id="rId92" Type="http://schemas.openxmlformats.org/officeDocument/2006/relationships/hyperlink" Target="https://drive.google.com/open?id=1tmFRQyk9BwGNROLs1cg5fHgYWWuW8gyU&amp;usp=drive_copy" TargetMode="External"/><Relationship Id="rId213" Type="http://schemas.openxmlformats.org/officeDocument/2006/relationships/hyperlink" Target="https://drive.google.com/open?id=1E__HODN1Chtv-JDEVuGn4ef4OXT-l1_h&amp;usp=drive_copy" TargetMode="External"/><Relationship Id="rId234" Type="http://schemas.openxmlformats.org/officeDocument/2006/relationships/hyperlink" Target="https://drive.google.com/open?id=14KB1G-foCQnSmboT_1YFLNeGP8I2UKY7&amp;usp=drive_copy" TargetMode="External"/><Relationship Id="rId2" Type="http://schemas.openxmlformats.org/officeDocument/2006/relationships/hyperlink" Target="https://drive.google.com/file/d/1b-4tQJOJy--7Bkm1JWcZIZWQcamWfmyK/view?usp=drive_link" TargetMode="External"/><Relationship Id="rId29" Type="http://schemas.openxmlformats.org/officeDocument/2006/relationships/hyperlink" Target="https://docs.google.com/document/d/1-r3WzqeU_cYWEdtOGso7sdxuq40WLIkl/edit?usp=drive_link&amp;ouid=105199658487974895650&amp;rtpof=true&amp;sd=true" TargetMode="External"/><Relationship Id="rId255" Type="http://schemas.openxmlformats.org/officeDocument/2006/relationships/hyperlink" Target="https://drive.google.com/open?id=1rQqHAFywQk6HFf9brXU5MZDCY7ahDU3_&amp;usp=drive_copy" TargetMode="External"/><Relationship Id="rId276" Type="http://schemas.openxmlformats.org/officeDocument/2006/relationships/hyperlink" Target="https://drive.google.com/open?id=1veVMp-_B6zV0GkfuiyA2UbzuFP13F5SY&amp;usp=drive_copy" TargetMode="External"/><Relationship Id="rId297" Type="http://schemas.openxmlformats.org/officeDocument/2006/relationships/hyperlink" Target="https://drive.google.com/open?id=1GiZ0mH91WCAA85MTcV4sweN7AT8E9cRT&amp;usp=drive_copy" TargetMode="External"/><Relationship Id="rId40" Type="http://schemas.openxmlformats.org/officeDocument/2006/relationships/hyperlink" Target="https://docs.google.com/document/d/13tgJ7TTbxn2MlrfPNaACZeemi5fimYZb/edit?usp=drive_link&amp;ouid=105199658487974895650&amp;rtpof=true&amp;sd=true" TargetMode="External"/><Relationship Id="rId115" Type="http://schemas.openxmlformats.org/officeDocument/2006/relationships/hyperlink" Target="https://docs.google.com/document/d/1Lj5mruw-CKTh4lMbx4BQoVcfpHRU3M_w/edit?usp=drive_link&amp;ouid=105199658487974895650&amp;rtpof=true&amp;sd=true" TargetMode="External"/><Relationship Id="rId136" Type="http://schemas.openxmlformats.org/officeDocument/2006/relationships/hyperlink" Target="https://drive.google.com/open?id=1A-BIPg_OemDYQ_U0mQiBDXX-Jb7Z7YgK&amp;usp=drive_copy" TargetMode="External"/><Relationship Id="rId157" Type="http://schemas.openxmlformats.org/officeDocument/2006/relationships/hyperlink" Target="https://drive.google.com/drive/folders/1XajcvCUEFjbvl6SoiyvjR1QICbC2amsR" TargetMode="External"/><Relationship Id="rId178" Type="http://schemas.openxmlformats.org/officeDocument/2006/relationships/hyperlink" Target="https://drive.google.com/open?id=1VIEEZkoRW-x6UkmbiZyvHQ3x4iZvAGki&amp;usp=drive_copy" TargetMode="External"/><Relationship Id="rId61" Type="http://schemas.openxmlformats.org/officeDocument/2006/relationships/hyperlink" Target="https://docs.google.com/document/d/1FYiMNYhzk9Ag8QTENUQHnDeb9AjTyccC/edit?usp=drive_link&amp;ouid=105199658487974895650&amp;rtpof=true&amp;sd=true" TargetMode="External"/><Relationship Id="rId82" Type="http://schemas.openxmlformats.org/officeDocument/2006/relationships/hyperlink" Target="https://drive.google.com/open?id=1x_DJj2SRurOp7cpHP3iWw5lP4LIQuKKq&amp;usp=drive_copy" TargetMode="External"/><Relationship Id="rId199" Type="http://schemas.openxmlformats.org/officeDocument/2006/relationships/hyperlink" Target="https://drive.google.com/open?id=1AKOZkMhE2v1GMZWYoaPis9Td8yGAvBmK&amp;usp=drive_copy" TargetMode="External"/><Relationship Id="rId203" Type="http://schemas.openxmlformats.org/officeDocument/2006/relationships/hyperlink" Target="https://drive.google.com/open?id=1t_aawaMahRF-S8rl5GRSzNtVyHW3cXNP&amp;usp=drive_copy" TargetMode="External"/><Relationship Id="rId19" Type="http://schemas.openxmlformats.org/officeDocument/2006/relationships/hyperlink" Target="https://drive.google.com/file/d/1QGIBOTX9_ufyddShuXqWlT4cFkIHxEv8/view?usp=drive_link" TargetMode="External"/><Relationship Id="rId224" Type="http://schemas.openxmlformats.org/officeDocument/2006/relationships/hyperlink" Target="https://docs.google.com/document/d/1OK-s4BR6oIhsip9rKVJtbVRefmnNN29t/edit?usp=drive_web&amp;ouid=107639235496425521759&amp;rtpof=true" TargetMode="External"/><Relationship Id="rId245" Type="http://schemas.openxmlformats.org/officeDocument/2006/relationships/hyperlink" Target="https://drive.google.com/open?id=1dVP_ZSZxQ0kTO41QZwAz6vljNLWzSfiy&amp;usp=drive_copy" TargetMode="External"/><Relationship Id="rId266" Type="http://schemas.openxmlformats.org/officeDocument/2006/relationships/hyperlink" Target="https://drive.google.com/open?id=1mmekI5HNNxNiBLQle1ELzb6GCo3C9aVS&amp;usp=drive_copy" TargetMode="External"/><Relationship Id="rId287" Type="http://schemas.openxmlformats.org/officeDocument/2006/relationships/hyperlink" Target="https://docs.google.com/document/d/1mMfqs3xSr_SsCouD_yy4hwVpWsAfvgA5/edit?usp=drive_link&amp;ouid=105199658487974895650&amp;rtpof=true&amp;sd=true" TargetMode="External"/><Relationship Id="rId30" Type="http://schemas.openxmlformats.org/officeDocument/2006/relationships/hyperlink" Target="https://docs.google.com/document/d/1IZR2hkwfomDN4AuzIur36hkqxVa5_bNx/edit?usp=drive_link&amp;ouid=105199658487974895650&amp;rtpof=true&amp;sd=true" TargetMode="External"/><Relationship Id="rId105" Type="http://schemas.openxmlformats.org/officeDocument/2006/relationships/hyperlink" Target="https://drive.google.com/open?id=169OguwrrbAQulcfAOD473GRQBmQMaa5R&amp;usp=drive_copy" TargetMode="External"/><Relationship Id="rId126" Type="http://schemas.openxmlformats.org/officeDocument/2006/relationships/hyperlink" Target="https://docs.google.com/document/d/12WIEK-2dvnMY_hMU6ve0LvUKPbG5uGmS/edit?usp=drive_link&amp;ouid=105199658487974895650&amp;rtpof=true&amp;sd=true" TargetMode="External"/><Relationship Id="rId147" Type="http://schemas.openxmlformats.org/officeDocument/2006/relationships/hyperlink" Target="https://drive.google.com/open?id=1XbC3QtSMsCTuWiyEDsaj_aTxdB-J4eBL&amp;usp=drive_copy" TargetMode="External"/><Relationship Id="rId168" Type="http://schemas.openxmlformats.org/officeDocument/2006/relationships/hyperlink" Target="https://drive.google.com/open?id=14esAJUHSs4t3HFzh-G8wXlDJ-YF-_Ubs&amp;usp=drive_copy" TargetMode="External"/><Relationship Id="rId51" Type="http://schemas.openxmlformats.org/officeDocument/2006/relationships/hyperlink" Target="https://docs.google.com/document/d/14IQ53aHIoEb92Pe9KkNtEzBeMpHGakrR/edit?usp=drive_link&amp;ouid=105199658487974895650&amp;rtpof=true&amp;sd=true" TargetMode="External"/><Relationship Id="rId72" Type="http://schemas.openxmlformats.org/officeDocument/2006/relationships/hyperlink" Target="https://docs.google.com/document/d/1rO9OYosCzWkzddHp9TZHAzGsSV8ufW0y/edit?usp=drive_link&amp;ouid=105199658487974895650&amp;rtpof=true&amp;sd=true" TargetMode="External"/><Relationship Id="rId93" Type="http://schemas.openxmlformats.org/officeDocument/2006/relationships/hyperlink" Target="https://drive.google.com/open?id=1qwXEgCwNuMKUBSMdjmjQOqiQYgFqvPV1&amp;usp=drive_copy" TargetMode="External"/><Relationship Id="rId189" Type="http://schemas.openxmlformats.org/officeDocument/2006/relationships/hyperlink" Target="https://drive.google.com/open?id=1g3XFPvJzP2cA4F0k--zAtzD4AyUYCuVK&amp;usp=drive_copy" TargetMode="External"/><Relationship Id="rId3" Type="http://schemas.openxmlformats.org/officeDocument/2006/relationships/hyperlink" Target="https://docs.google.com/document/d/19GEbn0bM4dTLTJIBJLSNH4Ys_dw7g3YS/edit?usp=drive_link&amp;ouid=105199658487974895650&amp;rtpof=true&amp;sd=true" TargetMode="External"/><Relationship Id="rId214" Type="http://schemas.openxmlformats.org/officeDocument/2006/relationships/hyperlink" Target="https://drive.google.com/open?id=1GRfrUabJV68XfryfzEBC1R-YoGMFuK7k&amp;usp=drive_copy" TargetMode="External"/><Relationship Id="rId235" Type="http://schemas.openxmlformats.org/officeDocument/2006/relationships/hyperlink" Target="https://drive.google.com/open?id=1K59P1-4tRU8XdS-VghGMBD3ByGlwiESq&amp;usp=drive_copy" TargetMode="External"/><Relationship Id="rId256" Type="http://schemas.openxmlformats.org/officeDocument/2006/relationships/hyperlink" Target="https://drive.google.com/open?id=1WR4nhtYDXa6mUHVMc4eBVE9UrYCUWqSJ&amp;usp=drive_copy" TargetMode="External"/><Relationship Id="rId277" Type="http://schemas.openxmlformats.org/officeDocument/2006/relationships/hyperlink" Target="https://drive.google.com/open?id=1Ticmhc3JEXxpXgPQaxPmNQqBm7X7pDFs&amp;usp=drive_copy" TargetMode="External"/><Relationship Id="rId298" Type="http://schemas.openxmlformats.org/officeDocument/2006/relationships/hyperlink" Target="https://docs.google.com/document/d/1joPo3IuwgiPLAudJ7rZICle4RsI19_xh/edit?usp=drive_link&amp;ouid=105199658487974895650&amp;rtpof=true&amp;sd=true" TargetMode="External"/><Relationship Id="rId116" Type="http://schemas.openxmlformats.org/officeDocument/2006/relationships/hyperlink" Target="https://drive.google.com/open?id=1-Ku2Fw8VZLbBoWFv3WSjDngBgBdeWU__&amp;usp=drive_copy" TargetMode="External"/><Relationship Id="rId137" Type="http://schemas.openxmlformats.org/officeDocument/2006/relationships/hyperlink" Target="https://drive.google.com/open?id=1XAOxfsckObZnc2FEc1lD3mpDaFS4NVLq&amp;usp=drive_copy" TargetMode="External"/><Relationship Id="rId158" Type="http://schemas.openxmlformats.org/officeDocument/2006/relationships/hyperlink" Target="https://docs.google.com/document/d/1Cdyx1wj6yW3C7L62mW9mwOHMWbE9CH-O/edit?usp=drive_web&amp;ouid=107639235496425521759&amp;rtpof=true" TargetMode="External"/><Relationship Id="rId20" Type="http://schemas.openxmlformats.org/officeDocument/2006/relationships/hyperlink" Target="https://docs.google.com/document/d/1coywM1eaajJ13orPQj1Do1dWZU4JVgQN/edit?usp=drive_link&amp;ouid=105199658487974895650&amp;rtpof=true&amp;sd=true" TargetMode="External"/><Relationship Id="rId41" Type="http://schemas.openxmlformats.org/officeDocument/2006/relationships/hyperlink" Target="https://docs.google.com/document/d/1mdOi2rrj84Dk0twzzlq-j76I29DLS8GM/edit?rtpof=true&amp;tab=t.0" TargetMode="External"/><Relationship Id="rId62" Type="http://schemas.openxmlformats.org/officeDocument/2006/relationships/hyperlink" Target="https://docs.google.com/document/d/1BG24UOS2UrAVDlulljb5uDF40DPksoq1/edit?usp=drive_link&amp;ouid=105199658487974895650&amp;rtpof=true&amp;sd=true" TargetMode="External"/><Relationship Id="rId83" Type="http://schemas.openxmlformats.org/officeDocument/2006/relationships/hyperlink" Target="https://drive.google.com/open?id=1RxB4UTTL-Y5xnCwsn6JhAcR68bXsKye0&amp;usp=drive_copy" TargetMode="External"/><Relationship Id="rId179" Type="http://schemas.openxmlformats.org/officeDocument/2006/relationships/hyperlink" Target="https://drive.google.com/open?id=1xvrnu1O-XN9Tiyszvu98-VNmFX8vGj_4&amp;usp=drive_copy" TargetMode="External"/><Relationship Id="rId190" Type="http://schemas.openxmlformats.org/officeDocument/2006/relationships/hyperlink" Target="https://drive.google.com/open?id=1gtxXfKyFgBeVr6fLnb53iI71vcsuoWkI&amp;usp=drive_copy" TargetMode="External"/><Relationship Id="rId204" Type="http://schemas.openxmlformats.org/officeDocument/2006/relationships/hyperlink" Target="https://drive.google.com/open?id=1aNX-l9JrYMKcOajVc8-K5R74ZA0GZKAz&amp;usp=drive_copy" TargetMode="External"/><Relationship Id="rId225" Type="http://schemas.openxmlformats.org/officeDocument/2006/relationships/hyperlink" Target="https://drive.google.com/drive/folders/1uBYUeCI4ZRZqwmqkyoXGpGDu8q0kpZJV" TargetMode="External"/><Relationship Id="rId246" Type="http://schemas.openxmlformats.org/officeDocument/2006/relationships/hyperlink" Target="https://drive.google.com/open?id=14LE_y37TouVo43yL0KWTqrReUcaKxSfj&amp;usp=drive_copy" TargetMode="External"/><Relationship Id="rId267" Type="http://schemas.openxmlformats.org/officeDocument/2006/relationships/hyperlink" Target="https://drive.google.com/open?id=18_3JePvbpG0dr_fjoym-YDfXDqPW7TuN&amp;usp=drive_copy" TargetMode="External"/><Relationship Id="rId288" Type="http://schemas.openxmlformats.org/officeDocument/2006/relationships/hyperlink" Target="https://drive.google.com/open?id=11x2o2Te-38NeJjwkkg2K2fmf8EhCVimO&amp;usp=drive_copy" TargetMode="External"/><Relationship Id="rId106" Type="http://schemas.openxmlformats.org/officeDocument/2006/relationships/hyperlink" Target="https://drive.google.com/open?id=111ggm6tkKSEtMuJerXAW0mPws2vjrts5&amp;usp=drive_copy" TargetMode="External"/><Relationship Id="rId127" Type="http://schemas.openxmlformats.org/officeDocument/2006/relationships/hyperlink" Target="https://docs.google.com/document/d/1Bd-_fo8FHO0qUsmjE4cl0iV5-9wLBAUd/edit?usp=drive_link&amp;ouid=105199658487974895650&amp;rtpof=true&amp;sd=true" TargetMode="External"/><Relationship Id="rId10" Type="http://schemas.openxmlformats.org/officeDocument/2006/relationships/hyperlink" Target="https://drive.google.com/drive/folders/1b5R1kHy-PLFkZjUhsKWhrPqq8ewyeq9v" TargetMode="External"/><Relationship Id="rId31" Type="http://schemas.openxmlformats.org/officeDocument/2006/relationships/hyperlink" Target="https://docs.google.com/document/d/1NV5UY6eB89O8Oyn5qC4qkkfKnIh-EoMC/edit?usp=drive_link&amp;ouid=105199658487974895650&amp;rtpof=true&amp;sd=true" TargetMode="External"/><Relationship Id="rId52" Type="http://schemas.openxmlformats.org/officeDocument/2006/relationships/hyperlink" Target="https://docs.google.com/document/d/1jsPAcZYChYaTIb0mY6n62oAHSNoVk_Cw/edit?usp=drive_link&amp;ouid=105199658487974895650&amp;rtpof=true&amp;sd=true" TargetMode="External"/><Relationship Id="rId73" Type="http://schemas.openxmlformats.org/officeDocument/2006/relationships/hyperlink" Target="https://docs.google.com/document/d/14dlTR1FaS_JTSjZEUVn5KApUFDXXWY1P/edit?usp=drive_link&amp;ouid=105199658487974895650&amp;rtpof=true&amp;sd=true" TargetMode="External"/><Relationship Id="rId94" Type="http://schemas.openxmlformats.org/officeDocument/2006/relationships/hyperlink" Target="https://drive.google.com/open?id=1uCLq5EsksFVXx253jTzfDJzyoiYx_VjN&amp;usp=drive_copy" TargetMode="External"/><Relationship Id="rId148" Type="http://schemas.openxmlformats.org/officeDocument/2006/relationships/hyperlink" Target="https://drive.google.com/open?id=1mU06eR5EE731zUB5RAVVj5bh99v1Gto5&amp;usp=drive_copy" TargetMode="External"/><Relationship Id="rId169" Type="http://schemas.openxmlformats.org/officeDocument/2006/relationships/hyperlink" Target="https://drive.google.com/open?id=1m_w6DUsodrFoykN54-wQpvnC7AJr4RHb&amp;usp=drive_copy" TargetMode="External"/><Relationship Id="rId4" Type="http://schemas.openxmlformats.org/officeDocument/2006/relationships/hyperlink" Target="https://drive.google.com/file/d/1B_VcJ9UfDN79PrElCXAdW-S20MD2_oho/view?usp=drive_link" TargetMode="External"/><Relationship Id="rId180" Type="http://schemas.openxmlformats.org/officeDocument/2006/relationships/hyperlink" Target="https://drive.google.com/open?id=1ug0bL16a6PqwGY_LhLiS6r6ooTLQuYRx&amp;usp=drive_copy" TargetMode="External"/><Relationship Id="rId215" Type="http://schemas.openxmlformats.org/officeDocument/2006/relationships/hyperlink" Target="https://drive.google.com/open?id=17yqpF5IpbmO9SjJn8Ca9c-MB4UADenDx&amp;usp=drive_copy" TargetMode="External"/><Relationship Id="rId236" Type="http://schemas.openxmlformats.org/officeDocument/2006/relationships/hyperlink" Target="https://drive.google.com/open?id=1c83DKd_MPGW_XLl0D4TFHiQ2ZbzeXMhN&amp;usp=drive_copy" TargetMode="External"/><Relationship Id="rId257" Type="http://schemas.openxmlformats.org/officeDocument/2006/relationships/hyperlink" Target="https://drive.google.com/open?id=1Ecxyz6yUrpss-m0htiWDCpgfkRqm6DYG&amp;usp=drive_copy" TargetMode="External"/><Relationship Id="rId278" Type="http://schemas.openxmlformats.org/officeDocument/2006/relationships/hyperlink" Target="https://drive.google.com/open?id=1uyJeeEDSPACYwdtPjbPOSZ8ED-7QgLF4&amp;usp=drive_copy" TargetMode="External"/><Relationship Id="rId42" Type="http://schemas.openxmlformats.org/officeDocument/2006/relationships/hyperlink" Target="https://drive.google.com/drive/folders/1RnUeZsXyKxs69g4PplyFR-R5IdWF7cCe" TargetMode="External"/><Relationship Id="rId84" Type="http://schemas.openxmlformats.org/officeDocument/2006/relationships/hyperlink" Target="https://docs.google.com/document/d/1HG0UxFUHZMkt7O08Hwh-n7jfPMJm3BtM/edit" TargetMode="External"/><Relationship Id="rId138" Type="http://schemas.openxmlformats.org/officeDocument/2006/relationships/hyperlink" Target="https://drive.google.com/open?id=137c7HnIfPjtWQohB6HWOf7_tI0o-ufQG&amp;usp=drive_copy" TargetMode="External"/><Relationship Id="rId191" Type="http://schemas.openxmlformats.org/officeDocument/2006/relationships/hyperlink" Target="https://docs.google.com/document/d/1vpmvIYOPYkuPrCtf5Xzoop5CcLmYgGOD/edit?rtpof=true&amp;tab=t.0" TargetMode="External"/><Relationship Id="rId205" Type="http://schemas.openxmlformats.org/officeDocument/2006/relationships/hyperlink" Target="https://drive.google.com/open?id=1WgS1rn87zayuFpxAITsQrSGVWBw107WP&amp;usp=drive_copy" TargetMode="External"/><Relationship Id="rId247" Type="http://schemas.openxmlformats.org/officeDocument/2006/relationships/hyperlink" Target="https://drive.google.com/open?id=1EUFvHBV584pFPQhy5A-yT-ThJTnk_t3A&amp;usp=drive_copy" TargetMode="External"/><Relationship Id="rId107" Type="http://schemas.openxmlformats.org/officeDocument/2006/relationships/hyperlink" Target="https://drive.google.com/open?id=11Ux4uhMvWdutKifmh5Kim36QxeaeudkJ&amp;usp=drive_copy" TargetMode="External"/><Relationship Id="rId289" Type="http://schemas.openxmlformats.org/officeDocument/2006/relationships/hyperlink" Target="https://drive.google.com/open?id=1VIrLsN1omwQXj-h_HqHsRT4pZ1J3ElXOFmNQCu-qpk0&amp;usp=drive_copy" TargetMode="External"/><Relationship Id="rId11" Type="http://schemas.openxmlformats.org/officeDocument/2006/relationships/hyperlink" Target="https://docs.google.com/document/d/1zcwRl-g2hX94CBooXIcQITbGc6i0CBqx/edit?usp=drive_link&amp;ouid=105199658487974895650&amp;rtpof=true&amp;sd=true" TargetMode="External"/><Relationship Id="rId53" Type="http://schemas.openxmlformats.org/officeDocument/2006/relationships/hyperlink" Target="https://docs.google.com/document/d/127aeRQ_wQgskIv4TubB9hl1kDyhflCaw/edit?usp=drive_link&amp;ouid=105199658487974895650&amp;rtpof=true&amp;sd=true" TargetMode="External"/><Relationship Id="rId149" Type="http://schemas.openxmlformats.org/officeDocument/2006/relationships/hyperlink" Target="https://drive.google.com/open?id=1ORwZUkKspNjmcMM6LteRWAL9q1tB_7wG&amp;usp=drive_copy" TargetMode="External"/><Relationship Id="rId95" Type="http://schemas.openxmlformats.org/officeDocument/2006/relationships/hyperlink" Target="https://drive.google.com/open?id=1zqb6EW71VyH-k3cVxpyd4r7CfX0kREhv&amp;usp=drive_copy" TargetMode="External"/><Relationship Id="rId160" Type="http://schemas.openxmlformats.org/officeDocument/2006/relationships/hyperlink" Target="https://docs.google.com/document/d/1nmm5HVW2Fois43017XxBpDqWmMp4odMB/edit?rtpof=true&amp;tab=t.0" TargetMode="External"/><Relationship Id="rId216" Type="http://schemas.openxmlformats.org/officeDocument/2006/relationships/hyperlink" Target="https://drive.google.com/open?id=1xa0iMkxXNjOd0sBWC2hnuPAJSHbdIudW&amp;usp=drive_copy" TargetMode="External"/><Relationship Id="rId258" Type="http://schemas.openxmlformats.org/officeDocument/2006/relationships/hyperlink" Target="https://drive.google.com/open?id=1E8__U-3GrxRIl-uOhIHuoCeFNHpkm54G&amp;usp=drive_copy" TargetMode="External"/><Relationship Id="rId22" Type="http://schemas.openxmlformats.org/officeDocument/2006/relationships/hyperlink" Target="https://docs.google.com/document/d/1j7oS2OQQvreuNSs1KNz6G1VifrFbURtu/edit?usp=drive_link&amp;ouid=105199658487974895650&amp;rtpof=true&amp;sd=true" TargetMode="External"/><Relationship Id="rId64" Type="http://schemas.openxmlformats.org/officeDocument/2006/relationships/hyperlink" Target="https://docs.google.com/document/d/1Q0AqMK72JmZmtDiIviqIhmoqPbtHAkIb/edit?usp=drive_link&amp;ouid=105199658487974895650&amp;rtpof=true&amp;sd=true" TargetMode="External"/><Relationship Id="rId118" Type="http://schemas.openxmlformats.org/officeDocument/2006/relationships/hyperlink" Target="https://docs.google.com/document/d/1QkYDUijIOCLhMCDEkhqRuTyQkU8uRgIu/edit?usp=drive_link&amp;ouid=105199658487974895650&amp;rtpof=true&amp;sd=true" TargetMode="External"/><Relationship Id="rId171" Type="http://schemas.openxmlformats.org/officeDocument/2006/relationships/hyperlink" Target="https://drive.google.com/open?id=1HM-Fm7SKJgSmKdSRGsnQ6L0ZpBVtwd1A&amp;usp=drive_copy" TargetMode="External"/><Relationship Id="rId227" Type="http://schemas.openxmlformats.org/officeDocument/2006/relationships/hyperlink" Target="https://drive.google.com/open?id=1MIyB6-_1WK3MUIOMXsBPcxQK4dcspxYK&amp;usp=drive_copy" TargetMode="External"/><Relationship Id="rId269" Type="http://schemas.openxmlformats.org/officeDocument/2006/relationships/hyperlink" Target="https://drive.google.com/open?id=1uviDzEpauplg9WCVswfcyj3VYNlBMDxO&amp;usp=drive_copy" TargetMode="External"/><Relationship Id="rId33" Type="http://schemas.openxmlformats.org/officeDocument/2006/relationships/hyperlink" Target="https://docs.google.com/document/d/1evWM1FntuA1FBC42qkPLN02bQGkftE-P/edit?usp=drive_link&amp;ouid=105199658487974895650&amp;rtpof=true&amp;sd=true" TargetMode="External"/><Relationship Id="rId129" Type="http://schemas.openxmlformats.org/officeDocument/2006/relationships/hyperlink" Target="https://drive.google.com/open?id=187IQHlOMusvIMvkXJgACwRK70tebdKvb&amp;usp=drive_copy" TargetMode="External"/><Relationship Id="rId280" Type="http://schemas.openxmlformats.org/officeDocument/2006/relationships/hyperlink" Target="https://drive.google.com/open?id=1S6d_mWKAjnVCud-1NhoqkuysAVqDKr3T&amp;usp=drive_copy"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cs.google.com/document/d/1vQunDtpmZ_ljTjEX6aiPxeywvkmO7_hQ/edit?usp=drive_link&amp;ouid=105199658487974895650&amp;rtpof=true&amp;sd=true" TargetMode="External"/><Relationship Id="rId299" Type="http://schemas.openxmlformats.org/officeDocument/2006/relationships/hyperlink" Target="https://drive.google.com/open?id=1lzVlmx2P-yFGFotItnykcL_yM1N29hXw&amp;usp=drive_copy" TargetMode="External"/><Relationship Id="rId21" Type="http://schemas.openxmlformats.org/officeDocument/2006/relationships/hyperlink" Target="https://drive.google.com/open?id=1XoUWXmcjoSf8zzKMhsEpiP6Mm10jg-mj&amp;usp=drive_copy" TargetMode="External"/><Relationship Id="rId63" Type="http://schemas.openxmlformats.org/officeDocument/2006/relationships/hyperlink" Target="https://drive.google.com/open?id=1HC_Am1nypD3syP_rErZQq36uwzSNX9Bf&amp;usp=drive_copy" TargetMode="External"/><Relationship Id="rId159" Type="http://schemas.openxmlformats.org/officeDocument/2006/relationships/hyperlink" Target="https://drive.google.com/open?id=1rb73g10gvRNgR4ibXJPhtbJrWQAnMGTs&amp;usp=drive_copy" TargetMode="External"/><Relationship Id="rId324" Type="http://schemas.openxmlformats.org/officeDocument/2006/relationships/hyperlink" Target="https://drive.google.com/open?id=1Ticmhc3JEXxpXgPQaxPmNQqBm7X7pDFs&amp;usp=drive_copy" TargetMode="External"/><Relationship Id="rId366" Type="http://schemas.openxmlformats.org/officeDocument/2006/relationships/hyperlink" Target="https://drive.google.com/drive/folders/10s_k_QV4QOR1RY2R1V5fdPIZsu4SW4G8" TargetMode="External"/><Relationship Id="rId170" Type="http://schemas.openxmlformats.org/officeDocument/2006/relationships/hyperlink" Target="https://drive.google.com/open?id=1Yy7QLAMshM-DhhGfZRBUnwyeekxn999J&amp;usp=drive_copy" TargetMode="External"/><Relationship Id="rId226" Type="http://schemas.openxmlformats.org/officeDocument/2006/relationships/hyperlink" Target="https://drive.google.com/open?id=1tVFv28a8MAwbUoFzMiGvjN7NxniGVgt4&amp;usp=drive_copy" TargetMode="External"/><Relationship Id="rId268" Type="http://schemas.openxmlformats.org/officeDocument/2006/relationships/hyperlink" Target="https://drive.google.com/open?id=1qwXEgCwNuMKUBSMdjmjQOqiQYgFqvPV1&amp;usp=drive_copy" TargetMode="External"/><Relationship Id="rId32" Type="http://schemas.openxmlformats.org/officeDocument/2006/relationships/hyperlink" Target="https://drive.google.com/drive/folders/1NTLhLEm9U0F1sojpLhawby7P8xbJpq08" TargetMode="External"/><Relationship Id="rId74" Type="http://schemas.openxmlformats.org/officeDocument/2006/relationships/hyperlink" Target="https://drive.google.com/open?id=1n89OcmNogxFH9crqpAJXN1pkxaDxfPqZ&amp;usp=drive_copy" TargetMode="External"/><Relationship Id="rId128" Type="http://schemas.openxmlformats.org/officeDocument/2006/relationships/hyperlink" Target="https://docs.google.com/document/d/1a4IJ-37F2UndNPQePsFJQly1_4sL5gNm/edit?usp=drive_link&amp;ouid=105199658487974895650&amp;rtpof=true&amp;sd=true" TargetMode="External"/><Relationship Id="rId335" Type="http://schemas.openxmlformats.org/officeDocument/2006/relationships/hyperlink" Target="https://drive.google.com/open?id=1M3Oe-7hMqKMlQdj_qIDlT3KG69Lasp81&amp;usp=drive_copy" TargetMode="External"/><Relationship Id="rId377" Type="http://schemas.openxmlformats.org/officeDocument/2006/relationships/hyperlink" Target="https://docs.google.com/document/d/1zhgwWe-uaTaDTcRSRfk0k0ZOSPWRi5a5/edit?usp=drive_link&amp;ouid=105199658487974895650&amp;rtpof=true&amp;sd=true" TargetMode="External"/><Relationship Id="rId5" Type="http://schemas.openxmlformats.org/officeDocument/2006/relationships/hyperlink" Target="https://drive.google.com/open?id=15NZYM-6HIT2wMeU08VbRjx67fmYzI5Id&amp;usp=drive_copy" TargetMode="External"/><Relationship Id="rId181" Type="http://schemas.openxmlformats.org/officeDocument/2006/relationships/hyperlink" Target="https://drive.google.com/open?id=1OHZXywSx-7oAkQGEl80-6VyQ51ESMT_E&amp;usp=drive_copy" TargetMode="External"/><Relationship Id="rId237" Type="http://schemas.openxmlformats.org/officeDocument/2006/relationships/hyperlink" Target="https://docs.google.com/document/d/12UjVBB6W6EzdFCZXmVekjIJDAEWpmHWg/edit" TargetMode="External"/><Relationship Id="rId279" Type="http://schemas.openxmlformats.org/officeDocument/2006/relationships/hyperlink" Target="https://drive.google.com/open?id=1-X4PG_oZ397_UourpVZ1mMAPQ8YTBjqt&amp;usp=drive_copy" TargetMode="External"/><Relationship Id="rId43" Type="http://schemas.openxmlformats.org/officeDocument/2006/relationships/hyperlink" Target="https://docs.google.com/document/d/1QkYDUijIOCLhMCDEkhqRuTyQkU8uRgIu/edit?usp=drive_link&amp;ouid=105199658487974895650&amp;rtpof=true&amp;sd=true" TargetMode="External"/><Relationship Id="rId139" Type="http://schemas.openxmlformats.org/officeDocument/2006/relationships/hyperlink" Target="https://docs.google.com/document/d/1mdOi2rrj84Dk0twzzlq-j76I29DLS8GM/edit?rtpof=true&amp;tab=t.0" TargetMode="External"/><Relationship Id="rId290" Type="http://schemas.openxmlformats.org/officeDocument/2006/relationships/hyperlink" Target="https://drive.google.com/open?id=1NaqkDKOTusfCyXe2__ySPF4gP0eCDATb&amp;usp=drive_copy" TargetMode="External"/><Relationship Id="rId304" Type="http://schemas.openxmlformats.org/officeDocument/2006/relationships/hyperlink" Target="https://drive.google.com/open?id=1Ecxyz6yUrpss-m0htiWDCpgfkRqm6DYG&amp;usp=drive_copy" TargetMode="External"/><Relationship Id="rId346" Type="http://schemas.openxmlformats.org/officeDocument/2006/relationships/hyperlink" Target="https://drive.google.com/open?id=1aNX-l9JrYMKcOajVc8-K5R74ZA0GZKAz&amp;usp=drive_copy" TargetMode="External"/><Relationship Id="rId85" Type="http://schemas.openxmlformats.org/officeDocument/2006/relationships/hyperlink" Target="https://drive.google.com/open?id=11nQNLCgqK3swkWaieYm7P20PQ4B9mY1B&amp;usp=drive_copy" TargetMode="External"/><Relationship Id="rId150" Type="http://schemas.openxmlformats.org/officeDocument/2006/relationships/hyperlink" Target="https://drive.google.com/open?id=169OguwrrbAQulcfAOD473GRQBmQMaa5R&amp;usp=drive_copy" TargetMode="External"/><Relationship Id="rId192" Type="http://schemas.openxmlformats.org/officeDocument/2006/relationships/hyperlink" Target="https://drive.google.com/open?id=1u0EnW5jHgcTLv17xeNPQ7EQYZV_O1iIz&amp;usp=drive_copy" TargetMode="External"/><Relationship Id="rId206" Type="http://schemas.openxmlformats.org/officeDocument/2006/relationships/hyperlink" Target="https://drive.google.com/open?id=1zlp5l2jsKMNXfFM_0uo-bLMQj3Y0hHtR&amp;usp=drive_copy" TargetMode="External"/><Relationship Id="rId248" Type="http://schemas.openxmlformats.org/officeDocument/2006/relationships/hyperlink" Target="https://docs.google.com/document/d/1kRvazGXJlhdL5KiNr2HSCX65Mi-upIXv/edit" TargetMode="External"/><Relationship Id="rId12" Type="http://schemas.openxmlformats.org/officeDocument/2006/relationships/hyperlink" Target="https://docs.google.com/document/d/11DH5er_3b4jA-d5q22grJTY3WK9y8EWf/edit?usp=drive_link&amp;ouid=105199658487974895650&amp;rtpof=true&amp;sd=true" TargetMode="External"/><Relationship Id="rId108" Type="http://schemas.openxmlformats.org/officeDocument/2006/relationships/hyperlink" Target="https://drive.google.com/drive/folders/13stFH7FVmleCS3tRCXp3HjuoXnSsYKE_" TargetMode="External"/><Relationship Id="rId315" Type="http://schemas.openxmlformats.org/officeDocument/2006/relationships/hyperlink" Target="https://drive.google.com/open?id=19WldkeiZFcrHborbh_FABtb3vV3O8V-s&amp;usp=drive_copy" TargetMode="External"/><Relationship Id="rId357" Type="http://schemas.openxmlformats.org/officeDocument/2006/relationships/hyperlink" Target="https://drive.google.com/open?id=17yqpF5IpbmO9SjJn8Ca9c-MB4UADenDx&amp;usp=drive_copy" TargetMode="External"/><Relationship Id="rId54" Type="http://schemas.openxmlformats.org/officeDocument/2006/relationships/hyperlink" Target="https://drive.google.com/open?id=1tuu-VWJyX-Y5W2l8aU1yFc57FIH5_Gp3&amp;usp=drive_copy" TargetMode="External"/><Relationship Id="rId96" Type="http://schemas.openxmlformats.org/officeDocument/2006/relationships/hyperlink" Target="https://drive.google.com/open?id=1nh74eNwqpqajB7KBxsGjUaptVpXvO39K&amp;usp=drive_copy" TargetMode="External"/><Relationship Id="rId161" Type="http://schemas.openxmlformats.org/officeDocument/2006/relationships/hyperlink" Target="https://drive.google.com/open?id=1V5iU5J8YMQeN3A2j3li7iTMYP-WX8hEC&amp;usp=drive_copy" TargetMode="External"/><Relationship Id="rId217" Type="http://schemas.openxmlformats.org/officeDocument/2006/relationships/hyperlink" Target="https://drive.google.com/open?id=1t-4iY-cmuqU3spVE4pS-y0iipJYbXB27&amp;usp=drive_copy" TargetMode="External"/><Relationship Id="rId259" Type="http://schemas.openxmlformats.org/officeDocument/2006/relationships/hyperlink" Target="https://drive.google.com/open?id=1x_DJj2SRurOp7cpHP3iWw5lP4LIQuKKq&amp;usp=drive_copy" TargetMode="External"/><Relationship Id="rId23" Type="http://schemas.openxmlformats.org/officeDocument/2006/relationships/hyperlink" Target="https://drive.google.com/open?id=1Kdrb3gszvxW1N-vIwJJ75Y5HnxCNXkDM&amp;usp=drive_copy" TargetMode="External"/><Relationship Id="rId119" Type="http://schemas.openxmlformats.org/officeDocument/2006/relationships/hyperlink" Target="https://docs.google.com/document/d/1AIHzOWs3JW--rgifGml-PosMA8MoxzvO/edit?usp=drive_link&amp;ouid=105199658487974895650&amp;rtpof=true&amp;sd=true" TargetMode="External"/><Relationship Id="rId270" Type="http://schemas.openxmlformats.org/officeDocument/2006/relationships/hyperlink" Target="https://drive.google.com/open?id=1zqb6EW71VyH-k3cVxpyd4r7CfX0kREhv&amp;usp=drive_copy" TargetMode="External"/><Relationship Id="rId326" Type="http://schemas.openxmlformats.org/officeDocument/2006/relationships/hyperlink" Target="https://drive.google.com/open?id=1ElTyo4lRg_fuhmtxA0SPZXT-kn3KNF7I&amp;usp=drive_copy" TargetMode="External"/><Relationship Id="rId65" Type="http://schemas.openxmlformats.org/officeDocument/2006/relationships/hyperlink" Target="https://drive.google.com/open?id=1LgpGji5N1-Fs6Ek6TRKx1xm_88xxAO38&amp;usp=drive_copy" TargetMode="External"/><Relationship Id="rId130" Type="http://schemas.openxmlformats.org/officeDocument/2006/relationships/hyperlink" Target="https://docs.google.com/document/d/17V701lsj2QcqgtLvLbZ3p2coyIGV9FsV/edit?usp=drive_link&amp;ouid=105199658487974895650&amp;rtpof=true&amp;sd=true" TargetMode="External"/><Relationship Id="rId368" Type="http://schemas.openxmlformats.org/officeDocument/2006/relationships/hyperlink" Target="https://drive.google.com/drive/folders/1XAg2ajJL5sq25UMk-b-r4ZxCyDAOX5r4" TargetMode="External"/><Relationship Id="rId172" Type="http://schemas.openxmlformats.org/officeDocument/2006/relationships/hyperlink" Target="https://drive.google.com/open?id=1Zs1GeoWsNs08sPR5ovWM60frjxmVnH6h&amp;usp=drive_copy" TargetMode="External"/><Relationship Id="rId228" Type="http://schemas.openxmlformats.org/officeDocument/2006/relationships/hyperlink" Target="https://drive.google.com/open?id=1xGem_UyXvbIV0qKeng0ps1x5Fp8GVujP&amp;usp=drive_copy" TargetMode="External"/><Relationship Id="rId281" Type="http://schemas.openxmlformats.org/officeDocument/2006/relationships/hyperlink" Target="https://drive.google.com/open?id=14KB1G-foCQnSmboT_1YFLNeGP8I2UKY7&amp;usp=drive_copy" TargetMode="External"/><Relationship Id="rId337" Type="http://schemas.openxmlformats.org/officeDocument/2006/relationships/hyperlink" Target="https://drive.google.com/open?id=16ngyooykjoC3N2vgaTSH90F9ltNEVyRG&amp;usp=drive_copy" TargetMode="External"/><Relationship Id="rId34" Type="http://schemas.openxmlformats.org/officeDocument/2006/relationships/hyperlink" Target="https://drive.google.com/open?id=11Ux4uhMvWdutKifmh5Kim36QxeaeudkJ&amp;usp=drive_copy" TargetMode="External"/><Relationship Id="rId76" Type="http://schemas.openxmlformats.org/officeDocument/2006/relationships/hyperlink" Target="https://drive.google.com/open?id=180TP36DJvhEwKTosnz-iM9JxMk9Vx6C5&amp;usp=drive_copy" TargetMode="External"/><Relationship Id="rId141" Type="http://schemas.openxmlformats.org/officeDocument/2006/relationships/hyperlink" Target="https://docs.google.com/document/d/1ZOeo49bKCQoqCcKmk-aU36bccfBZtfy2/edit?usp=drive_web&amp;ouid=107639235496425521759&amp;rtpof=true" TargetMode="External"/><Relationship Id="rId379" Type="http://schemas.openxmlformats.org/officeDocument/2006/relationships/hyperlink" Target="https://docs.google.com/document/d/1wVEg8Bw2J5eM5IYUTEWpCNYXQJPB71fx/edit?usp=drive_link&amp;ouid=105199658487974895650&amp;rtpof=true&amp;sd=true" TargetMode="External"/><Relationship Id="rId7" Type="http://schemas.openxmlformats.org/officeDocument/2006/relationships/hyperlink" Target="https://docs.google.com/document/d/1atqO4PAjICH1tqJuLn0B5DJ3CKhTqAM5cTlnO2Aco-o/edit?tab=t.0" TargetMode="External"/><Relationship Id="rId183" Type="http://schemas.openxmlformats.org/officeDocument/2006/relationships/hyperlink" Target="https://drive.google.com/open?id=1RpwYeiWtc8Kcf-hQ3R4Ft8KMzrtZmtG4&amp;usp=drive_copy" TargetMode="External"/><Relationship Id="rId239" Type="http://schemas.openxmlformats.org/officeDocument/2006/relationships/hyperlink" Target="https://docs.google.com/document/d/1eSShovXLrtRcPo8buTe6WstpaUlb1Klv/edit" TargetMode="External"/><Relationship Id="rId250" Type="http://schemas.openxmlformats.org/officeDocument/2006/relationships/hyperlink" Target="https://docs.google.com/document/d/14dlTR1FaS_JTSjZEUVn5KApUFDXXWY1P/edit?usp=drive_link&amp;ouid=105199658487974895650&amp;rtpof=true&amp;sd=true" TargetMode="External"/><Relationship Id="rId292" Type="http://schemas.openxmlformats.org/officeDocument/2006/relationships/hyperlink" Target="https://drive.google.com/open?id=1dVP_ZSZxQ0kTO41QZwAz6vljNLWzSfiy&amp;usp=drive_copy" TargetMode="External"/><Relationship Id="rId306" Type="http://schemas.openxmlformats.org/officeDocument/2006/relationships/hyperlink" Target="https://drive.google.com/open?id=19SEFvLHheH0rqYxDXZ1riOCs_6eRl9kv&amp;usp=drive_copy" TargetMode="External"/><Relationship Id="rId45" Type="http://schemas.openxmlformats.org/officeDocument/2006/relationships/hyperlink" Target="https://docs.google.com/document/d/1YimCmCQLtl4BdZkBowT6Tu6wn_XE5xpC/edit?usp=drive_link&amp;ouid=105199658487974895650&amp;rtpof=true&amp;sd=true" TargetMode="External"/><Relationship Id="rId87" Type="http://schemas.openxmlformats.org/officeDocument/2006/relationships/hyperlink" Target="https://drive.google.com/open?id=1GwPvRi5JTKFtJEY8fXsx1_pSNG-ng6cN&amp;usp=drive_copy" TargetMode="External"/><Relationship Id="rId110" Type="http://schemas.openxmlformats.org/officeDocument/2006/relationships/hyperlink" Target="https://drive.google.com/drive/folders/1XajcvCUEFjbvl6SoiyvjR1QICbC2amsR" TargetMode="External"/><Relationship Id="rId348" Type="http://schemas.openxmlformats.org/officeDocument/2006/relationships/hyperlink" Target="https://drive.google.com/open?id=1bzzSCCNr-UlxF0sLKxQaRZ4IsWYpinIP&amp;usp=drive_copy" TargetMode="External"/><Relationship Id="rId152" Type="http://schemas.openxmlformats.org/officeDocument/2006/relationships/hyperlink" Target="https://drive.google.com/open?id=1sr-pV9AKeeV43o-uYL7fQ1ZiWLo7_GKw&amp;usp=drive_copy" TargetMode="External"/><Relationship Id="rId194" Type="http://schemas.openxmlformats.org/officeDocument/2006/relationships/hyperlink" Target="https://drive.google.com/drive/folders/1Sbjwt34Irh5x1zgq_mv1qq1EQE-muHAc?usp=drive_link" TargetMode="External"/><Relationship Id="rId208" Type="http://schemas.openxmlformats.org/officeDocument/2006/relationships/hyperlink" Target="https://drive.google.com/open?id=14esAJUHSs4t3HFzh-G8wXlDJ-YF-_Ubs&amp;usp=drive_copy" TargetMode="External"/><Relationship Id="rId261" Type="http://schemas.openxmlformats.org/officeDocument/2006/relationships/hyperlink" Target="https://docs.google.com/document/d/1HG0UxFUHZMkt7O08Hwh-n7jfPMJm3BtM/edit" TargetMode="External"/><Relationship Id="rId14" Type="http://schemas.openxmlformats.org/officeDocument/2006/relationships/hyperlink" Target="https://docs.google.com/document/d/1v-rpf4bZCEhOHAMLMKbpGqCH_VdrPbRi/edit?usp=drive_link&amp;ouid=105199658487974895650&amp;rtpof=true&amp;sd=true" TargetMode="External"/><Relationship Id="rId56" Type="http://schemas.openxmlformats.org/officeDocument/2006/relationships/hyperlink" Target="https://drive.google.com/open?id=1HS8AhLRaOD3hrenN1qXv6dnXvTgdyIUg&amp;usp=drive_copy" TargetMode="External"/><Relationship Id="rId317" Type="http://schemas.openxmlformats.org/officeDocument/2006/relationships/hyperlink" Target="https://drive.google.com/open?id=1_OFFqxo2MYu8xHlIAbinguEqhmrbEh4h&amp;usp=drive_copy" TargetMode="External"/><Relationship Id="rId359" Type="http://schemas.openxmlformats.org/officeDocument/2006/relationships/hyperlink" Target="https://drive.google.com/open?id=1lhAZ14Mva3TnRTPezW8fn1CovE-SRPiA&amp;usp=drive_copy" TargetMode="External"/><Relationship Id="rId98" Type="http://schemas.openxmlformats.org/officeDocument/2006/relationships/hyperlink" Target="https://drive.google.com/open?id=1b31y11SWxSpuNvJwdvWfsCj2RcjyUz8f&amp;usp=drive_copy" TargetMode="External"/><Relationship Id="rId121" Type="http://schemas.openxmlformats.org/officeDocument/2006/relationships/hyperlink" Target="https://drive.google.com/file/d/1QGIBOTX9_ufyddShuXqWlT4cFkIHxEv8/view?usp=drive_link" TargetMode="External"/><Relationship Id="rId163" Type="http://schemas.openxmlformats.org/officeDocument/2006/relationships/hyperlink" Target="https://drive.google.com/open?id=1blR5sEX_rzpVg9m3ma-rgjSAaWgKyLlj&amp;usp=drive_copy" TargetMode="External"/><Relationship Id="rId219" Type="http://schemas.openxmlformats.org/officeDocument/2006/relationships/hyperlink" Target="https://drive.google.com/open?id=17cTo1OP0vH9pS6I_TJIEDwLBRCrN2Ip4&amp;usp=drive_copy" TargetMode="External"/><Relationship Id="rId370" Type="http://schemas.openxmlformats.org/officeDocument/2006/relationships/hyperlink" Target="https://drive.google.com/drive/folders/1uBYUeCI4ZRZqwmqkyoXGpGDu8q0kpZJV" TargetMode="External"/><Relationship Id="rId230" Type="http://schemas.openxmlformats.org/officeDocument/2006/relationships/hyperlink" Target="https://drive.google.com/open?id=1VIEEZkoRW-x6UkmbiZyvHQ3x4iZvAGki&amp;usp=drive_copy" TargetMode="External"/><Relationship Id="rId25" Type="http://schemas.openxmlformats.org/officeDocument/2006/relationships/hyperlink" Target="https://drive.google.com/open?id=1BJ7jVc1i-_aeu00nGip-eRu4y-ymCAuE&amp;usp=drive_copy" TargetMode="External"/><Relationship Id="rId67" Type="http://schemas.openxmlformats.org/officeDocument/2006/relationships/hyperlink" Target="https://drive.google.com/open?id=15XVRdIltLa4hKdTNi5QTr8QwAwKE3TQw&amp;usp=drive_copy" TargetMode="External"/><Relationship Id="rId272" Type="http://schemas.openxmlformats.org/officeDocument/2006/relationships/hyperlink" Target="https://drive.google.com/open?id=1JtpdRJsMQoTIfpkbr9E0hA189XnOg80U&amp;usp=drive_copy" TargetMode="External"/><Relationship Id="rId328" Type="http://schemas.openxmlformats.org/officeDocument/2006/relationships/hyperlink" Target="https://drive.google.com/open?id=1WnKwH2sY5krwt5ZMSBKPmEqlCdo-0OJE&amp;usp=drive_copy" TargetMode="External"/><Relationship Id="rId132" Type="http://schemas.openxmlformats.org/officeDocument/2006/relationships/hyperlink" Target="https://docs.google.com/document/d/1IZR2hkwfomDN4AuzIur36hkqxVa5_bNx/edit?usp=drive_link&amp;ouid=105199658487974895650&amp;rtpof=true&amp;sd=true" TargetMode="External"/><Relationship Id="rId174" Type="http://schemas.openxmlformats.org/officeDocument/2006/relationships/hyperlink" Target="https://drive.google.com/open?id=1mhAllc_o6z4v8mMVkxSFVAx-vNLA-mgn&amp;usp=drive_copy" TargetMode="External"/><Relationship Id="rId381" Type="http://schemas.openxmlformats.org/officeDocument/2006/relationships/hyperlink" Target="https://docs.google.com/document/d/1JI8PFcLVxp9XK4nBtEY0Ge26UxILhM8o/edit" TargetMode="External"/><Relationship Id="rId241" Type="http://schemas.openxmlformats.org/officeDocument/2006/relationships/hyperlink" Target="https://docs.google.com/document/d/1CFR29KTHONlOncKB4eVelXuO_C_zOyuK/edit" TargetMode="External"/><Relationship Id="rId36" Type="http://schemas.openxmlformats.org/officeDocument/2006/relationships/hyperlink" Target="https://drive.google.com/open?id=1cv4K3aJpIinGtbIFmBwdDuJYme7ABLwp&amp;usp=drive_copy" TargetMode="External"/><Relationship Id="rId283" Type="http://schemas.openxmlformats.org/officeDocument/2006/relationships/hyperlink" Target="https://drive.google.com/open?id=1c83DKd_MPGW_XLl0D4TFHiQ2ZbzeXMhN&amp;usp=drive_copy" TargetMode="External"/><Relationship Id="rId339" Type="http://schemas.openxmlformats.org/officeDocument/2006/relationships/hyperlink" Target="https://drive.google.com/open?id=1LpH8HsYNDFA2Jl3a68bIdyrPKLqwqetu&amp;usp=drive_copy" TargetMode="External"/><Relationship Id="rId78" Type="http://schemas.openxmlformats.org/officeDocument/2006/relationships/hyperlink" Target="https://drive.google.com/open?id=1px0qdO3tvMJp_ACPOHG2q9thcciDO8iR&amp;usp=drive_copy" TargetMode="External"/><Relationship Id="rId101" Type="http://schemas.openxmlformats.org/officeDocument/2006/relationships/hyperlink" Target="https://drive.google.com/open?id=1mU06eR5EE731zUB5RAVVj5bh99v1Gto5&amp;usp=drive_copy" TargetMode="External"/><Relationship Id="rId143" Type="http://schemas.openxmlformats.org/officeDocument/2006/relationships/hyperlink" Target="https://docs.google.com/document/d/1J0ucW5uMAH6-J3LBfHrqAUkDuqdYkj6K/edit?usp=sharing&amp;ouid=105199658487974895650&amp;rtpof=true&amp;sd=true" TargetMode="External"/><Relationship Id="rId185" Type="http://schemas.openxmlformats.org/officeDocument/2006/relationships/hyperlink" Target="https://drive.google.com/open?id=1OqbUfE_hBv2RyVRRFwmPSyR4VotUDHhJ&amp;usp=drive_copy" TargetMode="External"/><Relationship Id="rId350" Type="http://schemas.openxmlformats.org/officeDocument/2006/relationships/hyperlink" Target="https://drive.google.com/open?id=1Ol_eEgzpikMsR00L3ulwZ3eeDGSViXyu&amp;usp=drive_copy" TargetMode="External"/><Relationship Id="rId9" Type="http://schemas.openxmlformats.org/officeDocument/2006/relationships/hyperlink" Target="https://docs.google.com/document/d/19GEbn0bM4dTLTJIBJLSNH4Ys_dw7g3YS/edit?usp=drive_link&amp;ouid=105199658487974895650&amp;rtpof=true&amp;sd=true" TargetMode="External"/><Relationship Id="rId210" Type="http://schemas.openxmlformats.org/officeDocument/2006/relationships/hyperlink" Target="https://drive.google.com/open?id=1m_w6DUsodrFoykN54-wQpvnC7AJr4RHb&amp;usp=drive_copy" TargetMode="External"/><Relationship Id="rId26" Type="http://schemas.openxmlformats.org/officeDocument/2006/relationships/hyperlink" Target="https://drive.google.com/open?id=1fIFios2p98aof2dd7XikY92mvcK-LgyJ&amp;usp=drive_copy" TargetMode="External"/><Relationship Id="rId231" Type="http://schemas.openxmlformats.org/officeDocument/2006/relationships/hyperlink" Target="https://drive.google.com/open?id=1XS2aj6wqFEdig4Nlk5Jg9vpikbl6vfFw&amp;usp=drive_copy" TargetMode="External"/><Relationship Id="rId252" Type="http://schemas.openxmlformats.org/officeDocument/2006/relationships/hyperlink" Target="https://docs.google.com/document/d/1L13xOs14l5yYfylNc-9dpNCXwtNe7ilX/edit?usp=drive_link&amp;ouid=105199658487974895650&amp;rtpof=true&amp;sd=true" TargetMode="External"/><Relationship Id="rId273" Type="http://schemas.openxmlformats.org/officeDocument/2006/relationships/hyperlink" Target="https://drive.google.com/open?id=1brPorHME4IvLc9I_08purWSCPZTuTi2e&amp;usp=drive_copy" TargetMode="External"/><Relationship Id="rId294" Type="http://schemas.openxmlformats.org/officeDocument/2006/relationships/hyperlink" Target="https://drive.google.com/open?id=1EUFvHBV584pFPQhy5A-yT-ThJTnk_t3A&amp;usp=drive_copy" TargetMode="External"/><Relationship Id="rId308" Type="http://schemas.openxmlformats.org/officeDocument/2006/relationships/hyperlink" Target="https://drive.google.com/open?id=13_r8wrSGAK0VTFpiFCP1wRdNrHtLW-7p&amp;usp=drive_copy" TargetMode="External"/><Relationship Id="rId329" Type="http://schemas.openxmlformats.org/officeDocument/2006/relationships/hyperlink" Target="https://drive.google.com/open?id=1xGoBauld_tbSylyE7boWFLGUo60qSwRtbS3tiyy7NjY&amp;usp=drive_copy" TargetMode="External"/><Relationship Id="rId47" Type="http://schemas.openxmlformats.org/officeDocument/2006/relationships/hyperlink" Target="https://docs.google.com/document/d/1E_Oo-URUyiDGl6l0CSKCGpn3Sg8W_63u/edit?usp=drive_link&amp;ouid=105199658487974895650&amp;rtpof=true&amp;sd=true" TargetMode="External"/><Relationship Id="rId68" Type="http://schemas.openxmlformats.org/officeDocument/2006/relationships/hyperlink" Target="https://drive.google.com/open?id=1urFqlfGyAfnETRIZ-xY70poiAGe3UhFv&amp;usp=drive_copy" TargetMode="External"/><Relationship Id="rId89" Type="http://schemas.openxmlformats.org/officeDocument/2006/relationships/hyperlink" Target="https://drive.google.com/open?id=1A-BIPg_OemDYQ_U0mQiBDXX-Jb7Z7YgK&amp;usp=drive_copy" TargetMode="External"/><Relationship Id="rId112" Type="http://schemas.openxmlformats.org/officeDocument/2006/relationships/hyperlink" Target="https://drive.google.com/drive/folders/1-w0P8_ykZj9M9H81XiRGfYhB0FdK8dyl" TargetMode="External"/><Relationship Id="rId133" Type="http://schemas.openxmlformats.org/officeDocument/2006/relationships/hyperlink" Target="https://docs.google.com/document/d/1evWM1FntuA1FBC42qkPLN02bQGkftE-P/edit?usp=drive_link&amp;ouid=105199658487974895650&amp;rtpof=true&amp;sd=true" TargetMode="External"/><Relationship Id="rId154" Type="http://schemas.openxmlformats.org/officeDocument/2006/relationships/hyperlink" Target="https://drive.google.com/open?id=18qL2vC7HpOPG_e9oGHTzbfCxJiAODIpL&amp;usp=drive_copy" TargetMode="External"/><Relationship Id="rId175" Type="http://schemas.openxmlformats.org/officeDocument/2006/relationships/hyperlink" Target="https://drive.google.com/open?id=1suNYEEwT4hox_Apa7lMKkE_5XW8M_9X3&amp;usp=drive_copy" TargetMode="External"/><Relationship Id="rId340" Type="http://schemas.openxmlformats.org/officeDocument/2006/relationships/hyperlink" Target="https://drive.google.com/open?id=15AS8x3sFZ3sqdzjhY1CcjLFVm_O1aybZ&amp;usp=drive_copy" TargetMode="External"/><Relationship Id="rId361" Type="http://schemas.openxmlformats.org/officeDocument/2006/relationships/hyperlink" Target="https://drive.google.com/open?id=1vN0O0lGQkDj_MDyC3fLNAS7SiDxbMuib&amp;usp=drive_copy" TargetMode="External"/><Relationship Id="rId196" Type="http://schemas.openxmlformats.org/officeDocument/2006/relationships/hyperlink" Target="https://drive.google.com/open?id=1VfKZPrSXzdSRYUddlPwaWKNAv5BoG5pc&amp;usp=drive_copy" TargetMode="External"/><Relationship Id="rId200" Type="http://schemas.openxmlformats.org/officeDocument/2006/relationships/hyperlink" Target="https://drive.google.com/open?id=1o7gEqdyFNompQ6eetu77SokzMlw9paZw&amp;usp=drive_copy" TargetMode="External"/><Relationship Id="rId382" Type="http://schemas.openxmlformats.org/officeDocument/2006/relationships/hyperlink" Target="https://drive.google.com/drive/folders/1Xi7r_BFmtUCqm-s7aixcZnPSVTuZvrr0" TargetMode="External"/><Relationship Id="rId16" Type="http://schemas.openxmlformats.org/officeDocument/2006/relationships/hyperlink" Target="https://drive.google.com/drive/folders/15r6RVG0qqy-5fq2HvzdBv0nqTfBuo1G8" TargetMode="External"/><Relationship Id="rId221" Type="http://schemas.openxmlformats.org/officeDocument/2006/relationships/hyperlink" Target="https://drive.google.com/open?id=1UmHrgwZz0o_Y81Vx5TqfG7VjjE3_68l3&amp;usp=drive_copy" TargetMode="External"/><Relationship Id="rId242" Type="http://schemas.openxmlformats.org/officeDocument/2006/relationships/hyperlink" Target="https://docs.google.com/document/d/1riSFOQDYmg4NJVSVj8REbaQue4CiA_yv/edit" TargetMode="External"/><Relationship Id="rId263" Type="http://schemas.openxmlformats.org/officeDocument/2006/relationships/hyperlink" Target="https://drive.google.com/open?id=1wb-oh618UjO229vLqBk3g_1UU6DJ6N03&amp;usp=drive_copy" TargetMode="External"/><Relationship Id="rId284" Type="http://schemas.openxmlformats.org/officeDocument/2006/relationships/hyperlink" Target="https://drive.google.com/open?id=1N6-7to-J_fOV-VWaFXpnnxcNAoK8PJwU&amp;usp=drive_copy" TargetMode="External"/><Relationship Id="rId319" Type="http://schemas.openxmlformats.org/officeDocument/2006/relationships/hyperlink" Target="https://drive.google.com/open?id=1OoiLwWxcFoJ_aeP6G0xzAmEutLy_Tbh2&amp;usp=drive_copy" TargetMode="External"/><Relationship Id="rId37" Type="http://schemas.openxmlformats.org/officeDocument/2006/relationships/hyperlink" Target="https://docs.google.com/document/d/1gWgwQMmT_6i-OS7d1xXkPDNeY_HQicfz/edit?usp=drive_link&amp;ouid=105199658487974895650&amp;rtpof=true&amp;sd=true" TargetMode="External"/><Relationship Id="rId58" Type="http://schemas.openxmlformats.org/officeDocument/2006/relationships/hyperlink" Target="https://drive.google.com/open?id=1a5xLzPw0EgnmMZwWxWG2c5FHfL_6wQvH&amp;usp=drive_copy" TargetMode="External"/><Relationship Id="rId79" Type="http://schemas.openxmlformats.org/officeDocument/2006/relationships/hyperlink" Target="https://drive.google.com/open?id=1749YJW59R6oF64H4w3NY3JkTbrGdyJFV&amp;usp=drive_copy" TargetMode="External"/><Relationship Id="rId102" Type="http://schemas.openxmlformats.org/officeDocument/2006/relationships/hyperlink" Target="https://drive.google.com/open?id=1ORwZUkKspNjmcMM6LteRWAL9q1tB_7wG&amp;usp=drive_copy" TargetMode="External"/><Relationship Id="rId123" Type="http://schemas.openxmlformats.org/officeDocument/2006/relationships/hyperlink" Target="https://docs.google.com/document/d/1HjK1kSH7hMj5cYALTcI2PBN37rrn23nA/edit?usp=drive_link&amp;ouid=105199658487974895650&amp;rtpof=true&amp;sd=true" TargetMode="External"/><Relationship Id="rId144" Type="http://schemas.openxmlformats.org/officeDocument/2006/relationships/hyperlink" Target="https://drive.google.com/drive/folders/1wsBLwv3jmIa7eWHUu-3kAjVVzgHFDdXl" TargetMode="External"/><Relationship Id="rId330" Type="http://schemas.openxmlformats.org/officeDocument/2006/relationships/hyperlink" Target="https://drive.google.com/open?id=1vU_HlwKuGvB1ympgXeHd7E4JeBJDYymm&amp;usp=drive_copy" TargetMode="External"/><Relationship Id="rId90" Type="http://schemas.openxmlformats.org/officeDocument/2006/relationships/hyperlink" Target="https://drive.google.com/open?id=1XAOxfsckObZnc2FEc1lD3mpDaFS4NVLq&amp;usp=drive_copy" TargetMode="External"/><Relationship Id="rId165" Type="http://schemas.openxmlformats.org/officeDocument/2006/relationships/hyperlink" Target="https://drive.google.com/open?id=1nx2YfG6vfFmSDF7Fax3nsGuOr5-4Wdcz&amp;usp=drive_copy" TargetMode="External"/><Relationship Id="rId186" Type="http://schemas.openxmlformats.org/officeDocument/2006/relationships/hyperlink" Target="https://drive.google.com/drive/folders/1wO3-DpzIrS6CXKzRZWWXt4nHUkb_K15w?usp=drive_link" TargetMode="External"/><Relationship Id="rId351" Type="http://schemas.openxmlformats.org/officeDocument/2006/relationships/hyperlink" Target="https://drive.google.com/open?id=1bIl3PlbbhLL8rESjyTt94pr8bU3NglLv&amp;usp=drive_copy" TargetMode="External"/><Relationship Id="rId372" Type="http://schemas.openxmlformats.org/officeDocument/2006/relationships/hyperlink" Target="https://docs.google.com/document/d/11pZi5xDKT-QW-K5Qc7JdfO_va4_17_AD/edit?usp=drive_link&amp;ouid=105199658487974895650&amp;rtpof=true&amp;sd=true" TargetMode="External"/><Relationship Id="rId211" Type="http://schemas.openxmlformats.org/officeDocument/2006/relationships/hyperlink" Target="https://docs.google.com/document/d/16x9jNFAgDU12qyT9dRXCSRTM4oCkxfgd/edit?usp=sharing&amp;ouid=105199658487974895650&amp;rtpof=true&amp;sd=true" TargetMode="External"/><Relationship Id="rId232" Type="http://schemas.openxmlformats.org/officeDocument/2006/relationships/hyperlink" Target="https://drive.google.com/open?id=1xvrnu1O-XN9Tiyszvu98-VNmFX8vGj_4&amp;usp=drive_copy" TargetMode="External"/><Relationship Id="rId253" Type="http://schemas.openxmlformats.org/officeDocument/2006/relationships/hyperlink" Target="https://docs.google.com/document/d/1K3vs1nntFm9QGEshD_kkcIDBh2gruPPP/edit?usp=drive_link&amp;ouid=105199658487974895650&amp;rtpof=true&amp;sd=true" TargetMode="External"/><Relationship Id="rId274" Type="http://schemas.openxmlformats.org/officeDocument/2006/relationships/hyperlink" Target="https://drive.google.com/open?id=1MIyB6-_1WK3MUIOMXsBPcxQK4dcspxYK&amp;usp=drive_copy" TargetMode="External"/><Relationship Id="rId295" Type="http://schemas.openxmlformats.org/officeDocument/2006/relationships/hyperlink" Target="https://drive.google.com/open?id=1zTP3eyCcvUfttSaqGQeUxbMFH-en8bsc&amp;usp=drive_copy" TargetMode="External"/><Relationship Id="rId309" Type="http://schemas.openxmlformats.org/officeDocument/2006/relationships/hyperlink" Target="https://drive.google.com/open?id=1eXchilZl1X5lVlTFfhPbTDz9e4dJy2_T&amp;usp=drive_copy" TargetMode="External"/><Relationship Id="rId27" Type="http://schemas.openxmlformats.org/officeDocument/2006/relationships/hyperlink" Target="https://drive.google.com/open?id=1n_TzWDOlVlAcRf748MdUcffJPjD_l0bf&amp;usp=drive_copy" TargetMode="External"/><Relationship Id="rId48" Type="http://schemas.openxmlformats.org/officeDocument/2006/relationships/hyperlink" Target="https://docs.google.com/document/d/19N36EMtWVz_1Mnqh11hqrjR8wVekiz0L/edit?usp=drive_link&amp;ouid=105199658487974895650&amp;rtpof=true&amp;sd=true" TargetMode="External"/><Relationship Id="rId69" Type="http://schemas.openxmlformats.org/officeDocument/2006/relationships/hyperlink" Target="https://drive.google.com/open?id=14MLdEflJnQf8xeM1OYfaWTlvx0T5Iede&amp;usp=drive_copy" TargetMode="External"/><Relationship Id="rId113" Type="http://schemas.openxmlformats.org/officeDocument/2006/relationships/hyperlink" Target="https://docs.google.com/document/d/1nmm5HVW2Fois43017XxBpDqWmMp4odMB/edit?rtpof=true&amp;tab=t.0" TargetMode="External"/><Relationship Id="rId134" Type="http://schemas.openxmlformats.org/officeDocument/2006/relationships/hyperlink" Target="https://docs.google.com/document/d/1YT4BXxivftu9t_HbnC2OcEhyqrw5atsr/edit?usp=drive_link&amp;ouid=105199658487974895650&amp;rtpof=true&amp;sd=true" TargetMode="External"/><Relationship Id="rId320" Type="http://schemas.openxmlformats.org/officeDocument/2006/relationships/hyperlink" Target="https://drive.google.com/open?id=1gFsS7IJypMW6zF9wcBC4XJ0rXdD1e2BO&amp;usp=drive_copy" TargetMode="External"/><Relationship Id="rId80" Type="http://schemas.openxmlformats.org/officeDocument/2006/relationships/hyperlink" Target="https://drive.google.com/open?id=1Y7f5QgkBdakWwNPVmk39ruq5rp69jvhG&amp;usp=drive_copy" TargetMode="External"/><Relationship Id="rId155" Type="http://schemas.openxmlformats.org/officeDocument/2006/relationships/hyperlink" Target="https://drive.google.com/open?id=1CnVOmgsq9Soqrl03Qh7vXvs-ZCswwWFH&amp;usp=drive_copy" TargetMode="External"/><Relationship Id="rId176" Type="http://schemas.openxmlformats.org/officeDocument/2006/relationships/hyperlink" Target="https://drive.google.com/open?id=1EcxKbCvleyNEFIqmLFRrT_62UOF5Kaag&amp;usp=drive_copy" TargetMode="External"/><Relationship Id="rId197" Type="http://schemas.openxmlformats.org/officeDocument/2006/relationships/hyperlink" Target="https://drive.google.com/open?id=1dKfvwO2_3Abwghb1kAc6jDs49kiCZEdi&amp;usp=drive_copy" TargetMode="External"/><Relationship Id="rId341" Type="http://schemas.openxmlformats.org/officeDocument/2006/relationships/hyperlink" Target="https://drive.google.com/open?id=1AKOZkMhE2v1GMZWYoaPis9Td8yGAvBmK&amp;usp=drive_copy" TargetMode="External"/><Relationship Id="rId362" Type="http://schemas.openxmlformats.org/officeDocument/2006/relationships/hyperlink" Target="https://drive.google.com/open?id=1d0gbrSNGudKXKv0DY0eoJ8SqLQ2Rq0Fd&amp;usp=drive_copy" TargetMode="External"/><Relationship Id="rId383" Type="http://schemas.openxmlformats.org/officeDocument/2006/relationships/hyperlink" Target="https://drive.google.com/open?id=1kUdycxk5Gnfn4betgxv49FAhnJPjFuce&amp;usp=drive_copy" TargetMode="External"/><Relationship Id="rId201" Type="http://schemas.openxmlformats.org/officeDocument/2006/relationships/hyperlink" Target="https://drive.google.com/open?id=122EIOJE6JexfNlNsfrwvzU-gCPFnioU1&amp;usp=drive_copy" TargetMode="External"/><Relationship Id="rId222" Type="http://schemas.openxmlformats.org/officeDocument/2006/relationships/hyperlink" Target="https://drive.google.com/open?id=1UmHrgwZz0o_Y81Vx5TqfG7VjjE3_68l3&amp;usp=drive_copy" TargetMode="External"/><Relationship Id="rId243" Type="http://schemas.openxmlformats.org/officeDocument/2006/relationships/hyperlink" Target="https://docs.google.com/document/d/1u7W78uKdK93GCyUgxOtn4BFDvtMxk8ZN/edit" TargetMode="External"/><Relationship Id="rId264" Type="http://schemas.openxmlformats.org/officeDocument/2006/relationships/hyperlink" Target="https://drive.google.com/open?id=1SrsaIJfxKLPsfSvZCWdLhAZAA3NK8dZo&amp;usp=drive_copy" TargetMode="External"/><Relationship Id="rId285" Type="http://schemas.openxmlformats.org/officeDocument/2006/relationships/hyperlink" Target="https://drive.google.com/open?id=1WtiYGFkieXy4FuWM_hs3rzAhx03F1Mta&amp;usp=drive_copy" TargetMode="External"/><Relationship Id="rId17" Type="http://schemas.openxmlformats.org/officeDocument/2006/relationships/hyperlink" Target="https://drive.google.com/open?id=1PSrF-KICt2azssuhE-jHg1tnjRAG7o9Y&amp;usp=drive_copy" TargetMode="External"/><Relationship Id="rId38" Type="http://schemas.openxmlformats.org/officeDocument/2006/relationships/hyperlink" Target="https://docs.google.com/document/d/18M5NxSEV-eQqjR_C2RMNu3gi9julsooy/edit?usp=drive_link&amp;ouid=105199658487974895650&amp;rtpof=true&amp;sd=true" TargetMode="External"/><Relationship Id="rId59" Type="http://schemas.openxmlformats.org/officeDocument/2006/relationships/hyperlink" Target="https://drive.google.com/open?id=11dbCPmThccPCEyO1b3iIXD2_WJYf8wAQ&amp;usp=drive_copy" TargetMode="External"/><Relationship Id="rId103" Type="http://schemas.openxmlformats.org/officeDocument/2006/relationships/hyperlink" Target="https://drive.google.com/open?id=1ER7AFrEjquqzVgfic446PC_SYvXard-f&amp;usp=drive_copy" TargetMode="External"/><Relationship Id="rId124" Type="http://schemas.openxmlformats.org/officeDocument/2006/relationships/hyperlink" Target="https://docs.google.com/document/d/1j7oS2OQQvreuNSs1KNz6G1VifrFbURtu/edit?usp=drive_link&amp;ouid=105199658487974895650&amp;rtpof=true&amp;sd=true" TargetMode="External"/><Relationship Id="rId310" Type="http://schemas.openxmlformats.org/officeDocument/2006/relationships/hyperlink" Target="https://drive.google.com/open?id=1qdxR2treNT5py35cEe6N8Ehd-QKaEbgL&amp;usp=drive_copy" TargetMode="External"/><Relationship Id="rId70" Type="http://schemas.openxmlformats.org/officeDocument/2006/relationships/hyperlink" Target="https://drive.google.com/open?id=1CL5-GA0eTAqYy9RF2SNg8efnievUS8Xx&amp;usp=drive_copy" TargetMode="External"/><Relationship Id="rId91" Type="http://schemas.openxmlformats.org/officeDocument/2006/relationships/hyperlink" Target="https://drive.google.com/open?id=137c7HnIfPjtWQohB6HWOf7_tI0o-ufQG&amp;usp=drive_copy" TargetMode="External"/><Relationship Id="rId145" Type="http://schemas.openxmlformats.org/officeDocument/2006/relationships/hyperlink" Target="https://drive.google.com/open?id=1ESdq22n6E56b-Ok2MxVCY7zYtoMKJ3Zf&amp;usp=drive_copy" TargetMode="External"/><Relationship Id="rId166" Type="http://schemas.openxmlformats.org/officeDocument/2006/relationships/hyperlink" Target="https://drive.google.com/open?id=17SsYmNRkJTP8yKPj1BuwB4SOgsS2sFDs&amp;usp=drive_copy" TargetMode="External"/><Relationship Id="rId187" Type="http://schemas.openxmlformats.org/officeDocument/2006/relationships/hyperlink" Target="https://drive.google.com/open?id=1Uvy35E4tN1hevqQJB4Bzxmf0LU5sqtpn&amp;usp=drive_copy" TargetMode="External"/><Relationship Id="rId331" Type="http://schemas.openxmlformats.org/officeDocument/2006/relationships/hyperlink" Target="https://drive.google.com/open?id=1AT9cpLWPVLQeGJIgQgh-zktcx2WZMz-V&amp;usp=drive_copy" TargetMode="External"/><Relationship Id="rId352" Type="http://schemas.openxmlformats.org/officeDocument/2006/relationships/hyperlink" Target="https://drive.google.com/open?id=1_BYCuEvJYN1NO8g2cO6Izw_c9KavRkpD&amp;usp=drive_copy" TargetMode="External"/><Relationship Id="rId373" Type="http://schemas.openxmlformats.org/officeDocument/2006/relationships/hyperlink" Target="https://docs.google.com/document/d/1jsPAcZYChYaTIb0mY6n62oAHSNoVk_Cw/edit?usp=drive_link&amp;ouid=105199658487974895650&amp;rtpof=true&amp;sd=true" TargetMode="External"/><Relationship Id="rId1" Type="http://schemas.openxmlformats.org/officeDocument/2006/relationships/hyperlink" Target="https://drive.google.com/open?id=1S6d_mWKAjnVCud-1NhoqkuysAVqDKr3T&amp;usp=drive_copy" TargetMode="External"/><Relationship Id="rId212" Type="http://schemas.openxmlformats.org/officeDocument/2006/relationships/hyperlink" Target="https://drive.google.com/drive/folders/11N1YJABY-VCcLGJtmlL4_RlKUAn-h9EZ" TargetMode="External"/><Relationship Id="rId233" Type="http://schemas.openxmlformats.org/officeDocument/2006/relationships/hyperlink" Target="https://drive.google.com/open?id=1_nyWoW8-n5kSqNIcq33oyAO5Bx-mJlGC&amp;usp=drive_copy" TargetMode="External"/><Relationship Id="rId254" Type="http://schemas.openxmlformats.org/officeDocument/2006/relationships/hyperlink" Target="https://drive.google.com/open?id=1uKomoD_MexyYbvdi9VwchFvYkDd_OLy0&amp;usp=drive_copy" TargetMode="External"/><Relationship Id="rId28" Type="http://schemas.openxmlformats.org/officeDocument/2006/relationships/hyperlink" Target="https://drive.google.com/open?id=1g3XFPvJzP2cA4F0k--zAtzD4AyUYCuVK&amp;usp=drive_copy" TargetMode="External"/><Relationship Id="rId49" Type="http://schemas.openxmlformats.org/officeDocument/2006/relationships/hyperlink" Target="https://docs.google.com/document/d/1qx_7UbVWJhYWYu_EL84DSeHcq5S5yBth/edit?usp=drive_link&amp;ouid=105199658487974895650&amp;rtpof=true&amp;sd=true" TargetMode="External"/><Relationship Id="rId114" Type="http://schemas.openxmlformats.org/officeDocument/2006/relationships/hyperlink" Target="https://drive.google.com/drive/folders/1R-XVAzt24M15eZFwc-8ji3v41halVA3C" TargetMode="External"/><Relationship Id="rId275" Type="http://schemas.openxmlformats.org/officeDocument/2006/relationships/hyperlink" Target="https://drive.google.com/open?id=1T_Wa4vHZgHnwJYggNaCCNdch76N1zWAV&amp;usp=drive_copy" TargetMode="External"/><Relationship Id="rId296" Type="http://schemas.openxmlformats.org/officeDocument/2006/relationships/hyperlink" Target="https://drive.google.com/open?id=1iLtTbw42voZT74GnKWZ6VI-o5o2feqi1&amp;usp=drive_copy" TargetMode="External"/><Relationship Id="rId300" Type="http://schemas.openxmlformats.org/officeDocument/2006/relationships/hyperlink" Target="https://drive.google.com/open?id=11uRsaNCHVhG2-c77HDRmuiEzE4pwd76_&amp;usp=drive_copy" TargetMode="External"/><Relationship Id="rId60" Type="http://schemas.openxmlformats.org/officeDocument/2006/relationships/hyperlink" Target="https://drive.google.com/open?id=1mwG64hoMdM5k8WwcUfTqXlj1akv9Y1M7&amp;usp=drive_copy" TargetMode="External"/><Relationship Id="rId81" Type="http://schemas.openxmlformats.org/officeDocument/2006/relationships/hyperlink" Target="https://drive.google.com/open?id=1DohV7tr-VVVk8XqtaZ1OSpALbyOb9k3a&amp;usp=drive_copy" TargetMode="External"/><Relationship Id="rId135" Type="http://schemas.openxmlformats.org/officeDocument/2006/relationships/hyperlink" Target="https://drive.google.com/file/d/1rverje6Es2oniqIDVVK-z1ta6SWEMz9C/view?usp=drive_link" TargetMode="External"/><Relationship Id="rId156" Type="http://schemas.openxmlformats.org/officeDocument/2006/relationships/hyperlink" Target="https://drive.google.com/open?id=1Sh1N851AB6QwovmdVUcayY37RsJ4XtPM&amp;usp=drive_copy" TargetMode="External"/><Relationship Id="rId177" Type="http://schemas.openxmlformats.org/officeDocument/2006/relationships/hyperlink" Target="https://drive.google.com/open?id=1AGjEBvKLBMolhYnGHpzK43cE_hUWbkje&amp;usp=drive_copy" TargetMode="External"/><Relationship Id="rId198" Type="http://schemas.openxmlformats.org/officeDocument/2006/relationships/hyperlink" Target="https://drive.google.com/open?id=1hCnfn_zdd5CS09AWyRpkG6FjTZwScYbM&amp;usp=drive_copy" TargetMode="External"/><Relationship Id="rId321" Type="http://schemas.openxmlformats.org/officeDocument/2006/relationships/hyperlink" Target="https://drive.google.com/open?id=1LMIQoOqRzc5U0qecWiCK8GtxHVUBXKJQ&amp;usp=drive_copy" TargetMode="External"/><Relationship Id="rId342" Type="http://schemas.openxmlformats.org/officeDocument/2006/relationships/hyperlink" Target="https://drive.google.com/open?id=19gfFbHmfC-7BM9W-312BWYetkVWaDGtu&amp;usp=drive_copy" TargetMode="External"/><Relationship Id="rId363" Type="http://schemas.openxmlformats.org/officeDocument/2006/relationships/hyperlink" Target="https://docs.google.com/document/d/1NcSGmYVvzuPEcGuVuEuZo3DbIyiSXETr/edit?usp=drive_web&amp;ouid=107639235496425521759&amp;rtpof=true" TargetMode="External"/><Relationship Id="rId384" Type="http://schemas.openxmlformats.org/officeDocument/2006/relationships/hyperlink" Target="https://drive.google.com/open?id=1x0SztIxTdBdgxeuP6dayFUrc8mmveMDg&amp;usp=drive_copy" TargetMode="External"/><Relationship Id="rId202" Type="http://schemas.openxmlformats.org/officeDocument/2006/relationships/hyperlink" Target="https://drive.google.com/open?id=1mcL6bgdtwvTYZpMRaB75f6x-2BYcFK6c&amp;usp=drive_copy" TargetMode="External"/><Relationship Id="rId223" Type="http://schemas.openxmlformats.org/officeDocument/2006/relationships/hyperlink" Target="https://drive.google.com/open?id=10-WzN6ZgzLzIfwLIi9Gv2mG6yXl23J3u&amp;usp=drive_copy" TargetMode="External"/><Relationship Id="rId244" Type="http://schemas.openxmlformats.org/officeDocument/2006/relationships/hyperlink" Target="https://docs.google.com/document/d/1ThRKmhu0hc6XvTqFiiSugTN8iiy6SOtH/edit" TargetMode="External"/><Relationship Id="rId18" Type="http://schemas.openxmlformats.org/officeDocument/2006/relationships/hyperlink" Target="https://drive.google.com/drive/folders/1b5R1kHy-PLFkZjUhsKWhrPqq8ewyeq9v" TargetMode="External"/><Relationship Id="rId39" Type="http://schemas.openxmlformats.org/officeDocument/2006/relationships/hyperlink" Target="https://docs.google.com/document/d/1wxVgns4AeGPRNAkPa0mbC-DIeoPvw9s9/edit?usp=drive_link&amp;ouid=105199658487974895650&amp;rtpof=true&amp;sd=true" TargetMode="External"/><Relationship Id="rId265" Type="http://schemas.openxmlformats.org/officeDocument/2006/relationships/hyperlink" Target="https://drive.google.com/open?id=16jOWp8WL0w1T1tuRPiGbW-_BuDOudmrv&amp;usp=drive_copy" TargetMode="External"/><Relationship Id="rId286" Type="http://schemas.openxmlformats.org/officeDocument/2006/relationships/hyperlink" Target="https://drive.google.com/open?id=19g4v4BQ_G75x_2c4b-Fwa8Kcrk2gfR_K&amp;usp=drive_copy" TargetMode="External"/><Relationship Id="rId50" Type="http://schemas.openxmlformats.org/officeDocument/2006/relationships/hyperlink" Target="https://docs.google.com/document/d/1u0d6LqhVVaBMs5lM2fpLe45Vp7bkNo0Q/edit?usp=drive_link&amp;ouid=105199658487974895650&amp;rtpof=true&amp;sd=true" TargetMode="External"/><Relationship Id="rId104" Type="http://schemas.openxmlformats.org/officeDocument/2006/relationships/hyperlink" Target="https://drive.google.com/open?id=1FyAdcVBh4FXPpMlRyJvl5ENHJtwMAoya&amp;usp=drive_copy" TargetMode="External"/><Relationship Id="rId125" Type="http://schemas.openxmlformats.org/officeDocument/2006/relationships/hyperlink" Target="https://docs.google.com/document/d/1azbIN4g8OFgabgOohxG9dY0tSb_Z2uwL/edit?usp=drive_link&amp;ouid=105199658487974895650&amp;rtpof=true&amp;sd=true" TargetMode="External"/><Relationship Id="rId146" Type="http://schemas.openxmlformats.org/officeDocument/2006/relationships/hyperlink" Target="https://drive.google.com/open?id=14TTbXRODnBtYbtj9IB3tHSBe_OT4Gpw0&amp;usp=drive_copy" TargetMode="External"/><Relationship Id="rId167" Type="http://schemas.openxmlformats.org/officeDocument/2006/relationships/hyperlink" Target="https://drive.google.com/open?id=189lPIGBDcwAA2vCfQ1YurpwQC0_Q3iwG&amp;usp=drive_copy" TargetMode="External"/><Relationship Id="rId188" Type="http://schemas.openxmlformats.org/officeDocument/2006/relationships/hyperlink" Target="https://drive.google.com/open?id=1dVMiLoR_ZTST08LD9HAmKMpsX9k0hocV&amp;usp=drive_copy" TargetMode="External"/><Relationship Id="rId311" Type="http://schemas.openxmlformats.org/officeDocument/2006/relationships/hyperlink" Target="https://drive.google.com/open?id=1wqgYqyNVKUxEhS6kcmsFfoIysrDhmloQ&amp;usp=drive_copy" TargetMode="External"/><Relationship Id="rId332" Type="http://schemas.openxmlformats.org/officeDocument/2006/relationships/hyperlink" Target="https://drive.google.com/open?id=1h9zUD7smSS5gY7NLN3CeMW39fzEYbQAI&amp;usp=drive_copy" TargetMode="External"/><Relationship Id="rId353" Type="http://schemas.openxmlformats.org/officeDocument/2006/relationships/hyperlink" Target="https://drive.google.com/open?id=1FtzzSFkF0BFDc5WibY-QoWY17RjDSr2m&amp;usp=drive_copy" TargetMode="External"/><Relationship Id="rId374" Type="http://schemas.openxmlformats.org/officeDocument/2006/relationships/hyperlink" Target="https://docs.google.com/document/d/127aeRQ_wQgskIv4TubB9hl1kDyhflCaw/edit?usp=drive_link&amp;ouid=105199658487974895650&amp;rtpof=true&amp;sd=true" TargetMode="External"/><Relationship Id="rId71" Type="http://schemas.openxmlformats.org/officeDocument/2006/relationships/hyperlink" Target="https://drive.google.com/open?id=1U9vazRfx8v1Wah34c1PLdEzG-3Ntms5t&amp;usp=drive_copy" TargetMode="External"/><Relationship Id="rId92" Type="http://schemas.openxmlformats.org/officeDocument/2006/relationships/hyperlink" Target="https://drive.google.com/open?id=1gJ76UpppkmZpLHAsilEu4FPc7VK73FhB&amp;usp=drive_copy" TargetMode="External"/><Relationship Id="rId213" Type="http://schemas.openxmlformats.org/officeDocument/2006/relationships/hyperlink" Target="https://drive.google.com/open?id=1ZKVN3cFAqRUqrWT2B-Uj0YId-C_vD0QA&amp;usp=drive_copy" TargetMode="External"/><Relationship Id="rId234" Type="http://schemas.openxmlformats.org/officeDocument/2006/relationships/hyperlink" Target="https://drive.google.com/open?id=1ug0bL16a6PqwGY_LhLiS6r6ooTLQuYRx&amp;usp=drive_copy" TargetMode="External"/><Relationship Id="rId2" Type="http://schemas.openxmlformats.org/officeDocument/2006/relationships/hyperlink" Target="https://drive.google.com/open?id=1vt1R3q-vXz7BvO00GwAxVJ2J6wSTAt4b&amp;usp=drive_copy" TargetMode="External"/><Relationship Id="rId29" Type="http://schemas.openxmlformats.org/officeDocument/2006/relationships/hyperlink" Target="https://drive.google.com/open?id=1Y2-2qT-sB7EHhPWJQqLYRAhNyuoSrm-F&amp;usp=drive_copy" TargetMode="External"/><Relationship Id="rId255" Type="http://schemas.openxmlformats.org/officeDocument/2006/relationships/hyperlink" Target="https://docs.google.com/document/d/1smkzTt_8MJHTJPnptMBFNyCdNhnbeiil/edit?usp=drive_link&amp;ouid=105199658487974895650&amp;rtpof=true&amp;sd=true" TargetMode="External"/><Relationship Id="rId276" Type="http://schemas.openxmlformats.org/officeDocument/2006/relationships/hyperlink" Target="https://drive.google.com/open?id=1MV7oKFSp0xaDGEY4yz97tTK6knSWYGTm&amp;usp=drive_copy" TargetMode="External"/><Relationship Id="rId297" Type="http://schemas.openxmlformats.org/officeDocument/2006/relationships/hyperlink" Target="https://drive.google.com/open?id=1Ay2HOy8ZP9ZrCO6tDGGWSp6DZSMgjiWH&amp;usp=drive_copy" TargetMode="External"/><Relationship Id="rId40" Type="http://schemas.openxmlformats.org/officeDocument/2006/relationships/hyperlink" Target="https://docs.google.com/document/d/1Lj5mruw-CKTh4lMbx4BQoVcfpHRU3M_w/edit?usp=drive_link&amp;ouid=105199658487974895650&amp;rtpof=true&amp;sd=true" TargetMode="External"/><Relationship Id="rId115" Type="http://schemas.openxmlformats.org/officeDocument/2006/relationships/hyperlink" Target="https://drive.google.com/open?id=1wpMidn9XiuRgj-D6rAWBQTsMgrG5OxnL&amp;usp=drive_copy" TargetMode="External"/><Relationship Id="rId136" Type="http://schemas.openxmlformats.org/officeDocument/2006/relationships/hyperlink" Target="https://drive.google.com/file/d/1_qnUkDxabvhMxmfY9qmv6kaFspMycqUf/view?usp=drive_link" TargetMode="External"/><Relationship Id="rId157" Type="http://schemas.openxmlformats.org/officeDocument/2006/relationships/hyperlink" Target="https://drive.google.com/open?id=1huE1XSpY-qhbaEH0kK7ilD-E5GR8Hwio&amp;usp=drive_copy" TargetMode="External"/><Relationship Id="rId178" Type="http://schemas.openxmlformats.org/officeDocument/2006/relationships/hyperlink" Target="https://drive.google.com/open?id=1XwiZ6MrwA8Ez2BQYVFEoZsiE_11eBcfZ&amp;usp=drive_copy" TargetMode="External"/><Relationship Id="rId301" Type="http://schemas.openxmlformats.org/officeDocument/2006/relationships/hyperlink" Target="https://drive.google.com/open?id=1bPKvoqxDuNF52C4NxGtKzE8xHPn7yoaz&amp;usp=drive_copy" TargetMode="External"/><Relationship Id="rId322" Type="http://schemas.openxmlformats.org/officeDocument/2006/relationships/hyperlink" Target="https://drive.google.com/open?id=1Mw_PHVn_SejnoyANUpkPcl7NgS2pE9QL&amp;usp=drive_copy" TargetMode="External"/><Relationship Id="rId343" Type="http://schemas.openxmlformats.org/officeDocument/2006/relationships/hyperlink" Target="https://drive.google.com/open?id=1Af0aqUynGEzt1Q5-hdwY0tvCoEy1AIvm&amp;usp=drive_copy" TargetMode="External"/><Relationship Id="rId364" Type="http://schemas.openxmlformats.org/officeDocument/2006/relationships/hyperlink" Target="https://drive.google.com/drive/folders/1gLglLxtNv8St3Pzh5xwwoz7-lHNdddQq" TargetMode="External"/><Relationship Id="rId61" Type="http://schemas.openxmlformats.org/officeDocument/2006/relationships/hyperlink" Target="https://drive.google.com/open?id=1t3WJYWADy6enQ1Qb9S40ffiBNWPrJZdu&amp;usp=drive_copy" TargetMode="External"/><Relationship Id="rId82" Type="http://schemas.openxmlformats.org/officeDocument/2006/relationships/hyperlink" Target="https://drive.google.com/open?id=187IQHlOMusvIMvkXJgACwRK70tebdKvb&amp;usp=drive_copy" TargetMode="External"/><Relationship Id="rId199" Type="http://schemas.openxmlformats.org/officeDocument/2006/relationships/hyperlink" Target="https://drive.google.com/open?id=1THK4sJBAxNj8cvYoW1wOeil8TPubtADe&amp;usp=drive_copy" TargetMode="External"/><Relationship Id="rId203" Type="http://schemas.openxmlformats.org/officeDocument/2006/relationships/hyperlink" Target="https://drive.google.com/open?id=168ha47DtRLTbAS7Gt3bSq71MGVlfvFmB&amp;usp=drive_copy" TargetMode="External"/><Relationship Id="rId19" Type="http://schemas.openxmlformats.org/officeDocument/2006/relationships/hyperlink" Target="https://drive.google.com/open?id=1NCWS0tdDJNIAvSge-7-1CM21BFLqU0CL&amp;usp=drive_copy" TargetMode="External"/><Relationship Id="rId224" Type="http://schemas.openxmlformats.org/officeDocument/2006/relationships/hyperlink" Target="https://drive.google.com/open?id=1BwY3pgi8Ctb62ilXxEnF_Zhbiif9wy2b&amp;usp=drive_copy" TargetMode="External"/><Relationship Id="rId245" Type="http://schemas.openxmlformats.org/officeDocument/2006/relationships/hyperlink" Target="https://docs.google.com/document/d/1pTQXVDaeAVRe21Muw-ACf-Ak8qDx4-Lh/edit" TargetMode="External"/><Relationship Id="rId266" Type="http://schemas.openxmlformats.org/officeDocument/2006/relationships/hyperlink" Target="https://drive.google.com/open?id=1FVHA3jAu4absIhKAlJ4lVpMHs7tXzAzV&amp;usp=drive_copy" TargetMode="External"/><Relationship Id="rId287" Type="http://schemas.openxmlformats.org/officeDocument/2006/relationships/hyperlink" Target="https://drive.google.com/open?id=1-vkFHQyoo0HFBZ11uzBzCCXNFzVDQ5d0&amp;usp=drive_copy" TargetMode="External"/><Relationship Id="rId30" Type="http://schemas.openxmlformats.org/officeDocument/2006/relationships/hyperlink" Target="https://drive.google.com/open?id=1gtxXfKyFgBeVr6fLnb53iI71vcsuoWkI&amp;usp=drive_copy" TargetMode="External"/><Relationship Id="rId105" Type="http://schemas.openxmlformats.org/officeDocument/2006/relationships/hyperlink" Target="https://drive.google.com/open?id=1NByfh0qWBLJtCxr_zs4_l08ikRvPP4wp&amp;usp=drive_copy" TargetMode="External"/><Relationship Id="rId126" Type="http://schemas.openxmlformats.org/officeDocument/2006/relationships/hyperlink" Target="https://docs.google.com/document/d/1Yi-aMBxvUkhZHhlExZuqhg9_Ln0sGDTH/edit?usp=drive_link&amp;ouid=105199658487974895650&amp;rtpof=true&amp;sd=true" TargetMode="External"/><Relationship Id="rId147" Type="http://schemas.openxmlformats.org/officeDocument/2006/relationships/hyperlink" Target="https://drive.google.com/open?id=1ah4H1fk_dwbt37cKNNJ3oYomSqMJzWkx&amp;usp=drive_copy" TargetMode="External"/><Relationship Id="rId168" Type="http://schemas.openxmlformats.org/officeDocument/2006/relationships/hyperlink" Target="https://drive.google.com/open?id=1upm4Nlqs1NK9rWjdVMh7_JY18ofv6xL7&amp;usp=drive_copy" TargetMode="External"/><Relationship Id="rId312" Type="http://schemas.openxmlformats.org/officeDocument/2006/relationships/hyperlink" Target="https://drive.google.com/open?id=1wqgYqyNVKUxEhS6kcmsFfoIysrDhmloQ&amp;usp=drive_copy" TargetMode="External"/><Relationship Id="rId333" Type="http://schemas.openxmlformats.org/officeDocument/2006/relationships/hyperlink" Target="https://drive.google.com/open?id=1Hg3DICheN4przLN46zRt_EYyl6UaDwUh&amp;usp=drive_copy" TargetMode="External"/><Relationship Id="rId354" Type="http://schemas.openxmlformats.org/officeDocument/2006/relationships/hyperlink" Target="https://drive.google.com/open?id=1ts_i1DyI-YNy6L2sV6Bh-504TtN2AZZJ&amp;usp=drive_copy" TargetMode="External"/><Relationship Id="rId51" Type="http://schemas.openxmlformats.org/officeDocument/2006/relationships/hyperlink" Target="https://docs.google.com/document/d/12WIEK-2dvnMY_hMU6ve0LvUKPbG5uGmS/edit?usp=drive_link&amp;ouid=105199658487974895650&amp;rtpof=true&amp;sd=true" TargetMode="External"/><Relationship Id="rId72" Type="http://schemas.openxmlformats.org/officeDocument/2006/relationships/hyperlink" Target="https://drive.google.com/open?id=1GSIL8UYyZ39bRW9Tr0OkE4tSXJwsf9OV&amp;usp=drive_copy" TargetMode="External"/><Relationship Id="rId93" Type="http://schemas.openxmlformats.org/officeDocument/2006/relationships/hyperlink" Target="https://drive.google.com/open?id=1YYNY2aVWrLh6hXOTb9tK6h5NfpLmWpbr&amp;usp=drive_copy" TargetMode="External"/><Relationship Id="rId189" Type="http://schemas.openxmlformats.org/officeDocument/2006/relationships/hyperlink" Target="https://drive.google.com/open?id=1Rx4X4uvVnTnwZl8WibdRhY3EVp4THmzG&amp;usp=drive_copy" TargetMode="External"/><Relationship Id="rId375" Type="http://schemas.openxmlformats.org/officeDocument/2006/relationships/hyperlink" Target="https://drive.google.com/file/d/1bb0sJ82kAW_O7QU6xDsZ3n_j-48kQCvj/view?usp=drive_link" TargetMode="External"/><Relationship Id="rId3" Type="http://schemas.openxmlformats.org/officeDocument/2006/relationships/hyperlink" Target="https://drive.google.com/open?id=1DBsh6Np5AcGU87VB7-K1B84Baag0hjRP&amp;usp=drive_copy" TargetMode="External"/><Relationship Id="rId214" Type="http://schemas.openxmlformats.org/officeDocument/2006/relationships/hyperlink" Target="https://drive.google.com/open?id=1HM-Fm7SKJgSmKdSRGsnQ6L0ZpBVtwd1A&amp;usp=drive_copy" TargetMode="External"/><Relationship Id="rId235" Type="http://schemas.openxmlformats.org/officeDocument/2006/relationships/hyperlink" Target="https://drive.google.com/open?id=1X0Yn7LwS_jYAFYGeFUZCI_EQUnzhC1p5&amp;usp=drive_copy" TargetMode="External"/><Relationship Id="rId256" Type="http://schemas.openxmlformats.org/officeDocument/2006/relationships/hyperlink" Target="https://drive.google.com/open?id=1QmlGA3NvmrnNMbIvOLQsRiOCraAQV-1f&amp;usp=drive_copy" TargetMode="External"/><Relationship Id="rId277" Type="http://schemas.openxmlformats.org/officeDocument/2006/relationships/hyperlink" Target="https://drive.google.com/open?id=1fo1egvm8FBt1moY765c6oq8xaWiGLT9Z&amp;usp=drive_copy" TargetMode="External"/><Relationship Id="rId298" Type="http://schemas.openxmlformats.org/officeDocument/2006/relationships/hyperlink" Target="https://drive.google.com/open?id=17Tb53fg6wmpjtfNYpCy5EjtKqV4pJc7G&amp;usp=drive_copy" TargetMode="External"/><Relationship Id="rId116" Type="http://schemas.openxmlformats.org/officeDocument/2006/relationships/hyperlink" Target="https://drive.google.com/open?id=1r3-6tsH2eBPW7hnkN7pY6R7z3Q6QjuN9&amp;usp=drive_copy" TargetMode="External"/><Relationship Id="rId137" Type="http://schemas.openxmlformats.org/officeDocument/2006/relationships/hyperlink" Target="https://docs.google.com/document/d/1noqEfGxwnHQL7wJmsrjhv6qCuwVSZSSt/edit?usp=drive_link&amp;ouid=105199658487974895650&amp;rtpof=true&amp;sd=true" TargetMode="External"/><Relationship Id="rId158" Type="http://schemas.openxmlformats.org/officeDocument/2006/relationships/hyperlink" Target="https://drive.google.com/open?id=1KCJPjZAmcEQIJs4higj79s1E65KGZYEQ&amp;usp=drive_copy" TargetMode="External"/><Relationship Id="rId302" Type="http://schemas.openxmlformats.org/officeDocument/2006/relationships/hyperlink" Target="https://drive.google.com/open?id=1rQqHAFywQk6HFf9brXU5MZDCY7ahDU3_&amp;usp=drive_copy" TargetMode="External"/><Relationship Id="rId323" Type="http://schemas.openxmlformats.org/officeDocument/2006/relationships/hyperlink" Target="https://drive.google.com/open?id=1veVMp-_B6zV0GkfuiyA2UbzuFP13F5SY&amp;usp=drive_copy" TargetMode="External"/><Relationship Id="rId344" Type="http://schemas.openxmlformats.org/officeDocument/2006/relationships/hyperlink" Target="https://drive.google.com/open?id=1M6kJZURrEWIKWOqEGIDrSE5158tjVVIf&amp;usp=drive_copy" TargetMode="External"/><Relationship Id="rId20" Type="http://schemas.openxmlformats.org/officeDocument/2006/relationships/hyperlink" Target="https://drive.google.com/open?id=1H-8RtkyLUuX6NY9dP-l0CFKwIsFmCBqk&amp;usp=drive_copy" TargetMode="External"/><Relationship Id="rId41" Type="http://schemas.openxmlformats.org/officeDocument/2006/relationships/hyperlink" Target="https://drive.google.com/open?id=1-Ku2Fw8VZLbBoWFv3WSjDngBgBdeWU__&amp;usp=drive_copy" TargetMode="External"/><Relationship Id="rId62" Type="http://schemas.openxmlformats.org/officeDocument/2006/relationships/hyperlink" Target="https://drive.google.com/open?id=1eoA-1HHodJa9yN9ECLQ4QeXVP1cuFggB&amp;usp=drive_copy" TargetMode="External"/><Relationship Id="rId83" Type="http://schemas.openxmlformats.org/officeDocument/2006/relationships/hyperlink" Target="https://drive.google.com/open?id=1S6A-5i3XgjgA5C42rIn1-IPsLphq-MJv&amp;usp=drive_copy" TargetMode="External"/><Relationship Id="rId179" Type="http://schemas.openxmlformats.org/officeDocument/2006/relationships/hyperlink" Target="https://drive.google.com/open?id=17ohlfh8xiokloMQChQq1ocsf-YtGut6k&amp;usp=drive_copy" TargetMode="External"/><Relationship Id="rId365" Type="http://schemas.openxmlformats.org/officeDocument/2006/relationships/hyperlink" Target="https://docs.google.com/document/d/1KncLf-zkrL20ztMoZSPRkgOL1CATePbl/edit?usp=sharing&amp;ouid=105199658487974895650&amp;rtpof=true&amp;sd=true" TargetMode="External"/><Relationship Id="rId190" Type="http://schemas.openxmlformats.org/officeDocument/2006/relationships/hyperlink" Target="https://drive.google.com/open?id=1lJjPENO0f3miukxk_LKk65iA0MgATf8h&amp;usp=drive_copy" TargetMode="External"/><Relationship Id="rId204" Type="http://schemas.openxmlformats.org/officeDocument/2006/relationships/hyperlink" Target="https://drive.google.com/open?id=1R0Mt714LxUaleF_9d8NoqMeQZxcrkIEP&amp;usp=drive_copy" TargetMode="External"/><Relationship Id="rId225" Type="http://schemas.openxmlformats.org/officeDocument/2006/relationships/hyperlink" Target="https://drive.google.com/open?id=1guL0snqoJgHPpLmvT5actNf-uD3In3rA&amp;usp=drive_copy" TargetMode="External"/><Relationship Id="rId246" Type="http://schemas.openxmlformats.org/officeDocument/2006/relationships/hyperlink" Target="https://docs.google.com/document/d/1YgTzkYrVMlLcB1-w3cRxAaOygRV-Lqqz/edit" TargetMode="External"/><Relationship Id="rId267" Type="http://schemas.openxmlformats.org/officeDocument/2006/relationships/hyperlink" Target="https://drive.google.com/open?id=1tmFRQyk9BwGNROLs1cg5fHgYWWuW8gyU&amp;usp=drive_copy" TargetMode="External"/><Relationship Id="rId288" Type="http://schemas.openxmlformats.org/officeDocument/2006/relationships/hyperlink" Target="https://drive.google.com/open?id=1AwiZIroFNpJNaaIyomSLOQdg8Hc5SjSz&amp;usp=drive_copy" TargetMode="External"/><Relationship Id="rId106" Type="http://schemas.openxmlformats.org/officeDocument/2006/relationships/hyperlink" Target="https://drive.google.com/open?id=14aVfhmB6VJAyzuIzwFtCnVXQrKSh7bg0&amp;usp=drive_copy" TargetMode="External"/><Relationship Id="rId127" Type="http://schemas.openxmlformats.org/officeDocument/2006/relationships/hyperlink" Target="https://docs.google.com/document/d/11zVFO5Vsxc20sfwyX-ojrWQbgcR-Nnno/edit?usp=drive_link&amp;ouid=105199658487974895650&amp;rtpof=true&amp;sd=true" TargetMode="External"/><Relationship Id="rId313" Type="http://schemas.openxmlformats.org/officeDocument/2006/relationships/hyperlink" Target="https://drive.google.com/open?id=1mmekI5HNNxNiBLQle1ELzb6GCo3C9aVS&amp;usp=drive_copy" TargetMode="External"/><Relationship Id="rId10" Type="http://schemas.openxmlformats.org/officeDocument/2006/relationships/hyperlink" Target="https://drive.google.com/file/d/1B_VcJ9UfDN79PrElCXAdW-S20MD2_oho/view?usp=drive_link" TargetMode="External"/><Relationship Id="rId31" Type="http://schemas.openxmlformats.org/officeDocument/2006/relationships/hyperlink" Target="https://docs.google.com/document/d/1vpmvIYOPYkuPrCtf5Xzoop5CcLmYgGOD/edit?rtpof=true&amp;tab=t.0" TargetMode="External"/><Relationship Id="rId52" Type="http://schemas.openxmlformats.org/officeDocument/2006/relationships/hyperlink" Target="https://docs.google.com/document/d/1Bd-_fo8FHO0qUsmjE4cl0iV5-9wLBAUd/edit?usp=drive_link&amp;ouid=105199658487974895650&amp;rtpof=true&amp;sd=true" TargetMode="External"/><Relationship Id="rId73" Type="http://schemas.openxmlformats.org/officeDocument/2006/relationships/hyperlink" Target="https://drive.google.com/open?id=1RPLV6vAiredOunAzZufdDGPJfJCrzIPj&amp;usp=drive_copy" TargetMode="External"/><Relationship Id="rId94" Type="http://schemas.openxmlformats.org/officeDocument/2006/relationships/hyperlink" Target="https://drive.google.com/open?id=1ZIF159AKsK2Imjq4sr7q4P0IwYgjj9W3&amp;usp=drive_copy" TargetMode="External"/><Relationship Id="rId148" Type="http://schemas.openxmlformats.org/officeDocument/2006/relationships/hyperlink" Target="https://drive.google.com/open?id=1H8RgR_pg79s6Tsqj-6vROISXhQMRDY2O&amp;usp=drive_copy" TargetMode="External"/><Relationship Id="rId169" Type="http://schemas.openxmlformats.org/officeDocument/2006/relationships/hyperlink" Target="https://drive.google.com/open?id=1TfFmHEUGz-aIFf6-CdmPw6I6vacX-WJF&amp;usp=drive_copy" TargetMode="External"/><Relationship Id="rId334" Type="http://schemas.openxmlformats.org/officeDocument/2006/relationships/hyperlink" Target="https://drive.google.com/open?id=1YX_kdjTU8rvHJUc1hgO6VQbzf_sVechQ&amp;usp=drive_copy" TargetMode="External"/><Relationship Id="rId355" Type="http://schemas.openxmlformats.org/officeDocument/2006/relationships/hyperlink" Target="https://drive.google.com/open?id=1E__HODN1Chtv-JDEVuGn4ef4OXT-l1_h&amp;usp=drive_copy" TargetMode="External"/><Relationship Id="rId376" Type="http://schemas.openxmlformats.org/officeDocument/2006/relationships/hyperlink" Target="https://drive.google.com/file/d/14LQx_SFayW1FfI-ss0McltQpnqtNI-8K/view?usp=drive_link" TargetMode="External"/><Relationship Id="rId4" Type="http://schemas.openxmlformats.org/officeDocument/2006/relationships/hyperlink" Target="https://drive.google.com/open?id=1b-n2XDZpwcX-kTzlxyK1l_biAHCm8nVY&amp;usp=drive_copy" TargetMode="External"/><Relationship Id="rId180" Type="http://schemas.openxmlformats.org/officeDocument/2006/relationships/hyperlink" Target="https://drive.google.com/open?id=16rhCeSwFvHI2YM1N1w9DmLX7NjW6Ts1_&amp;usp=drive_copy" TargetMode="External"/><Relationship Id="rId215" Type="http://schemas.openxmlformats.org/officeDocument/2006/relationships/hyperlink" Target="https://drive.google.com/open?id=10bpDMN5S3yMbkcAr5lc6PN1miJmwXhF-&amp;usp=drive_copy" TargetMode="External"/><Relationship Id="rId236" Type="http://schemas.openxmlformats.org/officeDocument/2006/relationships/hyperlink" Target="https://docs.google.com/document/d/1EqMxtRuNV90-9wB6jqET_pw-f4Hky3Q4/edit?usp=drive_link&amp;ouid=105199658487974895650&amp;rtpof=true&amp;sd=true" TargetMode="External"/><Relationship Id="rId257" Type="http://schemas.openxmlformats.org/officeDocument/2006/relationships/hyperlink" Target="https://drive.google.com/open?id=1NxW3zSPAOUP3Kuhv3ww_XS5HDy3_AfsM&amp;usp=drive_copy" TargetMode="External"/><Relationship Id="rId278" Type="http://schemas.openxmlformats.org/officeDocument/2006/relationships/hyperlink" Target="https://drive.google.com/open?id=1ef6urIlQPz-QedD079ph-uciPCuvDtc1&amp;usp=drive_copy" TargetMode="External"/><Relationship Id="rId303" Type="http://schemas.openxmlformats.org/officeDocument/2006/relationships/hyperlink" Target="https://drive.google.com/open?id=1WR4nhtYDXa6mUHVMc4eBVE9UrYCUWqSJ&amp;usp=drive_copy" TargetMode="External"/><Relationship Id="rId42" Type="http://schemas.openxmlformats.org/officeDocument/2006/relationships/hyperlink" Target="https://docs.google.com/document/d/1K6j-uBVheusnJNIjLBwq_STE9oF1nDzb/edit?usp=drive_link&amp;ouid=105199658487974895650&amp;rtpof=true&amp;sd=true" TargetMode="External"/><Relationship Id="rId84" Type="http://schemas.openxmlformats.org/officeDocument/2006/relationships/hyperlink" Target="https://drive.google.com/open?id=1Owl3-t-OAhjaIS9-JY07aPVT1NoW6mcP&amp;usp=drive_copy" TargetMode="External"/><Relationship Id="rId138" Type="http://schemas.openxmlformats.org/officeDocument/2006/relationships/hyperlink" Target="https://docs.google.com/document/d/10EpxK-5N4347fzfs1cQC-0oWplc6BCog/edit?usp=drive_link&amp;ouid=105199658487974895650&amp;rtpof=true&amp;sd=true" TargetMode="External"/><Relationship Id="rId345" Type="http://schemas.openxmlformats.org/officeDocument/2006/relationships/hyperlink" Target="https://drive.google.com/open?id=1t_aawaMahRF-S8rl5GRSzNtVyHW3cXNP&amp;usp=drive_copy" TargetMode="External"/><Relationship Id="rId191" Type="http://schemas.openxmlformats.org/officeDocument/2006/relationships/hyperlink" Target="https://drive.google.com/open?id=1x_-mjj1pZY6Z0cTOKsqSvd2Xckly3Cl9&amp;usp=drive_copy" TargetMode="External"/><Relationship Id="rId205" Type="http://schemas.openxmlformats.org/officeDocument/2006/relationships/hyperlink" Target="https://drive.google.com/open?id=1Sbvb1vJDMEWgRv2RNTzPJYEM7mD0mQAT&amp;usp=drive_copy" TargetMode="External"/><Relationship Id="rId247" Type="http://schemas.openxmlformats.org/officeDocument/2006/relationships/hyperlink" Target="https://docs.google.com/document/d/11L1q8mHHswStO341d3-0k7lX3GkI9Muz/edit" TargetMode="External"/><Relationship Id="rId107" Type="http://schemas.openxmlformats.org/officeDocument/2006/relationships/hyperlink" Target="https://docs.google.com/document/d/1Ydvzy2ZTxEB6MSeDa9bNidak-7YSSZN3/edit?usp=drive_web&amp;ouid=107639235496425521759&amp;rtpof=true" TargetMode="External"/><Relationship Id="rId289" Type="http://schemas.openxmlformats.org/officeDocument/2006/relationships/hyperlink" Target="https://drive.google.com/open?id=1F1CfDLDhheubRvOydWJWowKCqCHbAY01&amp;usp=drive_copy" TargetMode="External"/><Relationship Id="rId11" Type="http://schemas.openxmlformats.org/officeDocument/2006/relationships/hyperlink" Target="https://docs.google.com/document/d/1Ua1UgHmXn9P1-xrBZsvy9lX1tWx8Yd8E/edit?usp=drive_link&amp;ouid=105199658487974895650&amp;rtpof=true&amp;sd=true" TargetMode="External"/><Relationship Id="rId53" Type="http://schemas.openxmlformats.org/officeDocument/2006/relationships/hyperlink" Target="https://drive.google.com/open?id=1RErdCxwvm8BYXobXY8ywU9B3Ale0BO77&amp;usp=drive_copy" TargetMode="External"/><Relationship Id="rId149" Type="http://schemas.openxmlformats.org/officeDocument/2006/relationships/hyperlink" Target="https://drive.google.com/open?id=1yp-iGvJE73LCI33_UkbhP-FWvuwkXVF4&amp;usp=drive_copy" TargetMode="External"/><Relationship Id="rId314" Type="http://schemas.openxmlformats.org/officeDocument/2006/relationships/hyperlink" Target="https://drive.google.com/open?id=18_3JePvbpG0dr_fjoym-YDfXDqPW7TuN&amp;usp=drive_copy" TargetMode="External"/><Relationship Id="rId356" Type="http://schemas.openxmlformats.org/officeDocument/2006/relationships/hyperlink" Target="https://drive.google.com/open?id=1GRfrUabJV68XfryfzEBC1R-YoGMFuK7k&amp;usp=drive_copy" TargetMode="External"/><Relationship Id="rId95" Type="http://schemas.openxmlformats.org/officeDocument/2006/relationships/hyperlink" Target="https://drive.google.com/open?id=1E0F0lYcWd0BaM8qho2OU1cWqft43nYXN&amp;usp=drive_copy" TargetMode="External"/><Relationship Id="rId160" Type="http://schemas.openxmlformats.org/officeDocument/2006/relationships/hyperlink" Target="https://drive.google.com/open?id=1So4hRWVkSP25x59tH39zQtLDVVjl-ntS&amp;usp=drive_copy" TargetMode="External"/><Relationship Id="rId216" Type="http://schemas.openxmlformats.org/officeDocument/2006/relationships/hyperlink" Target="https://drive.google.com/open?id=1YuGEHNHwNTyN-ZktYZ_LjTwnaQyiNA8Q&amp;usp=drive_copy" TargetMode="External"/><Relationship Id="rId258" Type="http://schemas.openxmlformats.org/officeDocument/2006/relationships/hyperlink" Target="https://drive.google.com/open?id=1DwAKvAEjnyACl_jFfSilf61T8zypbZcJ&amp;usp=drive_copy" TargetMode="External"/><Relationship Id="rId22" Type="http://schemas.openxmlformats.org/officeDocument/2006/relationships/hyperlink" Target="https://drive.google.com/open?id=1kBUN1cQ9p9Gnbt40O6xeKTcu7P5kFsvM&amp;usp=drive_copy" TargetMode="External"/><Relationship Id="rId64" Type="http://schemas.openxmlformats.org/officeDocument/2006/relationships/hyperlink" Target="https://drive.google.com/open?id=1GsnRxVhHrsSU2esHB30L20z1m0NpVDTB&amp;usp=drive_copy" TargetMode="External"/><Relationship Id="rId118" Type="http://schemas.openxmlformats.org/officeDocument/2006/relationships/hyperlink" Target="https://docs.google.com/document/d/16xbpZZf3DD1aJgSoutKkIvXJWAJowLWM/edit?usp=drive_link&amp;ouid=105199658487974895650&amp;rtpof=true&amp;sd=true" TargetMode="External"/><Relationship Id="rId325" Type="http://schemas.openxmlformats.org/officeDocument/2006/relationships/hyperlink" Target="https://drive.google.com/open?id=1uyJeeEDSPACYwdtPjbPOSZ8ED-7QgLF4&amp;usp=drive_copy" TargetMode="External"/><Relationship Id="rId367" Type="http://schemas.openxmlformats.org/officeDocument/2006/relationships/hyperlink" Target="https://drive.google.com/drive/folders/1XAg2ajJL5sq25UMk-b-r4ZxCyDAOX5r4" TargetMode="External"/><Relationship Id="rId171" Type="http://schemas.openxmlformats.org/officeDocument/2006/relationships/hyperlink" Target="https://drive.google.com/open?id=12dRo6B7ZW_qgo1idgn7V0pU8o6TPmRS-&amp;usp=drive_copy" TargetMode="External"/><Relationship Id="rId227" Type="http://schemas.openxmlformats.org/officeDocument/2006/relationships/hyperlink" Target="https://drive.google.com/open?id=1ESvxn3MMV_rxWsL09BhSrFkcLiOYrm-3&amp;usp=drive_copy" TargetMode="External"/><Relationship Id="rId269" Type="http://schemas.openxmlformats.org/officeDocument/2006/relationships/hyperlink" Target="https://drive.google.com/open?id=1uCLq5EsksFVXx253jTzfDJzyoiYx_VjN&amp;usp=drive_copy" TargetMode="External"/><Relationship Id="rId33" Type="http://schemas.openxmlformats.org/officeDocument/2006/relationships/hyperlink" Target="https://drive.google.com/open?id=111ggm6tkKSEtMuJerXAW0mPws2vjrts5&amp;usp=drive_copy" TargetMode="External"/><Relationship Id="rId129" Type="http://schemas.openxmlformats.org/officeDocument/2006/relationships/hyperlink" Target="https://docs.google.com/document/d/18IEyoz8I8XsSySe0WmwzMAZjiTZdASQR/edit?usp=drive_link&amp;ouid=105199658487974895650&amp;rtpof=true&amp;sd=true" TargetMode="External"/><Relationship Id="rId280" Type="http://schemas.openxmlformats.org/officeDocument/2006/relationships/hyperlink" Target="https://drive.google.com/open?id=1Z0l-9ohMfP7HwLdj-QQys5shre2qU4kB&amp;usp=drive_copy" TargetMode="External"/><Relationship Id="rId336" Type="http://schemas.openxmlformats.org/officeDocument/2006/relationships/hyperlink" Target="https://drive.google.com/open?id=1FWuBDd2JWqvATxi5ZZY26Nbw1RVtAZAr&amp;usp=drive_copy" TargetMode="External"/><Relationship Id="rId75" Type="http://schemas.openxmlformats.org/officeDocument/2006/relationships/hyperlink" Target="https://drive.google.com/open?id=1RWCeuUQKrwXRybQmicovluIuT6dvW4wT&amp;usp=drive_copy" TargetMode="External"/><Relationship Id="rId140" Type="http://schemas.openxmlformats.org/officeDocument/2006/relationships/hyperlink" Target="https://drive.google.com/drive/folders/1RnUeZsXyKxs69g4PplyFR-R5IdWF7cCe" TargetMode="External"/><Relationship Id="rId182" Type="http://schemas.openxmlformats.org/officeDocument/2006/relationships/hyperlink" Target="https://drive.google.com/open?id=1GPB4DFHdxVpvO-EeGWwTaFWoWW3J9-gT&amp;usp=drive_copy" TargetMode="External"/><Relationship Id="rId378" Type="http://schemas.openxmlformats.org/officeDocument/2006/relationships/hyperlink" Target="https://docs.google.com/document/d/1FYiMNYhzk9Ag8QTENUQHnDeb9AjTyccC/edit?usp=drive_link&amp;ouid=105199658487974895650&amp;rtpof=true&amp;sd=true" TargetMode="External"/><Relationship Id="rId6" Type="http://schemas.openxmlformats.org/officeDocument/2006/relationships/hyperlink" Target="https://drive.google.com/open?id=18iuye2KXcf-xlN_BIqFNfqwbZETzbOws&amp;usp=drive_copy" TargetMode="External"/><Relationship Id="rId238" Type="http://schemas.openxmlformats.org/officeDocument/2006/relationships/hyperlink" Target="https://docs.google.com/document/d/1z7Bq3EnRxZDXfsI4Gg1PpPBl7FC21Cpx/edit" TargetMode="External"/><Relationship Id="rId291" Type="http://schemas.openxmlformats.org/officeDocument/2006/relationships/hyperlink" Target="https://drive.google.com/open?id=1cnIecK37kUiRXXiZwGKlPXC8nzCxICKm&amp;usp=drive_copy" TargetMode="External"/><Relationship Id="rId305" Type="http://schemas.openxmlformats.org/officeDocument/2006/relationships/hyperlink" Target="https://drive.google.com/open?id=1E8__U-3GrxRIl-uOhIHuoCeFNHpkm54G&amp;usp=drive_copy" TargetMode="External"/><Relationship Id="rId347" Type="http://schemas.openxmlformats.org/officeDocument/2006/relationships/hyperlink" Target="https://drive.google.com/open?id=1WgS1rn87zayuFpxAITsQrSGVWBw107WP&amp;usp=drive_copy" TargetMode="External"/><Relationship Id="rId44" Type="http://schemas.openxmlformats.org/officeDocument/2006/relationships/hyperlink" Target="https://docs.google.com/document/d/1SHuNXTvMFjMNi0rkcM6um9lo5Cr3aM46/edit?usp=drive_link&amp;ouid=105199658487974895650&amp;rtpof=true&amp;sd=true" TargetMode="External"/><Relationship Id="rId86" Type="http://schemas.openxmlformats.org/officeDocument/2006/relationships/hyperlink" Target="https://drive.google.com/open?id=1ATURFYayTrYTWZiOE7JMZ_JX2MDHZIjZ&amp;usp=drive_copy" TargetMode="External"/><Relationship Id="rId151" Type="http://schemas.openxmlformats.org/officeDocument/2006/relationships/hyperlink" Target="https://drive.google.com/open?id=1JRvZG_21oNstOrzVp5MUH0Jd3B9IaIBR&amp;usp=drive_copy" TargetMode="External"/><Relationship Id="rId193" Type="http://schemas.openxmlformats.org/officeDocument/2006/relationships/hyperlink" Target="https://drive.google.com/open?id=1tpK3mRPShXgP54TOXQnG-tWW1cEgs7HP&amp;usp=drive_copy" TargetMode="External"/><Relationship Id="rId207" Type="http://schemas.openxmlformats.org/officeDocument/2006/relationships/hyperlink" Target="https://drive.google.com/open?id=1cQxPQMdaD15SLqrF9tSq93BkpcIQfn_m&amp;usp=drive_copy" TargetMode="External"/><Relationship Id="rId249" Type="http://schemas.openxmlformats.org/officeDocument/2006/relationships/hyperlink" Target="https://docs.google.com/document/d/1rO9OYosCzWkzddHp9TZHAzGsSV8ufW0y/edit?usp=drive_link&amp;ouid=105199658487974895650&amp;rtpof=true&amp;sd=true" TargetMode="External"/><Relationship Id="rId13" Type="http://schemas.openxmlformats.org/officeDocument/2006/relationships/hyperlink" Target="https://docs.google.com/document/d/10q2azJNwHomMxVWpNEzjg2OkLSb8YU2U/edit?usp=drive_link&amp;ouid=105199658487974895650&amp;rtpof=true&amp;sd=true" TargetMode="External"/><Relationship Id="rId109" Type="http://schemas.openxmlformats.org/officeDocument/2006/relationships/hyperlink" Target="https://docs.google.com/document/d/1uL2yGmyZ6-G4fj7sCh9Tlm0f4xpUN473/edit?usp=drive_web&amp;ouid=107639235496425521759&amp;rtpof=true" TargetMode="External"/><Relationship Id="rId260" Type="http://schemas.openxmlformats.org/officeDocument/2006/relationships/hyperlink" Target="https://drive.google.com/open?id=1RxB4UTTL-Y5xnCwsn6JhAcR68bXsKye0&amp;usp=drive_copy" TargetMode="External"/><Relationship Id="rId316" Type="http://schemas.openxmlformats.org/officeDocument/2006/relationships/hyperlink" Target="https://drive.google.com/open?id=1uviDzEpauplg9WCVswfcyj3VYNlBMDxO&amp;usp=drive_copy" TargetMode="External"/><Relationship Id="rId55" Type="http://schemas.openxmlformats.org/officeDocument/2006/relationships/hyperlink" Target="https://drive.google.com/open?id=1u7urUhzfIG8AzbOZGnRBX9956NZ9BuDi&amp;usp=drive_copy" TargetMode="External"/><Relationship Id="rId97" Type="http://schemas.openxmlformats.org/officeDocument/2006/relationships/hyperlink" Target="https://drive.google.com/open?id=1sDBZwg3j5xC1FmSWWHT_8Zst5mTrg8fY&amp;usp=drive_copy" TargetMode="External"/><Relationship Id="rId120" Type="http://schemas.openxmlformats.org/officeDocument/2006/relationships/hyperlink" Target="https://docs.google.com/document/d/1Ar8OWH3eiD1IT92QC3kIiSeybJ1cgRDE/edit?usp=drive_link&amp;ouid=105199658487974895650&amp;rtpof=true&amp;sd=true" TargetMode="External"/><Relationship Id="rId358" Type="http://schemas.openxmlformats.org/officeDocument/2006/relationships/hyperlink" Target="https://drive.google.com/open?id=1xa0iMkxXNjOd0sBWC2hnuPAJSHbdIudW&amp;usp=drive_copy" TargetMode="External"/><Relationship Id="rId162" Type="http://schemas.openxmlformats.org/officeDocument/2006/relationships/hyperlink" Target="https://drive.google.com/open?id=1Ga_SGkv3kgDxT7cwU5gEXjWbNrq2nZKF&amp;usp=drive_copy" TargetMode="External"/><Relationship Id="rId218" Type="http://schemas.openxmlformats.org/officeDocument/2006/relationships/hyperlink" Target="https://drive.google.com/open?id=1AP7glko2_NGLaVEj9SNLgsoXZxoixsbo&amp;usp=drive_copy" TargetMode="External"/><Relationship Id="rId271" Type="http://schemas.openxmlformats.org/officeDocument/2006/relationships/hyperlink" Target="https://drive.google.com/open?id=1fe9yG9fQvJkalU9SXHgES1mhwMXZifIR&amp;usp=drive_copy" TargetMode="External"/><Relationship Id="rId24" Type="http://schemas.openxmlformats.org/officeDocument/2006/relationships/hyperlink" Target="https://drive.google.com/open?id=1B6ONiyvQQYp7RVP7MXxEfWrkkns5yTQh&amp;usp=drive_copy" TargetMode="External"/><Relationship Id="rId66" Type="http://schemas.openxmlformats.org/officeDocument/2006/relationships/hyperlink" Target="https://drive.google.com/open?id=14M9YJVkIRw1TQfjNPl8OmIQQlmYHmxeC&amp;usp=drive_copy" TargetMode="External"/><Relationship Id="rId131" Type="http://schemas.openxmlformats.org/officeDocument/2006/relationships/hyperlink" Target="https://docs.google.com/document/d/1-r3WzqeU_cYWEdtOGso7sdxuq40WLIkl/edit?usp=drive_link&amp;ouid=105199658487974895650&amp;rtpof=true&amp;sd=true" TargetMode="External"/><Relationship Id="rId327" Type="http://schemas.openxmlformats.org/officeDocument/2006/relationships/hyperlink" Target="https://drive.google.com/open?id=107rTjMDk1ye6mWI2EDBK1JyVnRktlBVB&amp;usp=drive_copy" TargetMode="External"/><Relationship Id="rId369" Type="http://schemas.openxmlformats.org/officeDocument/2006/relationships/hyperlink" Target="https://docs.google.com/document/d/1OK-s4BR6oIhsip9rKVJtbVRefmnNN29t/edit?usp=drive_web&amp;ouid=107639235496425521759&amp;rtpof=true" TargetMode="External"/><Relationship Id="rId173" Type="http://schemas.openxmlformats.org/officeDocument/2006/relationships/hyperlink" Target="https://drive.google.com/open?id=1JKGVs3puI4b9YT-rkHRIZWD9-bXKuVOZ&amp;usp=drive_copy" TargetMode="External"/><Relationship Id="rId229" Type="http://schemas.openxmlformats.org/officeDocument/2006/relationships/hyperlink" Target="https://drive.google.com/open?id=1qsOt6k8S_LNa2i3alNLJcOple-b2svv3&amp;usp=drive_copy" TargetMode="External"/><Relationship Id="rId380" Type="http://schemas.openxmlformats.org/officeDocument/2006/relationships/hyperlink" Target="https://docs.google.com/document/d/1j2rwj9MzvTjULNjIYoTOzT_ocsFToXmo/edit?usp=drive_link&amp;ouid=105199658487974895650&amp;rtpof=true&amp;sd=true" TargetMode="External"/><Relationship Id="rId240" Type="http://schemas.openxmlformats.org/officeDocument/2006/relationships/hyperlink" Target="https://docs.google.com/document/d/11oJGRw9PntPCNoMqXGJhFMVNYa-m7EK1/edit" TargetMode="External"/><Relationship Id="rId35" Type="http://schemas.openxmlformats.org/officeDocument/2006/relationships/hyperlink" Target="https://drive.google.com/open?id=1pF7DD8aHwhzxniCP6SgMQqRMB85Yy8AP&amp;usp=drive_copy" TargetMode="External"/><Relationship Id="rId77" Type="http://schemas.openxmlformats.org/officeDocument/2006/relationships/hyperlink" Target="https://drive.google.com/open?id=1uWL-1wTt7OYzCjqTcyAxGOGt4z89RN8d&amp;usp=drive_copy" TargetMode="External"/><Relationship Id="rId100" Type="http://schemas.openxmlformats.org/officeDocument/2006/relationships/hyperlink" Target="https://drive.google.com/open?id=1XbC3QtSMsCTuWiyEDsaj_aTxdB-J4eBL&amp;usp=drive_copy" TargetMode="External"/><Relationship Id="rId282" Type="http://schemas.openxmlformats.org/officeDocument/2006/relationships/hyperlink" Target="https://drive.google.com/open?id=1K59P1-4tRU8XdS-VghGMBD3ByGlwiESq&amp;usp=drive_copy" TargetMode="External"/><Relationship Id="rId338" Type="http://schemas.openxmlformats.org/officeDocument/2006/relationships/hyperlink" Target="https://drive.google.com/open?id=1C34q9dvLdzEpdEMI287vEyPAArBP-c5g&amp;usp=drive_copy" TargetMode="External"/><Relationship Id="rId8" Type="http://schemas.openxmlformats.org/officeDocument/2006/relationships/hyperlink" Target="https://drive.google.com/open?id=175eIkgWEJqft9Uv6v9a017gm-92_vmKU&amp;usp=drive_copy" TargetMode="External"/><Relationship Id="rId142" Type="http://schemas.openxmlformats.org/officeDocument/2006/relationships/hyperlink" Target="https://drive.google.com/drive/folders/1M_6OwEy3SiM0wKkHUHo20OK-ACrzLFV4" TargetMode="External"/><Relationship Id="rId184" Type="http://schemas.openxmlformats.org/officeDocument/2006/relationships/hyperlink" Target="https://drive.google.com/drive/folders/1HBCsUFbNfGXrjiQLmohwu6uUHon9auJo?usp=drive_link" TargetMode="External"/><Relationship Id="rId251" Type="http://schemas.openxmlformats.org/officeDocument/2006/relationships/hyperlink" Target="https://drive.google.com/open?id=1TjboU-kDnmF6wRRU-Nxov9Q4i-sF5DUQ&amp;usp=drive_copy" TargetMode="External"/><Relationship Id="rId46" Type="http://schemas.openxmlformats.org/officeDocument/2006/relationships/hyperlink" Target="https://docs.google.com/document/d/1TXr_JJdfO2Ixejxh_jb_p5vgr-GVbDJH/edit?usp=drive_link&amp;ouid=105199658487974895650&amp;rtpof=true&amp;sd=true" TargetMode="External"/><Relationship Id="rId293" Type="http://schemas.openxmlformats.org/officeDocument/2006/relationships/hyperlink" Target="https://drive.google.com/open?id=14LE_y37TouVo43yL0KWTqrReUcaKxSfj&amp;usp=drive_copy" TargetMode="External"/><Relationship Id="rId307" Type="http://schemas.openxmlformats.org/officeDocument/2006/relationships/hyperlink" Target="https://drive.google.com/open?id=1__LwPklmPjeEeQ9yEfIJmdq8nWGAkzH2&amp;usp=drive_copy" TargetMode="External"/><Relationship Id="rId349" Type="http://schemas.openxmlformats.org/officeDocument/2006/relationships/hyperlink" Target="https://drive.google.com/open?id=1sQWzmuiFb0OEo49JN7eU6sVpaJxMLXF8&amp;usp=drive_copy" TargetMode="External"/><Relationship Id="rId88" Type="http://schemas.openxmlformats.org/officeDocument/2006/relationships/hyperlink" Target="https://drive.google.com/open?id=1zLy3chMBg9sVHUuqTYt47lTLVe7UjLn8&amp;usp=drive_copy" TargetMode="External"/><Relationship Id="rId111" Type="http://schemas.openxmlformats.org/officeDocument/2006/relationships/hyperlink" Target="https://docs.google.com/document/d/1Cdyx1wj6yW3C7L62mW9mwOHMWbE9CH-O/edit?usp=drive_web&amp;ouid=107639235496425521759&amp;rtpof=true" TargetMode="External"/><Relationship Id="rId153" Type="http://schemas.openxmlformats.org/officeDocument/2006/relationships/hyperlink" Target="https://drive.google.com/open?id=1Lr8zeqmpFv1bJKHIakRAaT1bL-oYi-Yn&amp;usp=drive_copy" TargetMode="External"/><Relationship Id="rId195" Type="http://schemas.openxmlformats.org/officeDocument/2006/relationships/hyperlink" Target="https://drive.google.com/open?id=1BAICVXlS6fGJ7ElyE8cigQnaI5bhSajC&amp;usp=drive_copy" TargetMode="External"/><Relationship Id="rId209" Type="http://schemas.openxmlformats.org/officeDocument/2006/relationships/hyperlink" Target="https://drive.google.com/open?id=1e3E8Z1N9RNBQSZjFS2fB0HfoTl4My8lH&amp;usp=drive_copy" TargetMode="External"/><Relationship Id="rId360" Type="http://schemas.openxmlformats.org/officeDocument/2006/relationships/hyperlink" Target="https://drive.google.com/open?id=1yLhe2y7XmrZB39ai-FCO9Fx5e8OsvsBw&amp;usp=drive_copy" TargetMode="External"/><Relationship Id="rId220" Type="http://schemas.openxmlformats.org/officeDocument/2006/relationships/hyperlink" Target="https://drive.google.com/open?id=14s2gOomokbd1KVqj8hLL_BVImaTxWFG_&amp;usp=drive_copy" TargetMode="External"/><Relationship Id="rId15" Type="http://schemas.openxmlformats.org/officeDocument/2006/relationships/hyperlink" Target="https://docs.google.com/document/d/1LXhkMX9BBpJs6sDKfXxCxARYVoqlwhab/edit?usp=sharing&amp;ouid=105199658487974895650&amp;rtpof=true&amp;sd=true" TargetMode="External"/><Relationship Id="rId57" Type="http://schemas.openxmlformats.org/officeDocument/2006/relationships/hyperlink" Target="https://drive.google.com/open?id=1acvwrQq8Kv8n1SS8w-y1BNuAfJXtMn4s&amp;usp=drive_copy" TargetMode="External"/><Relationship Id="rId262" Type="http://schemas.openxmlformats.org/officeDocument/2006/relationships/hyperlink" Target="https://docs.google.com/document/d/1wFr2R6gGxEjyieVYfuC2zH3mIasccjxj/edit" TargetMode="External"/><Relationship Id="rId318" Type="http://schemas.openxmlformats.org/officeDocument/2006/relationships/hyperlink" Target="https://drive.google.com/open?id=1o0fu3kpM71K6WQ3X2AXIQXo3z0wkZZXe&amp;usp=drive_copy" TargetMode="External"/><Relationship Id="rId99" Type="http://schemas.openxmlformats.org/officeDocument/2006/relationships/hyperlink" Target="https://drive.google.com/open?id=1kmH_3fhhJolwlRdi6u0NIKvTQQ4emeJR&amp;usp=drive_copy" TargetMode="External"/><Relationship Id="rId122" Type="http://schemas.openxmlformats.org/officeDocument/2006/relationships/hyperlink" Target="https://docs.google.com/document/d/1coywM1eaajJ13orPQj1Do1dWZU4JVgQN/edit?usp=drive_link&amp;ouid=105199658487974895650&amp;rtpof=true&amp;sd=true" TargetMode="External"/><Relationship Id="rId164" Type="http://schemas.openxmlformats.org/officeDocument/2006/relationships/hyperlink" Target="https://drive.google.com/open?id=1pKKamH7hMLYWD94x6Ile4yQiaWyNDblB&amp;usp=drive_copy" TargetMode="External"/><Relationship Id="rId371" Type="http://schemas.openxmlformats.org/officeDocument/2006/relationships/hyperlink" Target="https://docs.google.com/document/d/1CMiaNsD1a0S0ZaU9kSBVYzXzXvuWhmO4/edit?usp=drive_link&amp;ouid=105199658487974895650&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39"/>
  <sheetViews>
    <sheetView tabSelected="1" workbookViewId="0">
      <pane ySplit="5" topLeftCell="A6" activePane="bottomLeft" state="frozen"/>
      <selection pane="bottomLeft" activeCell="D230" sqref="B6:D230"/>
    </sheetView>
  </sheetViews>
  <sheetFormatPr defaultColWidth="12.6328125" defaultRowHeight="15.75" customHeight="1"/>
  <cols>
    <col min="1" max="1" width="4.453125" customWidth="1"/>
    <col min="2" max="2" width="21.6328125" customWidth="1"/>
    <col min="3" max="3" width="10.90625" customWidth="1"/>
    <col min="4" max="4" width="13" customWidth="1"/>
    <col min="5" max="7" width="11" customWidth="1"/>
    <col min="8" max="8" width="21.90625" customWidth="1"/>
    <col min="9" max="9" width="19.90625" customWidth="1"/>
    <col min="10" max="10" width="21.453125" customWidth="1"/>
    <col min="11" max="11" width="21.36328125" customWidth="1"/>
    <col min="12" max="12" width="24.7265625" customWidth="1"/>
    <col min="13" max="14" width="17.6328125" customWidth="1"/>
    <col min="15" max="15" width="17.08984375" customWidth="1"/>
    <col min="16" max="16" width="16.26953125" customWidth="1"/>
    <col min="17" max="17" width="19.36328125" customWidth="1"/>
  </cols>
  <sheetData>
    <row r="1" spans="1:29" ht="49.5" hidden="1" customHeight="1">
      <c r="A1" s="73" t="s">
        <v>0</v>
      </c>
      <c r="B1" s="74"/>
      <c r="C1" s="74"/>
      <c r="D1" s="74"/>
      <c r="E1" s="1"/>
      <c r="F1" s="1"/>
      <c r="G1" s="1"/>
      <c r="H1" s="2"/>
      <c r="I1" s="2"/>
      <c r="J1" s="2"/>
      <c r="K1" s="2"/>
      <c r="L1" s="2"/>
      <c r="M1" s="3"/>
      <c r="N1" s="3"/>
      <c r="O1" s="2"/>
      <c r="P1" s="2"/>
      <c r="Q1" s="2"/>
      <c r="R1" s="2"/>
      <c r="S1" s="2"/>
      <c r="T1" s="2"/>
      <c r="U1" s="2"/>
      <c r="V1" s="2"/>
      <c r="W1" s="2"/>
      <c r="X1" s="2"/>
      <c r="Y1" s="2"/>
      <c r="Z1" s="2"/>
      <c r="AA1" s="2"/>
      <c r="AB1" s="2"/>
      <c r="AC1" s="2"/>
    </row>
    <row r="2" spans="1:29" ht="28.5" customHeight="1">
      <c r="A2" s="75" t="s">
        <v>1</v>
      </c>
      <c r="B2" s="74"/>
      <c r="C2" s="74"/>
      <c r="D2" s="74"/>
      <c r="E2" s="74"/>
      <c r="F2" s="74"/>
      <c r="G2" s="74"/>
      <c r="H2" s="74"/>
      <c r="I2" s="74"/>
      <c r="J2" s="74"/>
      <c r="K2" s="74"/>
      <c r="L2" s="74"/>
      <c r="M2" s="74"/>
      <c r="N2" s="74"/>
      <c r="O2" s="74"/>
      <c r="P2" s="74"/>
      <c r="Q2" s="74"/>
      <c r="R2" s="2"/>
      <c r="S2" s="2"/>
      <c r="T2" s="2"/>
      <c r="U2" s="2"/>
      <c r="V2" s="2"/>
      <c r="W2" s="2"/>
      <c r="X2" s="2"/>
      <c r="Y2" s="2"/>
      <c r="Z2" s="2"/>
      <c r="AA2" s="2"/>
      <c r="AB2" s="2"/>
      <c r="AC2" s="2"/>
    </row>
    <row r="3" spans="1:29" ht="21.75" customHeight="1">
      <c r="A3" s="76" t="s">
        <v>2</v>
      </c>
      <c r="B3" s="76" t="s">
        <v>3</v>
      </c>
      <c r="C3" s="76" t="s">
        <v>4</v>
      </c>
      <c r="D3" s="76" t="s">
        <v>5</v>
      </c>
      <c r="E3" s="77" t="s">
        <v>6</v>
      </c>
      <c r="F3" s="77" t="s">
        <v>7</v>
      </c>
      <c r="G3" s="78" t="s">
        <v>8</v>
      </c>
      <c r="H3" s="71" t="s">
        <v>9</v>
      </c>
      <c r="I3" s="65"/>
      <c r="J3" s="65"/>
      <c r="K3" s="65"/>
      <c r="L3" s="66"/>
      <c r="M3" s="72" t="s">
        <v>10</v>
      </c>
      <c r="N3" s="72" t="s">
        <v>11</v>
      </c>
      <c r="O3" s="71" t="s">
        <v>12</v>
      </c>
      <c r="P3" s="66"/>
      <c r="Q3" s="72" t="s">
        <v>13</v>
      </c>
      <c r="R3" s="2"/>
      <c r="S3" s="2"/>
      <c r="T3" s="2"/>
      <c r="U3" s="2"/>
      <c r="V3" s="2"/>
      <c r="W3" s="2"/>
      <c r="X3" s="2"/>
      <c r="Y3" s="2"/>
      <c r="Z3" s="2"/>
      <c r="AA3" s="2"/>
      <c r="AB3" s="2"/>
      <c r="AC3" s="2"/>
    </row>
    <row r="4" spans="1:29" ht="22.5" customHeight="1">
      <c r="A4" s="62"/>
      <c r="B4" s="62"/>
      <c r="C4" s="62"/>
      <c r="D4" s="62"/>
      <c r="E4" s="62"/>
      <c r="F4" s="62"/>
      <c r="G4" s="62"/>
      <c r="H4" s="4" t="s">
        <v>14</v>
      </c>
      <c r="I4" s="4" t="s">
        <v>15</v>
      </c>
      <c r="J4" s="4" t="s">
        <v>16</v>
      </c>
      <c r="K4" s="4" t="s">
        <v>17</v>
      </c>
      <c r="L4" s="4" t="s">
        <v>18</v>
      </c>
      <c r="M4" s="62"/>
      <c r="N4" s="62"/>
      <c r="O4" s="4" t="s">
        <v>19</v>
      </c>
      <c r="P4" s="4" t="s">
        <v>20</v>
      </c>
      <c r="Q4" s="62"/>
      <c r="R4" s="2"/>
      <c r="S4" s="2"/>
      <c r="T4" s="2"/>
      <c r="U4" s="2"/>
      <c r="V4" s="2"/>
      <c r="W4" s="2"/>
      <c r="X4" s="2"/>
      <c r="Y4" s="2"/>
      <c r="Z4" s="2"/>
      <c r="AA4" s="2"/>
      <c r="AB4" s="2"/>
      <c r="AC4" s="2"/>
    </row>
    <row r="5" spans="1:29" ht="14">
      <c r="A5" s="5"/>
      <c r="B5" s="6"/>
      <c r="C5" s="5"/>
      <c r="D5" s="7"/>
      <c r="E5" s="8"/>
      <c r="F5" s="9"/>
      <c r="G5" s="8"/>
      <c r="H5" s="6"/>
      <c r="I5" s="6"/>
      <c r="J5" s="6"/>
      <c r="K5" s="6"/>
      <c r="L5" s="6"/>
      <c r="M5" s="10"/>
      <c r="N5" s="10"/>
      <c r="O5" s="6"/>
      <c r="P5" s="6"/>
      <c r="Q5" s="11"/>
      <c r="R5" s="2"/>
      <c r="S5" s="2"/>
      <c r="T5" s="2"/>
      <c r="U5" s="2"/>
      <c r="V5" s="2"/>
      <c r="W5" s="2"/>
      <c r="X5" s="2"/>
      <c r="Y5" s="2"/>
      <c r="Z5" s="2"/>
      <c r="AA5" s="2"/>
      <c r="AB5" s="2"/>
      <c r="AC5" s="2"/>
    </row>
    <row r="6" spans="1:29" ht="13" customHeight="1">
      <c r="A6" s="5">
        <v>1</v>
      </c>
      <c r="B6" s="6" t="s">
        <v>21</v>
      </c>
      <c r="C6" s="5">
        <v>3121200023</v>
      </c>
      <c r="D6" s="90" t="s">
        <v>22</v>
      </c>
      <c r="E6" s="8">
        <f>VLOOKUP(C6,'Trang tính3'!$B$10:$H$377,7,0)</f>
        <v>98</v>
      </c>
      <c r="F6" s="9" t="str">
        <f>VLOOKUP(C6,'Trang tính2'!$B$1:$D$175,3,0)</f>
        <v>3.33</v>
      </c>
      <c r="G6" s="8"/>
      <c r="H6" s="6" t="s">
        <v>23</v>
      </c>
      <c r="I6" s="6" t="s">
        <v>24</v>
      </c>
      <c r="J6" s="6" t="s">
        <v>25</v>
      </c>
      <c r="K6" s="6" t="s">
        <v>26</v>
      </c>
      <c r="L6" s="6" t="s">
        <v>27</v>
      </c>
      <c r="M6" s="10"/>
      <c r="N6" s="10" t="s">
        <v>28</v>
      </c>
      <c r="O6" s="12" t="s">
        <v>29</v>
      </c>
      <c r="P6" s="12" t="s">
        <v>30</v>
      </c>
      <c r="Q6" s="60" t="s">
        <v>31</v>
      </c>
      <c r="R6" s="2"/>
      <c r="S6" s="2"/>
      <c r="T6" s="2"/>
      <c r="U6" s="2"/>
      <c r="V6" s="2"/>
      <c r="W6" s="2"/>
      <c r="X6" s="2"/>
      <c r="Y6" s="2"/>
      <c r="Z6" s="2"/>
      <c r="AA6" s="2"/>
      <c r="AB6" s="2"/>
      <c r="AC6" s="2"/>
    </row>
    <row r="7" spans="1:29" ht="26">
      <c r="A7" s="5">
        <v>2</v>
      </c>
      <c r="B7" s="6" t="s">
        <v>32</v>
      </c>
      <c r="C7" s="5">
        <v>3122200012</v>
      </c>
      <c r="D7" s="90" t="s">
        <v>22</v>
      </c>
      <c r="E7" s="8">
        <f>VLOOKUP(C7,'Trang tính3'!$B$10:$H$377,7,0)</f>
        <v>95</v>
      </c>
      <c r="F7" s="9" t="str">
        <f>VLOOKUP(C7,'Trang tính2'!$B$1:$D$175,3,0)</f>
        <v>3.78</v>
      </c>
      <c r="G7" s="8"/>
      <c r="H7" s="6" t="s">
        <v>33</v>
      </c>
      <c r="I7" s="6" t="s">
        <v>34</v>
      </c>
      <c r="J7" s="6" t="s">
        <v>25</v>
      </c>
      <c r="K7" s="6" t="s">
        <v>35</v>
      </c>
      <c r="L7" s="6" t="s">
        <v>36</v>
      </c>
      <c r="M7" s="10"/>
      <c r="N7" s="10" t="s">
        <v>28</v>
      </c>
      <c r="O7" s="12" t="s">
        <v>37</v>
      </c>
      <c r="P7" s="12" t="s">
        <v>38</v>
      </c>
      <c r="Q7" s="61"/>
      <c r="R7" s="2"/>
      <c r="S7" s="2"/>
      <c r="T7" s="2"/>
      <c r="U7" s="2"/>
      <c r="V7" s="2"/>
      <c r="W7" s="2"/>
      <c r="X7" s="2"/>
      <c r="Y7" s="2"/>
      <c r="Z7" s="2"/>
      <c r="AA7" s="2"/>
      <c r="AB7" s="2"/>
      <c r="AC7" s="2"/>
    </row>
    <row r="8" spans="1:29" ht="26">
      <c r="A8" s="5">
        <v>3</v>
      </c>
      <c r="B8" s="6" t="s">
        <v>39</v>
      </c>
      <c r="C8" s="5">
        <v>3122200003</v>
      </c>
      <c r="D8" s="90" t="s">
        <v>22</v>
      </c>
      <c r="E8" s="8">
        <f>VLOOKUP(C8,'Trang tính3'!$B$10:$H$377,7,0)</f>
        <v>93</v>
      </c>
      <c r="F8" s="9" t="str">
        <f>VLOOKUP(C8,'Trang tính2'!$B$1:$D$175,3,0)</f>
        <v>3.90</v>
      </c>
      <c r="G8" s="8"/>
      <c r="H8" s="6" t="s">
        <v>40</v>
      </c>
      <c r="I8" s="6" t="s">
        <v>41</v>
      </c>
      <c r="J8" s="6" t="s">
        <v>25</v>
      </c>
      <c r="K8" s="6" t="s">
        <v>42</v>
      </c>
      <c r="L8" s="6" t="s">
        <v>43</v>
      </c>
      <c r="M8" s="10"/>
      <c r="N8" s="10" t="s">
        <v>28</v>
      </c>
      <c r="O8" s="12" t="s">
        <v>44</v>
      </c>
      <c r="P8" s="12" t="s">
        <v>45</v>
      </c>
      <c r="Q8" s="61"/>
      <c r="R8" s="2"/>
      <c r="S8" s="2"/>
      <c r="T8" s="2"/>
      <c r="U8" s="2"/>
      <c r="V8" s="2"/>
      <c r="W8" s="2"/>
      <c r="X8" s="2"/>
      <c r="Y8" s="2"/>
      <c r="Z8" s="2"/>
      <c r="AA8" s="2"/>
      <c r="AB8" s="2"/>
      <c r="AC8" s="2"/>
    </row>
    <row r="9" spans="1:29" ht="26">
      <c r="A9" s="5">
        <v>4</v>
      </c>
      <c r="B9" s="6" t="s">
        <v>46</v>
      </c>
      <c r="C9" s="5">
        <v>3122200009</v>
      </c>
      <c r="D9" s="90" t="s">
        <v>22</v>
      </c>
      <c r="E9" s="8">
        <f>VLOOKUP(C9,'Trang tính3'!$B$10:$H$377,7,0)</f>
        <v>97</v>
      </c>
      <c r="F9" s="9" t="str">
        <f>VLOOKUP(C9,'Trang tính2'!$B$1:$D$175,3,0)</f>
        <v>3.62</v>
      </c>
      <c r="G9" s="8"/>
      <c r="H9" s="6" t="s">
        <v>47</v>
      </c>
      <c r="I9" s="6" t="s">
        <v>48</v>
      </c>
      <c r="J9" s="6" t="s">
        <v>49</v>
      </c>
      <c r="K9" s="6" t="s">
        <v>50</v>
      </c>
      <c r="L9" s="6" t="s">
        <v>51</v>
      </c>
      <c r="M9" s="10"/>
      <c r="N9" s="10" t="s">
        <v>28</v>
      </c>
      <c r="O9" s="12" t="s">
        <v>52</v>
      </c>
      <c r="P9" s="12" t="s">
        <v>53</v>
      </c>
      <c r="Q9" s="61"/>
      <c r="R9" s="2"/>
      <c r="S9" s="2"/>
      <c r="T9" s="2"/>
      <c r="U9" s="2"/>
      <c r="V9" s="2"/>
      <c r="W9" s="2"/>
      <c r="X9" s="2"/>
      <c r="Y9" s="2"/>
      <c r="Z9" s="2"/>
      <c r="AA9" s="2"/>
      <c r="AB9" s="2"/>
      <c r="AC9" s="2"/>
    </row>
    <row r="10" spans="1:29" ht="26">
      <c r="A10" s="5">
        <v>5</v>
      </c>
      <c r="B10" s="6" t="s">
        <v>54</v>
      </c>
      <c r="C10" s="5">
        <v>3121200013</v>
      </c>
      <c r="D10" s="90" t="s">
        <v>22</v>
      </c>
      <c r="E10" s="8">
        <f>VLOOKUP(C10,'Trang tính3'!$B$10:$H$377,7,0)</f>
        <v>100</v>
      </c>
      <c r="F10" s="9" t="str">
        <f>VLOOKUP(C10,'Trang tính2'!$B$1:$D$175,3,0)</f>
        <v>3.90</v>
      </c>
      <c r="G10" s="8"/>
      <c r="H10" s="6" t="s">
        <v>55</v>
      </c>
      <c r="I10" s="6" t="s">
        <v>56</v>
      </c>
      <c r="J10" s="6" t="s">
        <v>57</v>
      </c>
      <c r="K10" s="6" t="s">
        <v>58</v>
      </c>
      <c r="L10" s="6" t="s">
        <v>59</v>
      </c>
      <c r="M10" s="10" t="s">
        <v>60</v>
      </c>
      <c r="N10" s="10" t="s">
        <v>28</v>
      </c>
      <c r="O10" s="6"/>
      <c r="P10" s="13" t="s">
        <v>61</v>
      </c>
      <c r="Q10" s="61"/>
      <c r="R10" s="2"/>
      <c r="S10" s="2"/>
      <c r="T10" s="2"/>
      <c r="U10" s="2"/>
      <c r="V10" s="2"/>
      <c r="W10" s="2"/>
      <c r="X10" s="2"/>
      <c r="Y10" s="2"/>
      <c r="Z10" s="2"/>
      <c r="AA10" s="2"/>
      <c r="AB10" s="2"/>
      <c r="AC10" s="2"/>
    </row>
    <row r="11" spans="1:29" ht="26">
      <c r="A11" s="5">
        <v>6</v>
      </c>
      <c r="B11" s="6" t="s">
        <v>62</v>
      </c>
      <c r="C11" s="5">
        <v>3122200005</v>
      </c>
      <c r="D11" s="90" t="s">
        <v>22</v>
      </c>
      <c r="E11" s="8">
        <f>VLOOKUP(C11,'Trang tính3'!$B$10:$H$377,7,0)</f>
        <v>98.5</v>
      </c>
      <c r="F11" s="9" t="str">
        <f>VLOOKUP(C11,'Trang tính2'!$B$1:$D$175,3,0)</f>
        <v>3.71</v>
      </c>
      <c r="G11" s="8"/>
      <c r="H11" s="6" t="s">
        <v>63</v>
      </c>
      <c r="I11" s="6" t="s">
        <v>64</v>
      </c>
      <c r="J11" s="6" t="s">
        <v>65</v>
      </c>
      <c r="K11" s="6" t="s">
        <v>66</v>
      </c>
      <c r="L11" s="6" t="s">
        <v>67</v>
      </c>
      <c r="M11" s="10" t="s">
        <v>60</v>
      </c>
      <c r="N11" s="10" t="s">
        <v>28</v>
      </c>
      <c r="O11" s="6"/>
      <c r="P11" s="12" t="s">
        <v>68</v>
      </c>
      <c r="Q11" s="62"/>
      <c r="R11" s="2"/>
      <c r="S11" s="2"/>
      <c r="T11" s="2"/>
      <c r="U11" s="2"/>
      <c r="V11" s="2"/>
      <c r="W11" s="2"/>
      <c r="X11" s="2"/>
      <c r="Y11" s="2"/>
      <c r="Z11" s="2"/>
      <c r="AA11" s="2"/>
      <c r="AB11" s="2"/>
      <c r="AC11" s="2"/>
    </row>
    <row r="12" spans="1:29" ht="13">
      <c r="A12" s="5">
        <v>7</v>
      </c>
      <c r="B12" s="14" t="s">
        <v>69</v>
      </c>
      <c r="C12" s="15">
        <v>3123430196</v>
      </c>
      <c r="D12" s="91" t="s">
        <v>70</v>
      </c>
      <c r="E12" s="8">
        <f>VLOOKUP(C12,'Trang tính3'!$B$10:$H$377,7,0)</f>
        <v>100</v>
      </c>
      <c r="F12" s="9">
        <f>VLOOKUP(C12,'Trang tính2'!$B$1:$D$175,3,0)</f>
        <v>3.1</v>
      </c>
      <c r="G12" s="9"/>
      <c r="H12" s="14"/>
      <c r="I12" s="14" t="s">
        <v>71</v>
      </c>
      <c r="J12" s="14"/>
      <c r="K12" s="14"/>
      <c r="L12" s="14"/>
      <c r="M12" s="16"/>
      <c r="N12" s="16" t="s">
        <v>72</v>
      </c>
      <c r="O12" s="17" t="s">
        <v>73</v>
      </c>
      <c r="P12" s="17" t="s">
        <v>74</v>
      </c>
      <c r="Q12" s="63" t="s">
        <v>75</v>
      </c>
      <c r="R12" s="2"/>
      <c r="S12" s="2"/>
      <c r="T12" s="2"/>
      <c r="U12" s="2"/>
      <c r="V12" s="2"/>
      <c r="W12" s="2"/>
      <c r="X12" s="2"/>
      <c r="Y12" s="2"/>
      <c r="Z12" s="2"/>
      <c r="AA12" s="2"/>
      <c r="AB12" s="2"/>
      <c r="AC12" s="2"/>
    </row>
    <row r="13" spans="1:29" ht="13">
      <c r="A13" s="5">
        <v>8</v>
      </c>
      <c r="B13" s="14" t="s">
        <v>76</v>
      </c>
      <c r="C13" s="15">
        <v>3123430222</v>
      </c>
      <c r="D13" s="91" t="s">
        <v>70</v>
      </c>
      <c r="E13" s="8">
        <f>VLOOKUP(C13,'Trang tính3'!$B$10:$H$377,7,0)</f>
        <v>89</v>
      </c>
      <c r="F13" s="9" t="str">
        <f>VLOOKUP(C13,'Trang tính2'!$B$1:$D$175,3,0)</f>
        <v>3.79</v>
      </c>
      <c r="G13" s="9"/>
      <c r="H13" s="14" t="s">
        <v>77</v>
      </c>
      <c r="I13" s="14" t="s">
        <v>78</v>
      </c>
      <c r="J13" s="14" t="s">
        <v>79</v>
      </c>
      <c r="K13" s="14" t="s">
        <v>80</v>
      </c>
      <c r="L13" s="14" t="s">
        <v>81</v>
      </c>
      <c r="M13" s="16"/>
      <c r="N13" s="16" t="s">
        <v>28</v>
      </c>
      <c r="O13" s="17" t="s">
        <v>82</v>
      </c>
      <c r="P13" s="17" t="s">
        <v>83</v>
      </c>
      <c r="Q13" s="61"/>
      <c r="R13" s="2"/>
      <c r="S13" s="2"/>
      <c r="T13" s="2"/>
      <c r="U13" s="2"/>
      <c r="V13" s="2"/>
      <c r="W13" s="2"/>
      <c r="X13" s="2"/>
      <c r="Y13" s="2"/>
      <c r="Z13" s="2"/>
      <c r="AA13" s="2"/>
      <c r="AB13" s="2"/>
      <c r="AC13" s="2"/>
    </row>
    <row r="14" spans="1:29" ht="13">
      <c r="A14" s="5">
        <v>9</v>
      </c>
      <c r="B14" s="14" t="s">
        <v>84</v>
      </c>
      <c r="C14" s="15">
        <v>3123430228</v>
      </c>
      <c r="D14" s="91" t="s">
        <v>70</v>
      </c>
      <c r="E14" s="8">
        <f>VLOOKUP(C14,'Trang tính3'!$B$10:$H$377,7,0)</f>
        <v>90.5</v>
      </c>
      <c r="F14" s="9" t="str">
        <f>VLOOKUP(C14,'Trang tính2'!$B$1:$D$175,3,0)</f>
        <v>3.66</v>
      </c>
      <c r="G14" s="9"/>
      <c r="H14" s="14"/>
      <c r="I14" s="14" t="s">
        <v>85</v>
      </c>
      <c r="J14" s="14"/>
      <c r="K14" s="14"/>
      <c r="L14" s="14"/>
      <c r="M14" s="16"/>
      <c r="N14" s="16" t="s">
        <v>72</v>
      </c>
      <c r="O14" s="17" t="s">
        <v>86</v>
      </c>
      <c r="P14" s="17" t="s">
        <v>87</v>
      </c>
      <c r="Q14" s="61"/>
      <c r="R14" s="2"/>
      <c r="S14" s="2"/>
      <c r="T14" s="2"/>
      <c r="U14" s="2"/>
      <c r="V14" s="2"/>
      <c r="W14" s="2"/>
      <c r="X14" s="2"/>
      <c r="Y14" s="2"/>
      <c r="Z14" s="2"/>
      <c r="AA14" s="2"/>
      <c r="AB14" s="2"/>
      <c r="AC14" s="2"/>
    </row>
    <row r="15" spans="1:29" ht="13">
      <c r="A15" s="5">
        <v>10</v>
      </c>
      <c r="B15" s="14" t="s">
        <v>88</v>
      </c>
      <c r="C15" s="15">
        <v>3122430104</v>
      </c>
      <c r="D15" s="91" t="s">
        <v>70</v>
      </c>
      <c r="E15" s="8">
        <f>VLOOKUP(C15,'Trang tính3'!$B$10:$H$377,7,0)</f>
        <v>100</v>
      </c>
      <c r="F15" s="9" t="str">
        <f>VLOOKUP(C15,'Trang tính2'!$B$1:$D$175,3,0)</f>
        <v>3.76</v>
      </c>
      <c r="G15" s="9"/>
      <c r="H15" s="14" t="s">
        <v>89</v>
      </c>
      <c r="I15" s="14" t="s">
        <v>90</v>
      </c>
      <c r="J15" s="14" t="s">
        <v>91</v>
      </c>
      <c r="K15" s="14" t="s">
        <v>92</v>
      </c>
      <c r="L15" s="14" t="s">
        <v>93</v>
      </c>
      <c r="M15" s="16"/>
      <c r="N15" s="16" t="s">
        <v>28</v>
      </c>
      <c r="O15" s="17" t="s">
        <v>94</v>
      </c>
      <c r="P15" s="17" t="s">
        <v>95</v>
      </c>
      <c r="Q15" s="61"/>
      <c r="R15" s="2"/>
      <c r="S15" s="2"/>
      <c r="T15" s="2"/>
      <c r="U15" s="2"/>
      <c r="V15" s="2"/>
      <c r="W15" s="2"/>
      <c r="X15" s="2"/>
      <c r="Y15" s="2"/>
      <c r="Z15" s="2"/>
      <c r="AA15" s="2"/>
      <c r="AB15" s="2"/>
      <c r="AC15" s="2"/>
    </row>
    <row r="16" spans="1:29" ht="13">
      <c r="A16" s="5">
        <v>11</v>
      </c>
      <c r="B16" s="14" t="s">
        <v>96</v>
      </c>
      <c r="C16" s="15">
        <v>3122430202</v>
      </c>
      <c r="D16" s="91" t="s">
        <v>70</v>
      </c>
      <c r="E16" s="8">
        <f>VLOOKUP(C16,'Trang tính3'!$B$10:$H$377,7,0)</f>
        <v>100</v>
      </c>
      <c r="F16" s="9" t="str">
        <f>VLOOKUP(C16,'Trang tính2'!$B$1:$D$175,3,0)</f>
        <v>3.26</v>
      </c>
      <c r="G16" s="9"/>
      <c r="H16" s="14" t="s">
        <v>97</v>
      </c>
      <c r="I16" s="14" t="s">
        <v>98</v>
      </c>
      <c r="J16" s="14" t="s">
        <v>99</v>
      </c>
      <c r="K16" s="14" t="s">
        <v>100</v>
      </c>
      <c r="L16" s="14" t="s">
        <v>101</v>
      </c>
      <c r="M16" s="16"/>
      <c r="N16" s="16" t="s">
        <v>28</v>
      </c>
      <c r="O16" s="17" t="s">
        <v>102</v>
      </c>
      <c r="P16" s="17" t="s">
        <v>103</v>
      </c>
      <c r="Q16" s="61"/>
      <c r="R16" s="2"/>
      <c r="S16" s="2"/>
      <c r="T16" s="2"/>
      <c r="U16" s="2"/>
      <c r="V16" s="2"/>
      <c r="W16" s="2"/>
      <c r="X16" s="2"/>
      <c r="Y16" s="2"/>
      <c r="Z16" s="2"/>
      <c r="AA16" s="2"/>
      <c r="AB16" s="2"/>
      <c r="AC16" s="2"/>
    </row>
    <row r="17" spans="1:29" ht="13">
      <c r="A17" s="5">
        <v>12</v>
      </c>
      <c r="B17" s="14" t="s">
        <v>104</v>
      </c>
      <c r="C17" s="15">
        <v>3123430131</v>
      </c>
      <c r="D17" s="91" t="s">
        <v>70</v>
      </c>
      <c r="E17" s="8">
        <f>VLOOKUP(C17,'Trang tính3'!$B$10:$H$377,7,0)</f>
        <v>100</v>
      </c>
      <c r="F17" s="9" t="str">
        <f>VLOOKUP(C17,'Trang tính2'!$B$1:$D$175,3,0)</f>
        <v>3.91</v>
      </c>
      <c r="G17" s="9"/>
      <c r="H17" s="14" t="s">
        <v>105</v>
      </c>
      <c r="I17" s="14" t="s">
        <v>106</v>
      </c>
      <c r="J17" s="14" t="s">
        <v>107</v>
      </c>
      <c r="K17" s="14" t="s">
        <v>108</v>
      </c>
      <c r="L17" s="14" t="s">
        <v>109</v>
      </c>
      <c r="M17" s="16"/>
      <c r="N17" s="16" t="s">
        <v>28</v>
      </c>
      <c r="O17" s="17" t="s">
        <v>110</v>
      </c>
      <c r="P17" s="17" t="s">
        <v>111</v>
      </c>
      <c r="Q17" s="61"/>
      <c r="R17" s="2"/>
      <c r="S17" s="2"/>
      <c r="T17" s="2"/>
      <c r="U17" s="2"/>
      <c r="V17" s="2"/>
      <c r="W17" s="2"/>
      <c r="X17" s="2"/>
      <c r="Y17" s="2"/>
      <c r="Z17" s="2"/>
      <c r="AA17" s="2"/>
      <c r="AB17" s="2"/>
      <c r="AC17" s="2"/>
    </row>
    <row r="18" spans="1:29" ht="13">
      <c r="A18" s="5">
        <v>13</v>
      </c>
      <c r="B18" s="14" t="s">
        <v>112</v>
      </c>
      <c r="C18" s="15">
        <v>3123430178</v>
      </c>
      <c r="D18" s="91" t="s">
        <v>70</v>
      </c>
      <c r="E18" s="8">
        <f>VLOOKUP(C18,'Trang tính3'!$B$10:$H$377,7,0)</f>
        <v>100</v>
      </c>
      <c r="F18" s="9" t="str">
        <f>VLOOKUP(C18,'Trang tính2'!$B$1:$D$175,3,0)</f>
        <v>3.25</v>
      </c>
      <c r="G18" s="9"/>
      <c r="H18" s="14" t="s">
        <v>113</v>
      </c>
      <c r="I18" s="14" t="s">
        <v>114</v>
      </c>
      <c r="J18" s="14" t="s">
        <v>115</v>
      </c>
      <c r="K18" s="14" t="s">
        <v>116</v>
      </c>
      <c r="L18" s="14" t="s">
        <v>117</v>
      </c>
      <c r="M18" s="16"/>
      <c r="N18" s="16" t="s">
        <v>28</v>
      </c>
      <c r="O18" s="17" t="s">
        <v>118</v>
      </c>
      <c r="P18" s="17" t="s">
        <v>119</v>
      </c>
      <c r="Q18" s="61"/>
      <c r="R18" s="2"/>
      <c r="S18" s="2"/>
      <c r="T18" s="2"/>
      <c r="U18" s="2"/>
      <c r="V18" s="2"/>
      <c r="W18" s="2"/>
      <c r="X18" s="2"/>
      <c r="Y18" s="2"/>
      <c r="Z18" s="2"/>
      <c r="AA18" s="2"/>
      <c r="AB18" s="2"/>
      <c r="AC18" s="2"/>
    </row>
    <row r="19" spans="1:29" ht="13">
      <c r="A19" s="5">
        <v>14</v>
      </c>
      <c r="B19" s="14" t="s">
        <v>120</v>
      </c>
      <c r="C19" s="15">
        <v>3124430141</v>
      </c>
      <c r="D19" s="91" t="s">
        <v>70</v>
      </c>
      <c r="E19" s="8">
        <f>VLOOKUP(C19,'Trang tính3'!$B$10:$H$377,7,0)</f>
        <v>93.7</v>
      </c>
      <c r="F19" s="9" t="str">
        <f>VLOOKUP(C19,'Trang tính2'!$B$1:$D$175,3,0)</f>
        <v>3.34</v>
      </c>
      <c r="G19" s="9"/>
      <c r="H19" s="14" t="s">
        <v>121</v>
      </c>
      <c r="I19" s="14" t="s">
        <v>122</v>
      </c>
      <c r="J19" s="14" t="s">
        <v>123</v>
      </c>
      <c r="K19" s="14" t="s">
        <v>124</v>
      </c>
      <c r="L19" s="14" t="s">
        <v>125</v>
      </c>
      <c r="M19" s="16"/>
      <c r="N19" s="16" t="s">
        <v>28</v>
      </c>
      <c r="O19" s="17" t="s">
        <v>126</v>
      </c>
      <c r="P19" s="17" t="s">
        <v>127</v>
      </c>
      <c r="Q19" s="61"/>
      <c r="R19" s="2"/>
      <c r="S19" s="2"/>
      <c r="T19" s="2"/>
      <c r="U19" s="2"/>
      <c r="V19" s="2"/>
      <c r="W19" s="2"/>
      <c r="X19" s="2"/>
      <c r="Y19" s="2"/>
      <c r="Z19" s="2"/>
      <c r="AA19" s="2"/>
      <c r="AB19" s="2"/>
      <c r="AC19" s="2"/>
    </row>
    <row r="20" spans="1:29" ht="13">
      <c r="A20" s="5">
        <v>15</v>
      </c>
      <c r="B20" s="14" t="s">
        <v>128</v>
      </c>
      <c r="C20" s="15">
        <v>3123430156</v>
      </c>
      <c r="D20" s="91" t="s">
        <v>70</v>
      </c>
      <c r="E20" s="8">
        <f>VLOOKUP(C20,'Trang tính3'!$B$10:$H$377,7,0)</f>
        <v>99</v>
      </c>
      <c r="F20" s="9" t="str">
        <f>VLOOKUP(C20,'Trang tính2'!$B$1:$D$175,3,0)</f>
        <v>3.59</v>
      </c>
      <c r="G20" s="9"/>
      <c r="H20" s="14" t="s">
        <v>129</v>
      </c>
      <c r="I20" s="14" t="s">
        <v>130</v>
      </c>
      <c r="J20" s="14" t="s">
        <v>131</v>
      </c>
      <c r="K20" s="14" t="s">
        <v>132</v>
      </c>
      <c r="L20" s="14" t="s">
        <v>133</v>
      </c>
      <c r="M20" s="16"/>
      <c r="N20" s="16" t="s">
        <v>28</v>
      </c>
      <c r="O20" s="17" t="s">
        <v>134</v>
      </c>
      <c r="P20" s="17" t="s">
        <v>135</v>
      </c>
      <c r="Q20" s="61"/>
      <c r="R20" s="2"/>
      <c r="S20" s="2"/>
      <c r="T20" s="2"/>
      <c r="U20" s="2"/>
      <c r="V20" s="2"/>
      <c r="W20" s="2"/>
      <c r="X20" s="2"/>
      <c r="Y20" s="2"/>
      <c r="Z20" s="2"/>
      <c r="AA20" s="2"/>
      <c r="AB20" s="2"/>
      <c r="AC20" s="2"/>
    </row>
    <row r="21" spans="1:29" ht="13">
      <c r="A21" s="5">
        <v>16</v>
      </c>
      <c r="B21" s="14" t="s">
        <v>136</v>
      </c>
      <c r="C21" s="15">
        <v>3124430149</v>
      </c>
      <c r="D21" s="91" t="s">
        <v>70</v>
      </c>
      <c r="E21" s="8">
        <f>VLOOKUP(C21,'Trang tính3'!$B$10:$H$377,7,0)</f>
        <v>98.3</v>
      </c>
      <c r="F21" s="9" t="str">
        <f>VLOOKUP(C21,'Trang tính2'!$B$1:$D$175,3,0)</f>
        <v>3.26</v>
      </c>
      <c r="G21" s="9"/>
      <c r="H21" s="14" t="s">
        <v>137</v>
      </c>
      <c r="I21" s="14" t="s">
        <v>138</v>
      </c>
      <c r="J21" s="14" t="s">
        <v>123</v>
      </c>
      <c r="K21" s="14" t="s">
        <v>139</v>
      </c>
      <c r="L21" s="14" t="s">
        <v>140</v>
      </c>
      <c r="M21" s="16"/>
      <c r="N21" s="16" t="s">
        <v>28</v>
      </c>
      <c r="O21" s="17" t="s">
        <v>141</v>
      </c>
      <c r="P21" s="17" t="s">
        <v>142</v>
      </c>
      <c r="Q21" s="61"/>
      <c r="R21" s="2"/>
      <c r="S21" s="2"/>
      <c r="T21" s="2"/>
      <c r="U21" s="2"/>
      <c r="V21" s="2"/>
      <c r="W21" s="2"/>
      <c r="X21" s="2"/>
      <c r="Y21" s="2"/>
      <c r="Z21" s="2"/>
      <c r="AA21" s="2"/>
      <c r="AB21" s="2"/>
      <c r="AC21" s="2"/>
    </row>
    <row r="22" spans="1:29" ht="13">
      <c r="A22" s="5">
        <v>17</v>
      </c>
      <c r="B22" s="14" t="s">
        <v>143</v>
      </c>
      <c r="C22" s="15">
        <v>3123430088</v>
      </c>
      <c r="D22" s="91" t="s">
        <v>70</v>
      </c>
      <c r="E22" s="8">
        <f>VLOOKUP(C22,'Trang tính3'!$B$10:$H$377,7,0)</f>
        <v>95.5</v>
      </c>
      <c r="F22" s="9">
        <f>VLOOKUP(C22,'Trang tính2'!$B$1:$D$175,3,0)</f>
        <v>3.03</v>
      </c>
      <c r="G22" s="9"/>
      <c r="H22" s="14"/>
      <c r="I22" s="14"/>
      <c r="J22" s="14"/>
      <c r="K22" s="14"/>
      <c r="L22" s="14" t="s">
        <v>144</v>
      </c>
      <c r="M22" s="16"/>
      <c r="N22" s="16" t="s">
        <v>72</v>
      </c>
      <c r="O22" s="17" t="s">
        <v>145</v>
      </c>
      <c r="P22" s="17" t="s">
        <v>146</v>
      </c>
      <c r="Q22" s="61"/>
      <c r="R22" s="2"/>
      <c r="S22" s="2"/>
      <c r="T22" s="2"/>
      <c r="U22" s="2"/>
      <c r="V22" s="2"/>
      <c r="W22" s="2"/>
      <c r="X22" s="2"/>
      <c r="Y22" s="2"/>
      <c r="Z22" s="2"/>
      <c r="AA22" s="2"/>
      <c r="AB22" s="2"/>
      <c r="AC22" s="2"/>
    </row>
    <row r="23" spans="1:29" ht="13">
      <c r="A23" s="5">
        <v>18</v>
      </c>
      <c r="B23" s="14" t="s">
        <v>147</v>
      </c>
      <c r="C23" s="15">
        <v>3122430014</v>
      </c>
      <c r="D23" s="91" t="s">
        <v>70</v>
      </c>
      <c r="E23" s="8">
        <f>VLOOKUP(C23,'Trang tính3'!$B$10:$H$377,7,0)</f>
        <v>100</v>
      </c>
      <c r="F23" s="9" t="str">
        <f>VLOOKUP(C23,'Trang tính2'!$B$1:$D$175,3,0)</f>
        <v>3.57</v>
      </c>
      <c r="G23" s="9"/>
      <c r="H23" s="14" t="s">
        <v>148</v>
      </c>
      <c r="I23" s="14" t="s">
        <v>149</v>
      </c>
      <c r="J23" s="14" t="s">
        <v>150</v>
      </c>
      <c r="K23" s="14" t="s">
        <v>151</v>
      </c>
      <c r="L23" s="14" t="s">
        <v>152</v>
      </c>
      <c r="M23" s="16"/>
      <c r="N23" s="16" t="s">
        <v>28</v>
      </c>
      <c r="O23" s="17" t="s">
        <v>153</v>
      </c>
      <c r="P23" s="17" t="s">
        <v>154</v>
      </c>
      <c r="Q23" s="61"/>
      <c r="R23" s="2"/>
      <c r="S23" s="2"/>
      <c r="T23" s="2"/>
      <c r="U23" s="2"/>
      <c r="V23" s="2"/>
      <c r="W23" s="2"/>
      <c r="X23" s="2"/>
      <c r="Y23" s="2"/>
      <c r="Z23" s="2"/>
      <c r="AA23" s="2"/>
      <c r="AB23" s="2"/>
      <c r="AC23" s="2"/>
    </row>
    <row r="24" spans="1:29" ht="13">
      <c r="A24" s="5">
        <v>19</v>
      </c>
      <c r="B24" s="14" t="s">
        <v>155</v>
      </c>
      <c r="C24" s="15">
        <v>3124430177</v>
      </c>
      <c r="D24" s="91" t="s">
        <v>70</v>
      </c>
      <c r="E24" s="8">
        <f>VLOOKUP(C24,'Trang tính3'!$B$10:$H$377,7,0)</f>
        <v>92.3</v>
      </c>
      <c r="F24" s="9" t="str">
        <f>VLOOKUP(C24,'Trang tính2'!$B$1:$D$175,3,0)</f>
        <v>3.31</v>
      </c>
      <c r="G24" s="9"/>
      <c r="H24" s="14" t="s">
        <v>156</v>
      </c>
      <c r="I24" s="14" t="s">
        <v>157</v>
      </c>
      <c r="J24" s="14" t="s">
        <v>158</v>
      </c>
      <c r="K24" s="14" t="s">
        <v>159</v>
      </c>
      <c r="L24" s="14" t="s">
        <v>160</v>
      </c>
      <c r="M24" s="16"/>
      <c r="N24" s="16" t="s">
        <v>28</v>
      </c>
      <c r="O24" s="17" t="s">
        <v>161</v>
      </c>
      <c r="P24" s="17" t="s">
        <v>162</v>
      </c>
      <c r="Q24" s="61"/>
      <c r="R24" s="2"/>
      <c r="S24" s="2"/>
      <c r="T24" s="2"/>
      <c r="U24" s="2"/>
      <c r="V24" s="2"/>
      <c r="W24" s="2"/>
      <c r="X24" s="2"/>
      <c r="Y24" s="2"/>
      <c r="Z24" s="2"/>
      <c r="AA24" s="2"/>
      <c r="AB24" s="2"/>
      <c r="AC24" s="2"/>
    </row>
    <row r="25" spans="1:29" ht="13">
      <c r="A25" s="5">
        <v>20</v>
      </c>
      <c r="B25" s="14" t="s">
        <v>163</v>
      </c>
      <c r="C25" s="15">
        <v>3122430044</v>
      </c>
      <c r="D25" s="91" t="s">
        <v>70</v>
      </c>
      <c r="E25" s="8">
        <f>VLOOKUP(C25,'Trang tính3'!$B$10:$H$377,7,0)</f>
        <v>94.5</v>
      </c>
      <c r="F25" s="9">
        <f>VLOOKUP(C25,'Trang tính2'!$B$1:$D$175,3,0)</f>
        <v>3.11</v>
      </c>
      <c r="G25" s="9"/>
      <c r="H25" s="14" t="s">
        <v>164</v>
      </c>
      <c r="I25" s="14" t="s">
        <v>165</v>
      </c>
      <c r="J25" s="14" t="s">
        <v>150</v>
      </c>
      <c r="K25" s="14" t="s">
        <v>166</v>
      </c>
      <c r="L25" s="14" t="s">
        <v>167</v>
      </c>
      <c r="M25" s="16"/>
      <c r="N25" s="16" t="s">
        <v>28</v>
      </c>
      <c r="O25" s="17" t="s">
        <v>168</v>
      </c>
      <c r="P25" s="17" t="s">
        <v>169</v>
      </c>
      <c r="Q25" s="61"/>
      <c r="R25" s="2"/>
      <c r="S25" s="2"/>
      <c r="T25" s="2"/>
      <c r="U25" s="2"/>
      <c r="V25" s="2"/>
      <c r="W25" s="2"/>
      <c r="X25" s="2"/>
      <c r="Y25" s="2"/>
      <c r="Z25" s="2"/>
      <c r="AA25" s="2"/>
      <c r="AB25" s="2"/>
      <c r="AC25" s="2"/>
    </row>
    <row r="26" spans="1:29" ht="13">
      <c r="A26" s="5">
        <v>21</v>
      </c>
      <c r="B26" s="14" t="s">
        <v>170</v>
      </c>
      <c r="C26" s="15">
        <v>3123430163</v>
      </c>
      <c r="D26" s="91" t="s">
        <v>70</v>
      </c>
      <c r="E26" s="8">
        <f>VLOOKUP(C26,'Trang tính3'!$B$10:$H$377,7,0)</f>
        <v>92.5</v>
      </c>
      <c r="F26" s="9" t="str">
        <f>VLOOKUP(C26,'Trang tính2'!$B$1:$D$175,3,0)</f>
        <v>3.66</v>
      </c>
      <c r="G26" s="9"/>
      <c r="H26" s="14"/>
      <c r="I26" s="14"/>
      <c r="J26" s="14"/>
      <c r="K26" s="14"/>
      <c r="L26" s="14" t="s">
        <v>171</v>
      </c>
      <c r="M26" s="16"/>
      <c r="N26" s="16" t="s">
        <v>72</v>
      </c>
      <c r="O26" s="17" t="s">
        <v>172</v>
      </c>
      <c r="P26" s="17" t="s">
        <v>173</v>
      </c>
      <c r="Q26" s="61"/>
      <c r="R26" s="2"/>
      <c r="S26" s="2"/>
      <c r="T26" s="2"/>
      <c r="U26" s="2"/>
      <c r="V26" s="2"/>
      <c r="W26" s="2"/>
      <c r="X26" s="2"/>
      <c r="Y26" s="2"/>
      <c r="Z26" s="2"/>
      <c r="AA26" s="2"/>
      <c r="AB26" s="2"/>
      <c r="AC26" s="2"/>
    </row>
    <row r="27" spans="1:29" ht="13">
      <c r="A27" s="5">
        <v>22</v>
      </c>
      <c r="B27" s="14" t="s">
        <v>174</v>
      </c>
      <c r="C27" s="15">
        <v>3122430118</v>
      </c>
      <c r="D27" s="91" t="s">
        <v>70</v>
      </c>
      <c r="E27" s="8" t="s">
        <v>175</v>
      </c>
      <c r="F27" s="9" t="s">
        <v>176</v>
      </c>
      <c r="G27" s="9"/>
      <c r="H27" s="14" t="s">
        <v>177</v>
      </c>
      <c r="I27" s="14" t="s">
        <v>178</v>
      </c>
      <c r="J27" s="14" t="s">
        <v>179</v>
      </c>
      <c r="K27" s="14" t="s">
        <v>180</v>
      </c>
      <c r="L27" s="14" t="s">
        <v>181</v>
      </c>
      <c r="M27" s="16" t="s">
        <v>60</v>
      </c>
      <c r="N27" s="16" t="s">
        <v>28</v>
      </c>
      <c r="O27" s="17" t="s">
        <v>182</v>
      </c>
      <c r="P27" s="17" t="s">
        <v>183</v>
      </c>
      <c r="Q27" s="61"/>
      <c r="R27" s="2"/>
      <c r="S27" s="2"/>
      <c r="T27" s="2"/>
      <c r="U27" s="2"/>
      <c r="V27" s="2"/>
      <c r="W27" s="2"/>
      <c r="X27" s="2"/>
      <c r="Y27" s="2"/>
      <c r="Z27" s="2"/>
      <c r="AA27" s="2"/>
      <c r="AB27" s="2"/>
      <c r="AC27" s="2"/>
    </row>
    <row r="28" spans="1:29" ht="14">
      <c r="A28" s="5">
        <v>23</v>
      </c>
      <c r="B28" s="14" t="s">
        <v>184</v>
      </c>
      <c r="C28" s="15">
        <v>3123430154</v>
      </c>
      <c r="D28" s="91" t="s">
        <v>70</v>
      </c>
      <c r="E28" s="8" t="s">
        <v>185</v>
      </c>
      <c r="F28" s="9" t="s">
        <v>186</v>
      </c>
      <c r="G28" s="9"/>
      <c r="H28" s="14" t="s">
        <v>187</v>
      </c>
      <c r="I28" s="14" t="s">
        <v>188</v>
      </c>
      <c r="J28" s="14" t="s">
        <v>189</v>
      </c>
      <c r="K28" s="14" t="s">
        <v>190</v>
      </c>
      <c r="L28" s="14" t="s">
        <v>191</v>
      </c>
      <c r="M28" s="16" t="s">
        <v>60</v>
      </c>
      <c r="N28" s="16" t="s">
        <v>28</v>
      </c>
      <c r="O28" s="18" t="s">
        <v>192</v>
      </c>
      <c r="P28" s="19" t="s">
        <v>193</v>
      </c>
      <c r="Q28" s="61"/>
      <c r="R28" s="2"/>
      <c r="S28" s="2"/>
      <c r="T28" s="2"/>
      <c r="U28" s="2"/>
      <c r="V28" s="2"/>
      <c r="W28" s="2"/>
      <c r="X28" s="2"/>
      <c r="Y28" s="2"/>
      <c r="Z28" s="2"/>
      <c r="AA28" s="2"/>
      <c r="AB28" s="2"/>
      <c r="AC28" s="2"/>
    </row>
    <row r="29" spans="1:29" ht="14">
      <c r="A29" s="5">
        <v>24</v>
      </c>
      <c r="B29" s="14" t="s">
        <v>194</v>
      </c>
      <c r="C29" s="15">
        <v>3121430166</v>
      </c>
      <c r="D29" s="91" t="s">
        <v>70</v>
      </c>
      <c r="E29" s="8" t="s">
        <v>195</v>
      </c>
      <c r="F29" s="9" t="s">
        <v>196</v>
      </c>
      <c r="G29" s="9"/>
      <c r="H29" s="14" t="s">
        <v>197</v>
      </c>
      <c r="I29" s="14" t="s">
        <v>198</v>
      </c>
      <c r="J29" s="14" t="s">
        <v>199</v>
      </c>
      <c r="K29" s="14" t="s">
        <v>200</v>
      </c>
      <c r="L29" s="14" t="s">
        <v>201</v>
      </c>
      <c r="M29" s="16" t="s">
        <v>60</v>
      </c>
      <c r="N29" s="16" t="s">
        <v>28</v>
      </c>
      <c r="O29" s="14"/>
      <c r="P29" s="19" t="s">
        <v>202</v>
      </c>
      <c r="Q29" s="62"/>
      <c r="R29" s="2"/>
      <c r="S29" s="2"/>
      <c r="T29" s="2"/>
      <c r="U29" s="2"/>
      <c r="V29" s="2"/>
      <c r="W29" s="2"/>
      <c r="X29" s="2"/>
      <c r="Y29" s="2"/>
      <c r="Z29" s="2"/>
      <c r="AA29" s="2"/>
      <c r="AB29" s="2"/>
      <c r="AC29" s="2"/>
    </row>
    <row r="30" spans="1:29" ht="13" customHeight="1">
      <c r="A30" s="5">
        <v>25</v>
      </c>
      <c r="B30" s="6" t="s">
        <v>203</v>
      </c>
      <c r="C30" s="5">
        <v>3122350030</v>
      </c>
      <c r="D30" s="90" t="s">
        <v>204</v>
      </c>
      <c r="E30" s="8">
        <f>VLOOKUP(C30,'Trang tính3'!$B$10:$H$377,7,0)</f>
        <v>98.5</v>
      </c>
      <c r="F30" s="9" t="str">
        <f>VLOOKUP(C30,'Trang tính2'!$B$1:$D$175,3,0)</f>
        <v>2.83</v>
      </c>
      <c r="G30" s="8"/>
      <c r="H30" s="6" t="s">
        <v>205</v>
      </c>
      <c r="I30" s="6" t="s">
        <v>206</v>
      </c>
      <c r="J30" s="6" t="s">
        <v>207</v>
      </c>
      <c r="K30" s="6" t="s">
        <v>208</v>
      </c>
      <c r="L30" s="6" t="s">
        <v>209</v>
      </c>
      <c r="M30" s="10"/>
      <c r="N30" s="10" t="s">
        <v>28</v>
      </c>
      <c r="O30" s="12" t="s">
        <v>210</v>
      </c>
      <c r="P30" s="12" t="s">
        <v>211</v>
      </c>
      <c r="Q30" s="60" t="s">
        <v>212</v>
      </c>
      <c r="R30" s="2"/>
      <c r="S30" s="2"/>
      <c r="T30" s="2"/>
      <c r="U30" s="2"/>
      <c r="V30" s="2"/>
      <c r="W30" s="2"/>
      <c r="X30" s="2"/>
      <c r="Y30" s="2"/>
      <c r="Z30" s="2"/>
      <c r="AA30" s="2"/>
      <c r="AB30" s="2"/>
      <c r="AC30" s="2"/>
    </row>
    <row r="31" spans="1:29" ht="26">
      <c r="A31" s="5">
        <v>26</v>
      </c>
      <c r="B31" s="6" t="s">
        <v>213</v>
      </c>
      <c r="C31" s="5">
        <v>3123350177</v>
      </c>
      <c r="D31" s="90" t="s">
        <v>204</v>
      </c>
      <c r="E31" s="8">
        <f>VLOOKUP(C31,'Trang tính3'!$B$10:$H$377,7,0)</f>
        <v>100</v>
      </c>
      <c r="F31" s="9">
        <f>VLOOKUP(C31,'Trang tính2'!$B$1:$D$175,3,0)</f>
        <v>3.03</v>
      </c>
      <c r="G31" s="8"/>
      <c r="H31" s="6"/>
      <c r="I31" s="6"/>
      <c r="J31" s="6"/>
      <c r="K31" s="6"/>
      <c r="L31" s="6" t="s">
        <v>214</v>
      </c>
      <c r="M31" s="10"/>
      <c r="N31" s="10" t="s">
        <v>72</v>
      </c>
      <c r="O31" s="12" t="s">
        <v>215</v>
      </c>
      <c r="P31" s="12" t="s">
        <v>216</v>
      </c>
      <c r="Q31" s="61"/>
      <c r="R31" s="2"/>
      <c r="S31" s="2"/>
      <c r="T31" s="2"/>
      <c r="U31" s="2"/>
      <c r="V31" s="2"/>
      <c r="W31" s="2"/>
      <c r="X31" s="2"/>
      <c r="Y31" s="2"/>
      <c r="Z31" s="2"/>
      <c r="AA31" s="2"/>
      <c r="AB31" s="2"/>
      <c r="AC31" s="2"/>
    </row>
    <row r="32" spans="1:29" ht="26">
      <c r="A32" s="5">
        <v>27</v>
      </c>
      <c r="B32" s="6" t="s">
        <v>217</v>
      </c>
      <c r="C32" s="5">
        <v>3122540036</v>
      </c>
      <c r="D32" s="90" t="s">
        <v>204</v>
      </c>
      <c r="E32" s="8">
        <f>VLOOKUP(C32,'Trang tính3'!$B$10:$H$377,7,0)</f>
        <v>96.5</v>
      </c>
      <c r="F32" s="9" t="str">
        <f>VLOOKUP(C32,'Trang tính2'!$B$1:$D$175,3,0)</f>
        <v>3.74</v>
      </c>
      <c r="G32" s="8"/>
      <c r="H32" s="6" t="s">
        <v>218</v>
      </c>
      <c r="I32" s="6"/>
      <c r="J32" s="6"/>
      <c r="K32" s="6" t="s">
        <v>219</v>
      </c>
      <c r="L32" s="6"/>
      <c r="M32" s="10"/>
      <c r="N32" s="10" t="s">
        <v>72</v>
      </c>
      <c r="O32" s="12" t="s">
        <v>220</v>
      </c>
      <c r="P32" s="12" t="s">
        <v>221</v>
      </c>
      <c r="Q32" s="61"/>
      <c r="R32" s="2"/>
      <c r="S32" s="2"/>
      <c r="T32" s="2"/>
      <c r="U32" s="2"/>
      <c r="V32" s="2"/>
      <c r="W32" s="2"/>
      <c r="X32" s="2"/>
      <c r="Y32" s="2"/>
      <c r="Z32" s="2"/>
      <c r="AA32" s="2"/>
      <c r="AB32" s="2"/>
      <c r="AC32" s="2"/>
    </row>
    <row r="33" spans="1:29" ht="26">
      <c r="A33" s="5">
        <v>28</v>
      </c>
      <c r="B33" s="6" t="s">
        <v>222</v>
      </c>
      <c r="C33" s="5">
        <v>3122570045</v>
      </c>
      <c r="D33" s="90" t="s">
        <v>204</v>
      </c>
      <c r="E33" s="8">
        <f>VLOOKUP(C33,'Trang tính3'!$B$10:$H$377,7,0)</f>
        <v>99</v>
      </c>
      <c r="F33" s="9" t="str">
        <f>VLOOKUP(C33,'Trang tính2'!$B$1:$D$175,3,0)</f>
        <v>3.76</v>
      </c>
      <c r="G33" s="8"/>
      <c r="H33" s="6" t="s">
        <v>223</v>
      </c>
      <c r="I33" s="6" t="s">
        <v>224</v>
      </c>
      <c r="J33" s="6" t="s">
        <v>225</v>
      </c>
      <c r="K33" s="6" t="s">
        <v>226</v>
      </c>
      <c r="L33" s="6" t="s">
        <v>227</v>
      </c>
      <c r="M33" s="10"/>
      <c r="N33" s="10" t="s">
        <v>28</v>
      </c>
      <c r="O33" s="12" t="s">
        <v>228</v>
      </c>
      <c r="P33" s="12" t="s">
        <v>229</v>
      </c>
      <c r="Q33" s="61"/>
      <c r="R33" s="2"/>
      <c r="S33" s="2"/>
      <c r="T33" s="2"/>
      <c r="U33" s="2"/>
      <c r="V33" s="2"/>
      <c r="W33" s="2"/>
      <c r="X33" s="2"/>
      <c r="Y33" s="2"/>
      <c r="Z33" s="2"/>
      <c r="AA33" s="2"/>
      <c r="AB33" s="2"/>
      <c r="AC33" s="2"/>
    </row>
    <row r="34" spans="1:29" ht="26">
      <c r="A34" s="5">
        <v>29</v>
      </c>
      <c r="B34" s="6" t="s">
        <v>230</v>
      </c>
      <c r="C34" s="5">
        <v>3122570149</v>
      </c>
      <c r="D34" s="90" t="s">
        <v>204</v>
      </c>
      <c r="E34" s="8">
        <f>VLOOKUP(C34,'Trang tính3'!$B$10:$H$377,7,0)</f>
        <v>100</v>
      </c>
      <c r="F34" s="9" t="str">
        <f>VLOOKUP(C34,'Trang tính2'!$B$1:$D$175,3,0)</f>
        <v>3.55</v>
      </c>
      <c r="G34" s="8"/>
      <c r="H34" s="6"/>
      <c r="I34" s="6" t="s">
        <v>231</v>
      </c>
      <c r="J34" s="6"/>
      <c r="K34" s="6"/>
      <c r="L34" s="6" t="s">
        <v>232</v>
      </c>
      <c r="M34" s="10"/>
      <c r="N34" s="10" t="s">
        <v>72</v>
      </c>
      <c r="O34" s="12" t="s">
        <v>233</v>
      </c>
      <c r="P34" s="12" t="s">
        <v>234</v>
      </c>
      <c r="Q34" s="61"/>
      <c r="R34" s="2"/>
      <c r="S34" s="2"/>
      <c r="T34" s="2"/>
      <c r="U34" s="2"/>
      <c r="V34" s="2"/>
      <c r="W34" s="2"/>
      <c r="X34" s="2"/>
      <c r="Y34" s="2"/>
      <c r="Z34" s="2"/>
      <c r="AA34" s="2"/>
      <c r="AB34" s="2"/>
      <c r="AC34" s="2"/>
    </row>
    <row r="35" spans="1:29" ht="26">
      <c r="A35" s="5">
        <v>30</v>
      </c>
      <c r="B35" s="6" t="s">
        <v>235</v>
      </c>
      <c r="C35" s="5">
        <v>3122350184</v>
      </c>
      <c r="D35" s="90" t="s">
        <v>204</v>
      </c>
      <c r="E35" s="8">
        <f>VLOOKUP(C35,'Trang tính3'!$B$10:$H$377,7,0)</f>
        <v>99</v>
      </c>
      <c r="F35" s="9" t="str">
        <f>VLOOKUP(C35,'Trang tính2'!$B$1:$D$175,3,0)</f>
        <v>3.53</v>
      </c>
      <c r="G35" s="8"/>
      <c r="H35" s="6" t="s">
        <v>231</v>
      </c>
      <c r="I35" s="6" t="s">
        <v>231</v>
      </c>
      <c r="J35" s="6" t="s">
        <v>236</v>
      </c>
      <c r="K35" s="6"/>
      <c r="L35" s="6"/>
      <c r="M35" s="10"/>
      <c r="N35" s="10" t="s">
        <v>72</v>
      </c>
      <c r="O35" s="12" t="s">
        <v>237</v>
      </c>
      <c r="P35" s="12" t="s">
        <v>238</v>
      </c>
      <c r="Q35" s="61"/>
      <c r="R35" s="2"/>
      <c r="S35" s="2"/>
      <c r="T35" s="2"/>
      <c r="U35" s="2"/>
      <c r="V35" s="2"/>
      <c r="W35" s="2"/>
      <c r="X35" s="2"/>
      <c r="Y35" s="2"/>
      <c r="Z35" s="2"/>
      <c r="AA35" s="2"/>
      <c r="AB35" s="2"/>
      <c r="AC35" s="2"/>
    </row>
    <row r="36" spans="1:29" ht="26">
      <c r="A36" s="5">
        <v>31</v>
      </c>
      <c r="B36" s="6" t="s">
        <v>239</v>
      </c>
      <c r="C36" s="5">
        <v>3121540074</v>
      </c>
      <c r="D36" s="90" t="s">
        <v>204</v>
      </c>
      <c r="E36" s="8">
        <f>VLOOKUP(C36,'Trang tính3'!$B$10:$H$377,7,0)</f>
        <v>82</v>
      </c>
      <c r="F36" s="9" t="str">
        <f>VLOOKUP(C36,'Trang tính2'!$B$1:$D$175,3,0)</f>
        <v>3.53</v>
      </c>
      <c r="G36" s="8"/>
      <c r="H36" s="6" t="s">
        <v>240</v>
      </c>
      <c r="I36" s="6" t="s">
        <v>241</v>
      </c>
      <c r="J36" s="6" t="s">
        <v>242</v>
      </c>
      <c r="K36" s="6" t="s">
        <v>243</v>
      </c>
      <c r="L36" s="6" t="s">
        <v>244</v>
      </c>
      <c r="M36" s="10"/>
      <c r="N36" s="10" t="s">
        <v>28</v>
      </c>
      <c r="O36" s="12" t="s">
        <v>245</v>
      </c>
      <c r="P36" s="12" t="s">
        <v>246</v>
      </c>
      <c r="Q36" s="61"/>
      <c r="R36" s="2"/>
      <c r="S36" s="2"/>
      <c r="T36" s="2"/>
      <c r="U36" s="2"/>
      <c r="V36" s="2"/>
      <c r="W36" s="2"/>
      <c r="X36" s="2"/>
      <c r="Y36" s="2"/>
      <c r="Z36" s="2"/>
      <c r="AA36" s="2"/>
      <c r="AB36" s="2"/>
      <c r="AC36" s="2"/>
    </row>
    <row r="37" spans="1:29" ht="26">
      <c r="A37" s="5">
        <v>32</v>
      </c>
      <c r="B37" s="6" t="s">
        <v>247</v>
      </c>
      <c r="C37" s="5">
        <v>3123570037</v>
      </c>
      <c r="D37" s="90" t="s">
        <v>204</v>
      </c>
      <c r="E37" s="8">
        <f>VLOOKUP(C37,'Trang tính3'!$B$10:$H$377,7,0)</f>
        <v>99</v>
      </c>
      <c r="F37" s="9" t="str">
        <f>VLOOKUP(C37,'Trang tính2'!$B$1:$D$175,3,0)</f>
        <v>3.33</v>
      </c>
      <c r="G37" s="8"/>
      <c r="H37" s="6" t="s">
        <v>248</v>
      </c>
      <c r="I37" s="6" t="s">
        <v>249</v>
      </c>
      <c r="J37" s="6" t="s">
        <v>250</v>
      </c>
      <c r="K37" s="6" t="s">
        <v>251</v>
      </c>
      <c r="L37" s="6" t="s">
        <v>252</v>
      </c>
      <c r="M37" s="10"/>
      <c r="N37" s="10" t="s">
        <v>28</v>
      </c>
      <c r="O37" s="12" t="s">
        <v>253</v>
      </c>
      <c r="P37" s="12" t="s">
        <v>254</v>
      </c>
      <c r="Q37" s="61"/>
      <c r="R37" s="2"/>
      <c r="S37" s="2"/>
      <c r="T37" s="2"/>
      <c r="U37" s="2"/>
      <c r="V37" s="2"/>
      <c r="W37" s="2"/>
      <c r="X37" s="2"/>
      <c r="Y37" s="2"/>
      <c r="Z37" s="2"/>
      <c r="AA37" s="2"/>
      <c r="AB37" s="2"/>
      <c r="AC37" s="2"/>
    </row>
    <row r="38" spans="1:29" ht="26">
      <c r="A38" s="5">
        <v>33</v>
      </c>
      <c r="B38" s="6" t="s">
        <v>255</v>
      </c>
      <c r="C38" s="5">
        <v>3122570086</v>
      </c>
      <c r="D38" s="90" t="s">
        <v>204</v>
      </c>
      <c r="E38" s="8">
        <f>VLOOKUP(C38,'Trang tính3'!$B$10:$H$377,7,0)</f>
        <v>100</v>
      </c>
      <c r="F38" s="9" t="str">
        <f>VLOOKUP(C38,'Trang tính2'!$B$1:$D$175,3,0)</f>
        <v>3.49</v>
      </c>
      <c r="G38" s="8"/>
      <c r="H38" s="6"/>
      <c r="I38" s="6" t="s">
        <v>231</v>
      </c>
      <c r="J38" s="6"/>
      <c r="K38" s="6"/>
      <c r="L38" s="6"/>
      <c r="M38" s="10"/>
      <c r="N38" s="10" t="s">
        <v>72</v>
      </c>
      <c r="O38" s="12" t="s">
        <v>256</v>
      </c>
      <c r="P38" s="12" t="s">
        <v>257</v>
      </c>
      <c r="Q38" s="61"/>
      <c r="R38" s="2"/>
      <c r="S38" s="2"/>
      <c r="T38" s="2"/>
      <c r="U38" s="2"/>
      <c r="V38" s="2"/>
      <c r="W38" s="2"/>
      <c r="X38" s="2"/>
      <c r="Y38" s="2"/>
      <c r="Z38" s="2"/>
      <c r="AA38" s="2"/>
      <c r="AB38" s="2"/>
      <c r="AC38" s="2"/>
    </row>
    <row r="39" spans="1:29" ht="26">
      <c r="A39" s="5">
        <v>34</v>
      </c>
      <c r="B39" s="6" t="s">
        <v>258</v>
      </c>
      <c r="C39" s="5">
        <v>3122540040</v>
      </c>
      <c r="D39" s="90" t="s">
        <v>204</v>
      </c>
      <c r="E39" s="8">
        <f>VLOOKUP(C39,'Trang tính3'!$B$10:$H$377,7,0)</f>
        <v>100</v>
      </c>
      <c r="F39" s="9" t="str">
        <f>VLOOKUP(C39,'Trang tính2'!$B$1:$D$175,3,0)</f>
        <v>3.18</v>
      </c>
      <c r="G39" s="8"/>
      <c r="H39" s="6"/>
      <c r="I39" s="6"/>
      <c r="J39" s="6" t="s">
        <v>259</v>
      </c>
      <c r="K39" s="6"/>
      <c r="L39" s="6" t="s">
        <v>259</v>
      </c>
      <c r="M39" s="10"/>
      <c r="N39" s="10" t="s">
        <v>72</v>
      </c>
      <c r="O39" s="12" t="s">
        <v>260</v>
      </c>
      <c r="P39" s="12" t="s">
        <v>261</v>
      </c>
      <c r="Q39" s="61"/>
      <c r="R39" s="2"/>
      <c r="S39" s="2"/>
      <c r="T39" s="2"/>
      <c r="U39" s="2"/>
      <c r="V39" s="2"/>
      <c r="W39" s="2"/>
      <c r="X39" s="2"/>
      <c r="Y39" s="2"/>
      <c r="Z39" s="2"/>
      <c r="AA39" s="2"/>
      <c r="AB39" s="2"/>
      <c r="AC39" s="2"/>
    </row>
    <row r="40" spans="1:29" ht="26">
      <c r="A40" s="5">
        <v>35</v>
      </c>
      <c r="B40" s="6" t="s">
        <v>262</v>
      </c>
      <c r="C40" s="5">
        <v>3123540014</v>
      </c>
      <c r="D40" s="90" t="s">
        <v>204</v>
      </c>
      <c r="E40" s="8">
        <f>VLOOKUP(C40,'Trang tính3'!$B$10:$H$377,7,0)</f>
        <v>95.5</v>
      </c>
      <c r="F40" s="9" t="str">
        <f>VLOOKUP(C40,'Trang tính2'!$B$1:$D$175,3,0)</f>
        <v>3.66</v>
      </c>
      <c r="G40" s="8"/>
      <c r="H40" s="6" t="s">
        <v>263</v>
      </c>
      <c r="I40" s="6" t="s">
        <v>264</v>
      </c>
      <c r="J40" s="6" t="s">
        <v>265</v>
      </c>
      <c r="K40" s="6" t="s">
        <v>266</v>
      </c>
      <c r="L40" s="6" t="s">
        <v>267</v>
      </c>
      <c r="M40" s="10"/>
      <c r="N40" s="10" t="s">
        <v>28</v>
      </c>
      <c r="O40" s="12" t="s">
        <v>268</v>
      </c>
      <c r="P40" s="12" t="s">
        <v>269</v>
      </c>
      <c r="Q40" s="61"/>
      <c r="R40" s="2"/>
      <c r="S40" s="2"/>
      <c r="T40" s="2"/>
      <c r="U40" s="2"/>
      <c r="V40" s="2"/>
      <c r="W40" s="2"/>
      <c r="X40" s="2"/>
      <c r="Y40" s="2"/>
      <c r="Z40" s="2"/>
      <c r="AA40" s="2"/>
      <c r="AB40" s="2"/>
      <c r="AC40" s="2"/>
    </row>
    <row r="41" spans="1:29" ht="26">
      <c r="A41" s="5">
        <v>36</v>
      </c>
      <c r="B41" s="6" t="s">
        <v>270</v>
      </c>
      <c r="C41" s="5">
        <v>3121540085</v>
      </c>
      <c r="D41" s="90" t="s">
        <v>204</v>
      </c>
      <c r="E41" s="8" t="s">
        <v>175</v>
      </c>
      <c r="F41" s="9" t="s">
        <v>271</v>
      </c>
      <c r="G41" s="8"/>
      <c r="H41" s="6" t="s">
        <v>272</v>
      </c>
      <c r="I41" s="6" t="s">
        <v>273</v>
      </c>
      <c r="J41" s="6" t="s">
        <v>274</v>
      </c>
      <c r="K41" s="6" t="s">
        <v>275</v>
      </c>
      <c r="L41" s="6" t="s">
        <v>276</v>
      </c>
      <c r="M41" s="10" t="s">
        <v>60</v>
      </c>
      <c r="N41" s="10" t="s">
        <v>28</v>
      </c>
      <c r="O41" s="20" t="s">
        <v>277</v>
      </c>
      <c r="P41" s="20" t="s">
        <v>278</v>
      </c>
      <c r="Q41" s="61"/>
      <c r="R41" s="2"/>
      <c r="S41" s="2"/>
      <c r="T41" s="2"/>
      <c r="U41" s="2"/>
      <c r="V41" s="2"/>
      <c r="W41" s="2"/>
      <c r="X41" s="2"/>
      <c r="Y41" s="2"/>
      <c r="Z41" s="2"/>
      <c r="AA41" s="2"/>
      <c r="AB41" s="2"/>
      <c r="AC41" s="2"/>
    </row>
    <row r="42" spans="1:29" ht="26">
      <c r="A42" s="5">
        <v>37</v>
      </c>
      <c r="B42" s="21" t="s">
        <v>279</v>
      </c>
      <c r="C42" s="22">
        <v>3123570142</v>
      </c>
      <c r="D42" s="90" t="s">
        <v>204</v>
      </c>
      <c r="E42" s="8">
        <f>VLOOKUP(C42,'Trang tính3'!$B$10:$H$377,7,0)</f>
        <v>100</v>
      </c>
      <c r="F42" s="9" t="str">
        <f>VLOOKUP(C42,'Trang tính2'!$B$1:$D$175,3,0)</f>
        <v>3.41</v>
      </c>
      <c r="G42" s="23"/>
      <c r="H42" s="21" t="s">
        <v>280</v>
      </c>
      <c r="I42" s="21" t="s">
        <v>281</v>
      </c>
      <c r="J42" s="21" t="s">
        <v>282</v>
      </c>
      <c r="K42" s="21" t="s">
        <v>283</v>
      </c>
      <c r="L42" s="21" t="s">
        <v>284</v>
      </c>
      <c r="M42" s="24"/>
      <c r="N42" s="24" t="s">
        <v>28</v>
      </c>
      <c r="O42" s="25" t="s">
        <v>285</v>
      </c>
      <c r="P42" s="25" t="s">
        <v>286</v>
      </c>
      <c r="Q42" s="62"/>
      <c r="R42" s="26"/>
      <c r="S42" s="26"/>
      <c r="T42" s="26"/>
      <c r="U42" s="26"/>
      <c r="V42" s="26"/>
      <c r="W42" s="26"/>
      <c r="X42" s="26"/>
      <c r="Y42" s="26"/>
      <c r="Z42" s="26"/>
      <c r="AA42" s="26"/>
      <c r="AB42" s="26"/>
      <c r="AC42" s="26"/>
    </row>
    <row r="43" spans="1:29" ht="13" customHeight="1">
      <c r="A43" s="5">
        <v>38</v>
      </c>
      <c r="B43" s="14" t="s">
        <v>287</v>
      </c>
      <c r="C43" s="15">
        <v>3123020023</v>
      </c>
      <c r="D43" s="92" t="s">
        <v>288</v>
      </c>
      <c r="E43" s="8">
        <f>VLOOKUP(C43,'Trang tính3'!$B$10:$H$377,7,0)</f>
        <v>100</v>
      </c>
      <c r="F43" s="9" t="str">
        <f>VLOOKUP(C43,'Trang tính2'!$B$1:$D$175,3,0)</f>
        <v>3.90</v>
      </c>
      <c r="G43" s="9"/>
      <c r="H43" s="14" t="s">
        <v>289</v>
      </c>
      <c r="I43" s="14" t="s">
        <v>290</v>
      </c>
      <c r="J43" s="14" t="s">
        <v>291</v>
      </c>
      <c r="K43" s="14" t="s">
        <v>292</v>
      </c>
      <c r="L43" s="14" t="s">
        <v>293</v>
      </c>
      <c r="M43" s="16"/>
      <c r="N43" s="16" t="s">
        <v>28</v>
      </c>
      <c r="O43" s="17" t="s">
        <v>294</v>
      </c>
      <c r="P43" s="17" t="s">
        <v>295</v>
      </c>
      <c r="Q43" s="63" t="s">
        <v>296</v>
      </c>
      <c r="R43" s="2"/>
      <c r="S43" s="2"/>
      <c r="T43" s="2"/>
      <c r="U43" s="2"/>
      <c r="V43" s="2"/>
      <c r="W43" s="2"/>
      <c r="X43" s="2"/>
      <c r="Y43" s="2"/>
      <c r="Z43" s="2"/>
      <c r="AA43" s="2"/>
      <c r="AB43" s="2"/>
      <c r="AC43" s="2"/>
    </row>
    <row r="44" spans="1:29" ht="39">
      <c r="A44" s="5">
        <v>39</v>
      </c>
      <c r="B44" s="14" t="s">
        <v>297</v>
      </c>
      <c r="C44" s="15">
        <v>3123020016</v>
      </c>
      <c r="D44" s="92" t="s">
        <v>288</v>
      </c>
      <c r="E44" s="8">
        <f>VLOOKUP(C44,'Trang tính3'!$B$10:$H$377,7,0)</f>
        <v>96.5</v>
      </c>
      <c r="F44" s="9" t="str">
        <f>VLOOKUP(C44,'Trang tính2'!$B$1:$D$175,3,0)</f>
        <v>3.32</v>
      </c>
      <c r="G44" s="9"/>
      <c r="H44" s="14" t="s">
        <v>298</v>
      </c>
      <c r="I44" s="14" t="s">
        <v>299</v>
      </c>
      <c r="J44" s="14" t="s">
        <v>300</v>
      </c>
      <c r="K44" s="14" t="s">
        <v>301</v>
      </c>
      <c r="L44" s="14" t="s">
        <v>302</v>
      </c>
      <c r="M44" s="16"/>
      <c r="N44" s="16" t="s">
        <v>28</v>
      </c>
      <c r="O44" s="17" t="s">
        <v>303</v>
      </c>
      <c r="P44" s="17" t="s">
        <v>304</v>
      </c>
      <c r="Q44" s="61"/>
      <c r="R44" s="2"/>
      <c r="S44" s="2"/>
      <c r="T44" s="2"/>
      <c r="U44" s="2"/>
      <c r="V44" s="2"/>
      <c r="W44" s="2"/>
      <c r="X44" s="2"/>
      <c r="Y44" s="2"/>
      <c r="Z44" s="2"/>
      <c r="AA44" s="2"/>
      <c r="AB44" s="2"/>
      <c r="AC44" s="2"/>
    </row>
    <row r="45" spans="1:29" ht="39">
      <c r="A45" s="5">
        <v>40</v>
      </c>
      <c r="B45" s="14" t="s">
        <v>305</v>
      </c>
      <c r="C45" s="15">
        <v>3123020013</v>
      </c>
      <c r="D45" s="92" t="s">
        <v>288</v>
      </c>
      <c r="E45" s="8">
        <f>VLOOKUP(C45,'Trang tính3'!$B$10:$H$377,7,0)</f>
        <v>100</v>
      </c>
      <c r="F45" s="9" t="str">
        <f>VLOOKUP(C45,'Trang tính2'!$B$1:$D$175,3,0)</f>
        <v>3.67</v>
      </c>
      <c r="G45" s="9"/>
      <c r="H45" s="27" t="s">
        <v>306</v>
      </c>
      <c r="I45" s="14" t="s">
        <v>307</v>
      </c>
      <c r="J45" s="14" t="s">
        <v>308</v>
      </c>
      <c r="K45" s="14" t="s">
        <v>309</v>
      </c>
      <c r="L45" s="14" t="s">
        <v>310</v>
      </c>
      <c r="M45" s="16"/>
      <c r="N45" s="16" t="s">
        <v>28</v>
      </c>
      <c r="O45" s="17" t="s">
        <v>311</v>
      </c>
      <c r="P45" s="17" t="s">
        <v>312</v>
      </c>
      <c r="Q45" s="61"/>
      <c r="R45" s="2"/>
      <c r="S45" s="2"/>
      <c r="T45" s="2"/>
      <c r="U45" s="2"/>
      <c r="V45" s="2"/>
      <c r="W45" s="2"/>
      <c r="X45" s="2"/>
      <c r="Y45" s="2"/>
      <c r="Z45" s="2"/>
      <c r="AA45" s="2"/>
      <c r="AB45" s="2"/>
      <c r="AC45" s="2"/>
    </row>
    <row r="46" spans="1:29" ht="39">
      <c r="A46" s="5">
        <v>41</v>
      </c>
      <c r="B46" s="14" t="s">
        <v>313</v>
      </c>
      <c r="C46" s="15">
        <v>3123060018</v>
      </c>
      <c r="D46" s="92" t="s">
        <v>288</v>
      </c>
      <c r="E46" s="8">
        <f>VLOOKUP(C46,'Trang tính3'!$B$10:$H$377,7,0)</f>
        <v>95</v>
      </c>
      <c r="F46" s="9" t="str">
        <f>VLOOKUP(C46,'Trang tính2'!$B$1:$D$175,3,0)</f>
        <v>3.63</v>
      </c>
      <c r="G46" s="9"/>
      <c r="H46" s="14" t="s">
        <v>314</v>
      </c>
      <c r="I46" s="14" t="s">
        <v>315</v>
      </c>
      <c r="J46" s="14" t="s">
        <v>316</v>
      </c>
      <c r="K46" s="14" t="s">
        <v>317</v>
      </c>
      <c r="L46" s="14" t="s">
        <v>318</v>
      </c>
      <c r="M46" s="16"/>
      <c r="N46" s="16" t="s">
        <v>28</v>
      </c>
      <c r="O46" s="17" t="s">
        <v>319</v>
      </c>
      <c r="P46" s="17" t="s">
        <v>320</v>
      </c>
      <c r="Q46" s="61"/>
      <c r="R46" s="2"/>
      <c r="S46" s="2"/>
      <c r="T46" s="2"/>
      <c r="U46" s="2"/>
      <c r="V46" s="2"/>
      <c r="W46" s="2"/>
      <c r="X46" s="2"/>
      <c r="Y46" s="2"/>
      <c r="Z46" s="2"/>
      <c r="AA46" s="2"/>
      <c r="AB46" s="2"/>
      <c r="AC46" s="2"/>
    </row>
    <row r="47" spans="1:29" ht="39">
      <c r="A47" s="5">
        <v>42</v>
      </c>
      <c r="B47" s="14" t="s">
        <v>321</v>
      </c>
      <c r="C47" s="15">
        <v>3123020002</v>
      </c>
      <c r="D47" s="92" t="s">
        <v>288</v>
      </c>
      <c r="E47" s="8">
        <f>VLOOKUP(C47,'Trang tính3'!$B$10:$H$377,7,0)</f>
        <v>100</v>
      </c>
      <c r="F47" s="9" t="str">
        <f>VLOOKUP(C47,'Trang tính2'!$B$1:$D$175,3,0)</f>
        <v>3.93</v>
      </c>
      <c r="G47" s="9"/>
      <c r="H47" s="14" t="s">
        <v>322</v>
      </c>
      <c r="I47" s="14" t="s">
        <v>323</v>
      </c>
      <c r="J47" s="14" t="s">
        <v>324</v>
      </c>
      <c r="K47" s="14" t="s">
        <v>325</v>
      </c>
      <c r="L47" s="14" t="s">
        <v>326</v>
      </c>
      <c r="M47" s="16"/>
      <c r="N47" s="16" t="s">
        <v>28</v>
      </c>
      <c r="O47" s="17" t="s">
        <v>327</v>
      </c>
      <c r="P47" s="17" t="s">
        <v>328</v>
      </c>
      <c r="Q47" s="61"/>
      <c r="R47" s="2"/>
      <c r="S47" s="2"/>
      <c r="T47" s="2"/>
      <c r="U47" s="2"/>
      <c r="V47" s="2"/>
      <c r="W47" s="2"/>
      <c r="X47" s="2"/>
      <c r="Y47" s="2"/>
      <c r="Z47" s="2"/>
      <c r="AA47" s="2"/>
      <c r="AB47" s="2"/>
      <c r="AC47" s="2"/>
    </row>
    <row r="48" spans="1:29" ht="78">
      <c r="A48" s="5">
        <v>43</v>
      </c>
      <c r="B48" s="14" t="s">
        <v>329</v>
      </c>
      <c r="C48" s="15">
        <v>3122030009</v>
      </c>
      <c r="D48" s="92" t="s">
        <v>288</v>
      </c>
      <c r="E48" s="8">
        <f>VLOOKUP(C48,'Trang tính3'!$B$10:$H$377,7,0)</f>
        <v>99</v>
      </c>
      <c r="F48" s="9" t="str">
        <f>VLOOKUP(C48,'Trang tính2'!$B$1:$D$175,3,0)</f>
        <v>2.91</v>
      </c>
      <c r="G48" s="9"/>
      <c r="H48" s="28" t="s">
        <v>330</v>
      </c>
      <c r="I48" s="14" t="s">
        <v>331</v>
      </c>
      <c r="J48" s="14" t="s">
        <v>332</v>
      </c>
      <c r="K48" s="14" t="s">
        <v>333</v>
      </c>
      <c r="L48" s="14" t="s">
        <v>334</v>
      </c>
      <c r="M48" s="16"/>
      <c r="N48" s="16" t="s">
        <v>28</v>
      </c>
      <c r="O48" s="17" t="s">
        <v>335</v>
      </c>
      <c r="P48" s="17" t="s">
        <v>336</v>
      </c>
      <c r="Q48" s="61"/>
      <c r="R48" s="2"/>
      <c r="S48" s="2"/>
      <c r="T48" s="2"/>
      <c r="U48" s="2"/>
      <c r="V48" s="2"/>
      <c r="W48" s="2"/>
      <c r="X48" s="2"/>
      <c r="Y48" s="2"/>
      <c r="Z48" s="2"/>
      <c r="AA48" s="2"/>
      <c r="AB48" s="2"/>
      <c r="AC48" s="2"/>
    </row>
    <row r="49" spans="1:29" ht="39">
      <c r="A49" s="5">
        <v>44</v>
      </c>
      <c r="B49" s="14" t="s">
        <v>337</v>
      </c>
      <c r="C49" s="15">
        <v>3123020019</v>
      </c>
      <c r="D49" s="92" t="s">
        <v>288</v>
      </c>
      <c r="E49" s="8">
        <f>VLOOKUP(C49,'Trang tính3'!$B$10:$H$377,7,0)</f>
        <v>100</v>
      </c>
      <c r="F49" s="9" t="str">
        <f>VLOOKUP(C49,'Trang tính2'!$B$1:$D$175,3,0)</f>
        <v>3.93</v>
      </c>
      <c r="G49" s="9"/>
      <c r="H49" s="14" t="s">
        <v>338</v>
      </c>
      <c r="I49" s="14" t="s">
        <v>339</v>
      </c>
      <c r="J49" s="14" t="s">
        <v>340</v>
      </c>
      <c r="K49" s="14" t="s">
        <v>341</v>
      </c>
      <c r="L49" s="14" t="s">
        <v>342</v>
      </c>
      <c r="M49" s="16"/>
      <c r="N49" s="16" t="s">
        <v>28</v>
      </c>
      <c r="O49" s="17" t="s">
        <v>343</v>
      </c>
      <c r="P49" s="17" t="s">
        <v>344</v>
      </c>
      <c r="Q49" s="61"/>
      <c r="R49" s="2"/>
      <c r="S49" s="2"/>
      <c r="T49" s="2"/>
      <c r="U49" s="2"/>
      <c r="V49" s="2"/>
      <c r="W49" s="2"/>
      <c r="X49" s="2"/>
      <c r="Y49" s="2"/>
      <c r="Z49" s="2"/>
      <c r="AA49" s="2"/>
      <c r="AB49" s="2"/>
      <c r="AC49" s="2"/>
    </row>
    <row r="50" spans="1:29" ht="39">
      <c r="A50" s="5">
        <v>45</v>
      </c>
      <c r="B50" s="14" t="s">
        <v>345</v>
      </c>
      <c r="C50" s="15">
        <v>3123020031</v>
      </c>
      <c r="D50" s="92" t="s">
        <v>288</v>
      </c>
      <c r="E50" s="8">
        <f>VLOOKUP(C50,'Trang tính3'!$B$10:$H$377,7,0)</f>
        <v>94.5</v>
      </c>
      <c r="F50" s="9" t="str">
        <f>VLOOKUP(C50,'Trang tính2'!$B$1:$D$175,3,0)</f>
        <v>3.51</v>
      </c>
      <c r="G50" s="9"/>
      <c r="H50" s="14"/>
      <c r="I50" s="14" t="s">
        <v>346</v>
      </c>
      <c r="J50" s="14"/>
      <c r="K50" s="14"/>
      <c r="L50" s="14"/>
      <c r="M50" s="16"/>
      <c r="N50" s="16" t="s">
        <v>72</v>
      </c>
      <c r="O50" s="17" t="s">
        <v>347</v>
      </c>
      <c r="P50" s="17" t="s">
        <v>348</v>
      </c>
      <c r="Q50" s="61"/>
      <c r="R50" s="2"/>
      <c r="S50" s="2"/>
      <c r="T50" s="2"/>
      <c r="U50" s="2"/>
      <c r="V50" s="2"/>
      <c r="W50" s="2"/>
      <c r="X50" s="2"/>
      <c r="Y50" s="2"/>
      <c r="Z50" s="2"/>
      <c r="AA50" s="2"/>
      <c r="AB50" s="2"/>
      <c r="AC50" s="2"/>
    </row>
    <row r="51" spans="1:29" ht="39">
      <c r="A51" s="5">
        <v>46</v>
      </c>
      <c r="B51" s="14" t="s">
        <v>349</v>
      </c>
      <c r="C51" s="15">
        <v>3121020023</v>
      </c>
      <c r="D51" s="92" t="s">
        <v>288</v>
      </c>
      <c r="E51" s="8">
        <f>VLOOKUP(C51,'Trang tính3'!$B$10:$H$377,7,0)</f>
        <v>99</v>
      </c>
      <c r="F51" s="9" t="str">
        <f>VLOOKUP(C51,'Trang tính2'!$B$1:$D$175,3,0)</f>
        <v>3.43</v>
      </c>
      <c r="G51" s="9"/>
      <c r="H51" s="14" t="s">
        <v>350</v>
      </c>
      <c r="I51" s="14" t="s">
        <v>351</v>
      </c>
      <c r="J51" s="14" t="s">
        <v>352</v>
      </c>
      <c r="K51" s="14" t="s">
        <v>353</v>
      </c>
      <c r="L51" s="14" t="s">
        <v>354</v>
      </c>
      <c r="M51" s="16"/>
      <c r="N51" s="16" t="s">
        <v>28</v>
      </c>
      <c r="O51" s="17" t="s">
        <v>355</v>
      </c>
      <c r="P51" s="17" t="s">
        <v>356</v>
      </c>
      <c r="Q51" s="61"/>
      <c r="R51" s="2"/>
      <c r="S51" s="2"/>
      <c r="T51" s="2"/>
      <c r="U51" s="2"/>
      <c r="V51" s="2"/>
      <c r="W51" s="2"/>
      <c r="X51" s="2"/>
      <c r="Y51" s="2"/>
      <c r="Z51" s="2"/>
      <c r="AA51" s="2"/>
      <c r="AB51" s="2"/>
      <c r="AC51" s="2"/>
    </row>
    <row r="52" spans="1:29" ht="39">
      <c r="A52" s="5">
        <v>47</v>
      </c>
      <c r="B52" s="14" t="s">
        <v>357</v>
      </c>
      <c r="C52" s="15">
        <v>3123060021</v>
      </c>
      <c r="D52" s="92" t="s">
        <v>288</v>
      </c>
      <c r="E52" s="8">
        <f>VLOOKUP(C52,'Trang tính3'!$B$10:$H$377,7,0)</f>
        <v>98.5</v>
      </c>
      <c r="F52" s="9" t="str">
        <f>VLOOKUP(C52,'Trang tính2'!$B$1:$D$175,3,0)</f>
        <v>3.32</v>
      </c>
      <c r="G52" s="9"/>
      <c r="H52" s="14" t="s">
        <v>358</v>
      </c>
      <c r="I52" s="14" t="s">
        <v>359</v>
      </c>
      <c r="J52" s="14" t="s">
        <v>360</v>
      </c>
      <c r="K52" s="14" t="s">
        <v>361</v>
      </c>
      <c r="L52" s="14" t="s">
        <v>362</v>
      </c>
      <c r="M52" s="16"/>
      <c r="N52" s="16" t="s">
        <v>28</v>
      </c>
      <c r="O52" s="17" t="s">
        <v>363</v>
      </c>
      <c r="P52" s="17" t="s">
        <v>364</v>
      </c>
      <c r="Q52" s="61"/>
      <c r="R52" s="2"/>
      <c r="S52" s="2"/>
      <c r="T52" s="2"/>
      <c r="U52" s="2"/>
      <c r="V52" s="2"/>
      <c r="W52" s="2"/>
      <c r="X52" s="2"/>
      <c r="Y52" s="2"/>
      <c r="Z52" s="2"/>
      <c r="AA52" s="2"/>
      <c r="AB52" s="2"/>
      <c r="AC52" s="2"/>
    </row>
    <row r="53" spans="1:29" ht="39">
      <c r="A53" s="5">
        <v>48</v>
      </c>
      <c r="B53" s="21" t="s">
        <v>365</v>
      </c>
      <c r="C53" s="22">
        <v>3121060033</v>
      </c>
      <c r="D53" s="92" t="s">
        <v>288</v>
      </c>
      <c r="E53" s="8">
        <f>VLOOKUP(C53,'Trang tính3'!$B$10:$H$377,7,0)</f>
        <v>100</v>
      </c>
      <c r="F53" s="9" t="str">
        <f>VLOOKUP(C53,'Trang tính2'!$B$1:$D$175,3,0)</f>
        <v>3.50</v>
      </c>
      <c r="G53" s="23"/>
      <c r="H53" s="21" t="s">
        <v>366</v>
      </c>
      <c r="I53" s="21" t="s">
        <v>367</v>
      </c>
      <c r="J53" s="21" t="s">
        <v>368</v>
      </c>
      <c r="K53" s="21" t="s">
        <v>369</v>
      </c>
      <c r="L53" s="21" t="s">
        <v>370</v>
      </c>
      <c r="M53" s="24"/>
      <c r="N53" s="24" t="s">
        <v>28</v>
      </c>
      <c r="O53" s="25" t="s">
        <v>371</v>
      </c>
      <c r="P53" s="25" t="s">
        <v>372</v>
      </c>
      <c r="Q53" s="61"/>
      <c r="R53" s="26"/>
      <c r="S53" s="26"/>
      <c r="T53" s="26"/>
      <c r="U53" s="26"/>
      <c r="V53" s="26"/>
      <c r="W53" s="26"/>
      <c r="X53" s="26"/>
      <c r="Y53" s="26"/>
      <c r="Z53" s="26"/>
      <c r="AA53" s="26"/>
      <c r="AB53" s="26"/>
      <c r="AC53" s="26"/>
    </row>
    <row r="54" spans="1:29" ht="39">
      <c r="A54" s="5">
        <v>49</v>
      </c>
      <c r="B54" s="14" t="s">
        <v>373</v>
      </c>
      <c r="C54" s="15">
        <v>3123020035</v>
      </c>
      <c r="D54" s="92" t="s">
        <v>288</v>
      </c>
      <c r="E54" s="8">
        <f>VLOOKUP(C54,'Trang tính3'!$B$10:$H$377,7,0)</f>
        <v>94</v>
      </c>
      <c r="F54" s="9" t="str">
        <f>VLOOKUP(C54,'Trang tính2'!$B$1:$D$175,3,0)</f>
        <v>3.50</v>
      </c>
      <c r="G54" s="9"/>
      <c r="H54" s="14" t="s">
        <v>374</v>
      </c>
      <c r="I54" s="14" t="s">
        <v>375</v>
      </c>
      <c r="J54" s="14" t="s">
        <v>376</v>
      </c>
      <c r="K54" s="14" t="s">
        <v>377</v>
      </c>
      <c r="L54" s="14" t="s">
        <v>378</v>
      </c>
      <c r="M54" s="16"/>
      <c r="N54" s="16" t="s">
        <v>28</v>
      </c>
      <c r="O54" s="17" t="s">
        <v>379</v>
      </c>
      <c r="P54" s="17" t="s">
        <v>380</v>
      </c>
      <c r="Q54" s="61"/>
      <c r="R54" s="2"/>
      <c r="S54" s="2"/>
      <c r="T54" s="2"/>
      <c r="U54" s="2"/>
      <c r="V54" s="2"/>
      <c r="W54" s="2"/>
      <c r="X54" s="2"/>
      <c r="Y54" s="2"/>
      <c r="Z54" s="2"/>
      <c r="AA54" s="2"/>
      <c r="AB54" s="2"/>
      <c r="AC54" s="2"/>
    </row>
    <row r="55" spans="1:29" ht="39">
      <c r="A55" s="5">
        <v>50</v>
      </c>
      <c r="B55" s="14" t="s">
        <v>381</v>
      </c>
      <c r="C55" s="15">
        <v>3122060003</v>
      </c>
      <c r="D55" s="92" t="s">
        <v>288</v>
      </c>
      <c r="E55" s="8" t="s">
        <v>382</v>
      </c>
      <c r="F55" s="9" t="s">
        <v>383</v>
      </c>
      <c r="G55" s="9"/>
      <c r="H55" s="14" t="s">
        <v>384</v>
      </c>
      <c r="I55" s="14" t="s">
        <v>385</v>
      </c>
      <c r="J55" s="14" t="s">
        <v>386</v>
      </c>
      <c r="K55" s="14" t="s">
        <v>387</v>
      </c>
      <c r="L55" s="14" t="s">
        <v>388</v>
      </c>
      <c r="M55" s="16"/>
      <c r="N55" s="16" t="s">
        <v>28</v>
      </c>
      <c r="O55" s="17" t="s">
        <v>389</v>
      </c>
      <c r="P55" s="17" t="s">
        <v>390</v>
      </c>
      <c r="Q55" s="62"/>
      <c r="R55" s="2"/>
      <c r="S55" s="2"/>
      <c r="T55" s="2"/>
      <c r="U55" s="2"/>
      <c r="V55" s="2"/>
      <c r="W55" s="2"/>
      <c r="X55" s="2"/>
      <c r="Y55" s="2"/>
      <c r="Z55" s="2"/>
      <c r="AA55" s="2"/>
      <c r="AB55" s="2"/>
      <c r="AC55" s="2"/>
    </row>
    <row r="56" spans="1:29" ht="13" customHeight="1">
      <c r="A56" s="5">
        <v>51</v>
      </c>
      <c r="B56" s="6" t="s">
        <v>391</v>
      </c>
      <c r="C56" s="5">
        <v>3123500003</v>
      </c>
      <c r="D56" s="90" t="s">
        <v>392</v>
      </c>
      <c r="E56" s="8">
        <f>VLOOKUP(C56,'Trang tính3'!$B$10:$H$377,7,0)</f>
        <v>100</v>
      </c>
      <c r="F56" s="9" t="str">
        <f>VLOOKUP(C56,'Trang tính2'!$B$1:$D$175,3,0)</f>
        <v>3.50</v>
      </c>
      <c r="G56" s="8"/>
      <c r="H56" s="6"/>
      <c r="I56" s="6"/>
      <c r="J56" s="6"/>
      <c r="K56" s="6"/>
      <c r="L56" s="6" t="s">
        <v>231</v>
      </c>
      <c r="M56" s="10"/>
      <c r="N56" s="10" t="s">
        <v>72</v>
      </c>
      <c r="O56" s="12" t="s">
        <v>393</v>
      </c>
      <c r="P56" s="12" t="s">
        <v>394</v>
      </c>
      <c r="Q56" s="60" t="s">
        <v>395</v>
      </c>
      <c r="R56" s="2"/>
      <c r="S56" s="2"/>
      <c r="T56" s="2"/>
      <c r="U56" s="2"/>
      <c r="V56" s="2"/>
      <c r="W56" s="2"/>
      <c r="X56" s="2"/>
      <c r="Y56" s="2"/>
      <c r="Z56" s="2"/>
      <c r="AA56" s="2"/>
      <c r="AB56" s="2"/>
      <c r="AC56" s="2"/>
    </row>
    <row r="57" spans="1:29" ht="39">
      <c r="A57" s="5">
        <v>52</v>
      </c>
      <c r="B57" s="6" t="s">
        <v>396</v>
      </c>
      <c r="C57" s="5">
        <v>3123340038</v>
      </c>
      <c r="D57" s="90" t="s">
        <v>392</v>
      </c>
      <c r="E57" s="8">
        <f>VLOOKUP(C57,'Trang tính3'!$B$10:$H$377,7,0)</f>
        <v>98.5</v>
      </c>
      <c r="F57" s="9" t="str">
        <f>VLOOKUP(C57,'Trang tính2'!$B$1:$D$175,3,0)</f>
        <v>3.30</v>
      </c>
      <c r="G57" s="8"/>
      <c r="H57" s="6" t="s">
        <v>397</v>
      </c>
      <c r="I57" s="6" t="s">
        <v>398</v>
      </c>
      <c r="J57" s="6" t="s">
        <v>399</v>
      </c>
      <c r="K57" s="6" t="s">
        <v>400</v>
      </c>
      <c r="L57" s="6" t="s">
        <v>401</v>
      </c>
      <c r="M57" s="10"/>
      <c r="N57" s="10" t="s">
        <v>28</v>
      </c>
      <c r="O57" s="12" t="s">
        <v>402</v>
      </c>
      <c r="P57" s="12" t="s">
        <v>403</v>
      </c>
      <c r="Q57" s="61"/>
      <c r="R57" s="2"/>
      <c r="S57" s="2"/>
      <c r="T57" s="2"/>
      <c r="U57" s="2"/>
      <c r="V57" s="2"/>
      <c r="W57" s="2"/>
      <c r="X57" s="2"/>
      <c r="Y57" s="2"/>
      <c r="Z57" s="2"/>
      <c r="AA57" s="2"/>
      <c r="AB57" s="2"/>
      <c r="AC57" s="2"/>
    </row>
    <row r="58" spans="1:29" ht="39">
      <c r="A58" s="5">
        <v>53</v>
      </c>
      <c r="B58" s="6" t="s">
        <v>404</v>
      </c>
      <c r="C58" s="5">
        <v>3123340048</v>
      </c>
      <c r="D58" s="90" t="s">
        <v>392</v>
      </c>
      <c r="E58" s="8">
        <f>VLOOKUP(C58,'Trang tính3'!$B$10:$H$377,7,0)</f>
        <v>97</v>
      </c>
      <c r="F58" s="9" t="str">
        <f>VLOOKUP(C58,'Trang tính2'!$B$1:$D$175,3,0)</f>
        <v>3.57</v>
      </c>
      <c r="G58" s="8"/>
      <c r="H58" s="6" t="s">
        <v>405</v>
      </c>
      <c r="I58" s="6" t="s">
        <v>406</v>
      </c>
      <c r="J58" s="6" t="s">
        <v>407</v>
      </c>
      <c r="K58" s="6" t="s">
        <v>408</v>
      </c>
      <c r="L58" s="6" t="s">
        <v>409</v>
      </c>
      <c r="M58" s="10"/>
      <c r="N58" s="10" t="s">
        <v>28</v>
      </c>
      <c r="O58" s="12" t="s">
        <v>410</v>
      </c>
      <c r="P58" s="12" t="s">
        <v>411</v>
      </c>
      <c r="Q58" s="61"/>
      <c r="R58" s="2"/>
      <c r="S58" s="2"/>
      <c r="T58" s="2"/>
      <c r="U58" s="2"/>
      <c r="V58" s="2"/>
      <c r="W58" s="2"/>
      <c r="X58" s="2"/>
      <c r="Y58" s="2"/>
      <c r="Z58" s="2"/>
      <c r="AA58" s="2"/>
      <c r="AB58" s="2"/>
      <c r="AC58" s="2"/>
    </row>
    <row r="59" spans="1:29" ht="39">
      <c r="A59" s="5">
        <v>54</v>
      </c>
      <c r="B59" s="6" t="s">
        <v>412</v>
      </c>
      <c r="C59" s="5">
        <v>3123340048</v>
      </c>
      <c r="D59" s="90" t="s">
        <v>392</v>
      </c>
      <c r="E59" s="8">
        <f>VLOOKUP(C59,'Trang tính3'!$B$10:$H$377,7,0)</f>
        <v>97</v>
      </c>
      <c r="F59" s="9" t="str">
        <f>VLOOKUP(C59,'Trang tính2'!$B$1:$D$175,3,0)</f>
        <v>3.57</v>
      </c>
      <c r="G59" s="8"/>
      <c r="H59" s="6" t="s">
        <v>405</v>
      </c>
      <c r="I59" s="6" t="s">
        <v>406</v>
      </c>
      <c r="J59" s="6" t="s">
        <v>407</v>
      </c>
      <c r="K59" s="6" t="s">
        <v>408</v>
      </c>
      <c r="L59" s="6" t="s">
        <v>409</v>
      </c>
      <c r="M59" s="10"/>
      <c r="N59" s="10" t="s">
        <v>28</v>
      </c>
      <c r="O59" s="12" t="s">
        <v>413</v>
      </c>
      <c r="P59" s="12" t="s">
        <v>414</v>
      </c>
      <c r="Q59" s="61"/>
      <c r="R59" s="2"/>
      <c r="S59" s="2"/>
      <c r="T59" s="2"/>
      <c r="U59" s="2"/>
      <c r="V59" s="2"/>
      <c r="W59" s="2"/>
      <c r="X59" s="2"/>
      <c r="Y59" s="2"/>
      <c r="Z59" s="2"/>
      <c r="AA59" s="2"/>
      <c r="AB59" s="2"/>
      <c r="AC59" s="2"/>
    </row>
    <row r="60" spans="1:29" ht="39">
      <c r="A60" s="5">
        <v>55</v>
      </c>
      <c r="B60" s="6" t="s">
        <v>415</v>
      </c>
      <c r="C60" s="5">
        <v>3123340032</v>
      </c>
      <c r="D60" s="90" t="s">
        <v>392</v>
      </c>
      <c r="E60" s="8" t="s">
        <v>382</v>
      </c>
      <c r="F60" s="9" t="s">
        <v>416</v>
      </c>
      <c r="G60" s="8"/>
      <c r="H60" s="6" t="s">
        <v>417</v>
      </c>
      <c r="I60" s="6" t="s">
        <v>418</v>
      </c>
      <c r="J60" s="6" t="s">
        <v>419</v>
      </c>
      <c r="K60" s="6" t="s">
        <v>420</v>
      </c>
      <c r="L60" s="6" t="s">
        <v>421</v>
      </c>
      <c r="M60" s="10" t="s">
        <v>60</v>
      </c>
      <c r="N60" s="10" t="s">
        <v>28</v>
      </c>
      <c r="O60" s="6"/>
      <c r="P60" s="6"/>
      <c r="Q60" s="61"/>
      <c r="R60" s="2"/>
      <c r="S60" s="2"/>
      <c r="T60" s="2"/>
      <c r="U60" s="2"/>
      <c r="V60" s="2"/>
      <c r="W60" s="2"/>
      <c r="X60" s="2"/>
      <c r="Y60" s="2"/>
      <c r="Z60" s="2"/>
      <c r="AA60" s="2"/>
      <c r="AB60" s="2"/>
      <c r="AC60" s="2"/>
    </row>
    <row r="61" spans="1:29" ht="39">
      <c r="A61" s="5">
        <v>56</v>
      </c>
      <c r="B61" s="6" t="s">
        <v>422</v>
      </c>
      <c r="C61" s="5">
        <v>3123340041</v>
      </c>
      <c r="D61" s="90" t="s">
        <v>392</v>
      </c>
      <c r="E61" s="8" t="s">
        <v>423</v>
      </c>
      <c r="F61" s="9" t="s">
        <v>424</v>
      </c>
      <c r="G61" s="8"/>
      <c r="H61" s="6" t="s">
        <v>425</v>
      </c>
      <c r="I61" s="6" t="s">
        <v>426</v>
      </c>
      <c r="J61" s="6" t="s">
        <v>274</v>
      </c>
      <c r="K61" s="6" t="s">
        <v>427</v>
      </c>
      <c r="L61" s="6" t="s">
        <v>428</v>
      </c>
      <c r="M61" s="10" t="s">
        <v>60</v>
      </c>
      <c r="N61" s="10" t="s">
        <v>28</v>
      </c>
      <c r="O61" s="6"/>
      <c r="P61" s="6"/>
      <c r="Q61" s="61"/>
      <c r="R61" s="2"/>
      <c r="S61" s="2"/>
      <c r="T61" s="2"/>
      <c r="U61" s="2"/>
      <c r="V61" s="2"/>
      <c r="W61" s="2"/>
      <c r="X61" s="2"/>
      <c r="Y61" s="2"/>
      <c r="Z61" s="2"/>
      <c r="AA61" s="2"/>
      <c r="AB61" s="2"/>
      <c r="AC61" s="2"/>
    </row>
    <row r="62" spans="1:29" ht="39">
      <c r="A62" s="5">
        <v>57</v>
      </c>
      <c r="B62" s="6" t="s">
        <v>429</v>
      </c>
      <c r="C62" s="5">
        <v>3121340047</v>
      </c>
      <c r="D62" s="90" t="s">
        <v>392</v>
      </c>
      <c r="E62" s="8" t="s">
        <v>430</v>
      </c>
      <c r="F62" s="9" t="s">
        <v>431</v>
      </c>
      <c r="G62" s="8"/>
      <c r="H62" s="6" t="s">
        <v>432</v>
      </c>
      <c r="I62" s="6" t="s">
        <v>433</v>
      </c>
      <c r="J62" s="6" t="s">
        <v>274</v>
      </c>
      <c r="K62" s="6" t="s">
        <v>434</v>
      </c>
      <c r="L62" s="6" t="s">
        <v>435</v>
      </c>
      <c r="M62" s="10" t="s">
        <v>60</v>
      </c>
      <c r="N62" s="10" t="s">
        <v>28</v>
      </c>
      <c r="O62" s="6"/>
      <c r="P62" s="6"/>
      <c r="Q62" s="61"/>
      <c r="R62" s="2"/>
      <c r="S62" s="2"/>
      <c r="T62" s="2"/>
      <c r="U62" s="2"/>
      <c r="V62" s="2"/>
      <c r="W62" s="2"/>
      <c r="X62" s="2"/>
      <c r="Y62" s="2"/>
      <c r="Z62" s="2"/>
      <c r="AA62" s="2"/>
      <c r="AB62" s="2"/>
      <c r="AC62" s="2"/>
    </row>
    <row r="63" spans="1:29" ht="39">
      <c r="A63" s="5">
        <v>58</v>
      </c>
      <c r="B63" s="6" t="s">
        <v>436</v>
      </c>
      <c r="C63" s="5">
        <v>3121340033</v>
      </c>
      <c r="D63" s="90" t="s">
        <v>392</v>
      </c>
      <c r="E63" s="8" t="s">
        <v>437</v>
      </c>
      <c r="F63" s="9" t="s">
        <v>431</v>
      </c>
      <c r="G63" s="8"/>
      <c r="H63" s="6" t="s">
        <v>438</v>
      </c>
      <c r="I63" s="6" t="s">
        <v>439</v>
      </c>
      <c r="J63" s="6" t="s">
        <v>274</v>
      </c>
      <c r="K63" s="6" t="s">
        <v>440</v>
      </c>
      <c r="L63" s="6" t="s">
        <v>441</v>
      </c>
      <c r="M63" s="10" t="s">
        <v>60</v>
      </c>
      <c r="N63" s="10" t="s">
        <v>28</v>
      </c>
      <c r="O63" s="6"/>
      <c r="P63" s="6"/>
      <c r="Q63" s="62"/>
      <c r="R63" s="2"/>
      <c r="S63" s="2"/>
      <c r="T63" s="2"/>
      <c r="U63" s="2"/>
      <c r="V63" s="2"/>
      <c r="W63" s="2"/>
      <c r="X63" s="2"/>
      <c r="Y63" s="2"/>
      <c r="Z63" s="2"/>
      <c r="AA63" s="2"/>
      <c r="AB63" s="2"/>
      <c r="AC63" s="2"/>
    </row>
    <row r="64" spans="1:29" ht="13" customHeight="1">
      <c r="A64" s="5">
        <v>59</v>
      </c>
      <c r="B64" s="14" t="s">
        <v>442</v>
      </c>
      <c r="C64" s="15">
        <v>3121150147</v>
      </c>
      <c r="D64" s="92" t="s">
        <v>443</v>
      </c>
      <c r="E64" s="8">
        <f>VLOOKUP(C64,'Trang tính3'!$B$10:$H$377,7,0)</f>
        <v>95.5</v>
      </c>
      <c r="F64" s="9" t="str">
        <f>VLOOKUP(C64,'Trang tính2'!$B$1:$D$175,3,0)</f>
        <v>3.73</v>
      </c>
      <c r="G64" s="9"/>
      <c r="H64" s="14" t="s">
        <v>444</v>
      </c>
      <c r="I64" s="14" t="s">
        <v>445</v>
      </c>
      <c r="J64" s="14" t="s">
        <v>446</v>
      </c>
      <c r="K64" s="14" t="s">
        <v>447</v>
      </c>
      <c r="L64" s="14" t="s">
        <v>448</v>
      </c>
      <c r="M64" s="16"/>
      <c r="N64" s="16" t="s">
        <v>28</v>
      </c>
      <c r="O64" s="17" t="s">
        <v>449</v>
      </c>
      <c r="P64" s="17" t="s">
        <v>450</v>
      </c>
      <c r="Q64" s="63" t="s">
        <v>451</v>
      </c>
      <c r="R64" s="2"/>
      <c r="S64" s="2"/>
      <c r="T64" s="2"/>
      <c r="U64" s="2"/>
      <c r="V64" s="2"/>
      <c r="W64" s="2"/>
      <c r="X64" s="2"/>
      <c r="Y64" s="2"/>
      <c r="Z64" s="2"/>
      <c r="AA64" s="2"/>
      <c r="AB64" s="2"/>
      <c r="AC64" s="2"/>
    </row>
    <row r="65" spans="1:29" ht="26">
      <c r="A65" s="5">
        <v>60</v>
      </c>
      <c r="B65" s="14" t="s">
        <v>452</v>
      </c>
      <c r="C65" s="15">
        <v>3121150036</v>
      </c>
      <c r="D65" s="92" t="s">
        <v>443</v>
      </c>
      <c r="E65" s="8">
        <f>VLOOKUP(C65,'Trang tính3'!$B$10:$H$377,7,0)</f>
        <v>97.5</v>
      </c>
      <c r="F65" s="9" t="str">
        <f>VLOOKUP(C65,'Trang tính2'!$B$1:$D$175,3,0)</f>
        <v>3.54</v>
      </c>
      <c r="G65" s="9"/>
      <c r="H65" s="14"/>
      <c r="I65" s="14"/>
      <c r="J65" s="14" t="s">
        <v>453</v>
      </c>
      <c r="K65" s="14"/>
      <c r="L65" s="14"/>
      <c r="M65" s="16"/>
      <c r="N65" s="16" t="s">
        <v>72</v>
      </c>
      <c r="O65" s="17" t="s">
        <v>454</v>
      </c>
      <c r="P65" s="17" t="s">
        <v>455</v>
      </c>
      <c r="Q65" s="61"/>
      <c r="R65" s="2"/>
      <c r="S65" s="2"/>
      <c r="T65" s="2"/>
      <c r="U65" s="2"/>
      <c r="V65" s="2"/>
      <c r="W65" s="2"/>
      <c r="X65" s="2"/>
      <c r="Y65" s="2"/>
      <c r="Z65" s="2"/>
      <c r="AA65" s="2"/>
      <c r="AB65" s="2"/>
      <c r="AC65" s="2"/>
    </row>
    <row r="66" spans="1:29" ht="26">
      <c r="A66" s="5">
        <v>61</v>
      </c>
      <c r="B66" s="14" t="s">
        <v>456</v>
      </c>
      <c r="C66" s="15">
        <v>3121150004</v>
      </c>
      <c r="D66" s="92" t="s">
        <v>443</v>
      </c>
      <c r="E66" s="8">
        <f>VLOOKUP(C66,'Trang tính3'!$B$10:$H$377,7,0)</f>
        <v>97.5</v>
      </c>
      <c r="F66" s="9" t="str">
        <f>VLOOKUP(C66,'Trang tính2'!$B$1:$D$175,3,0)</f>
        <v>3.70</v>
      </c>
      <c r="G66" s="9"/>
      <c r="H66" s="14" t="s">
        <v>457</v>
      </c>
      <c r="I66" s="14" t="s">
        <v>458</v>
      </c>
      <c r="J66" s="14" t="s">
        <v>446</v>
      </c>
      <c r="K66" s="14" t="s">
        <v>459</v>
      </c>
      <c r="L66" s="14" t="s">
        <v>460</v>
      </c>
      <c r="M66" s="16"/>
      <c r="N66" s="16" t="s">
        <v>28</v>
      </c>
      <c r="O66" s="17" t="s">
        <v>461</v>
      </c>
      <c r="P66" s="17" t="s">
        <v>462</v>
      </c>
      <c r="Q66" s="61"/>
      <c r="R66" s="2"/>
      <c r="S66" s="2"/>
      <c r="T66" s="2"/>
      <c r="U66" s="2"/>
      <c r="V66" s="2"/>
      <c r="W66" s="2"/>
      <c r="X66" s="2"/>
      <c r="Y66" s="2"/>
      <c r="Z66" s="2"/>
      <c r="AA66" s="2"/>
      <c r="AB66" s="2"/>
      <c r="AC66" s="2"/>
    </row>
    <row r="67" spans="1:29" ht="26">
      <c r="A67" s="5">
        <v>62</v>
      </c>
      <c r="B67" s="14" t="s">
        <v>463</v>
      </c>
      <c r="C67" s="15">
        <v>3122150011</v>
      </c>
      <c r="D67" s="92" t="s">
        <v>443</v>
      </c>
      <c r="E67" s="8">
        <f>VLOOKUP(C67,'Trang tính3'!$B$10:$H$377,7,0)</f>
        <v>93.5</v>
      </c>
      <c r="F67" s="9" t="str">
        <f>VLOOKUP(C67,'Trang tính2'!$B$1:$D$175,3,0)</f>
        <v>3.81</v>
      </c>
      <c r="G67" s="9"/>
      <c r="H67" s="14" t="s">
        <v>464</v>
      </c>
      <c r="I67" s="14" t="s">
        <v>465</v>
      </c>
      <c r="J67" s="14" t="s">
        <v>466</v>
      </c>
      <c r="K67" s="14" t="s">
        <v>467</v>
      </c>
      <c r="L67" s="14" t="s">
        <v>468</v>
      </c>
      <c r="M67" s="16"/>
      <c r="N67" s="16" t="s">
        <v>28</v>
      </c>
      <c r="O67" s="17" t="s">
        <v>469</v>
      </c>
      <c r="P67" s="17" t="s">
        <v>470</v>
      </c>
      <c r="Q67" s="61"/>
      <c r="R67" s="2"/>
      <c r="S67" s="2"/>
      <c r="T67" s="2"/>
      <c r="U67" s="2"/>
      <c r="V67" s="2"/>
      <c r="W67" s="2"/>
      <c r="X67" s="2"/>
      <c r="Y67" s="2"/>
      <c r="Z67" s="2"/>
      <c r="AA67" s="2"/>
      <c r="AB67" s="2"/>
      <c r="AC67" s="2"/>
    </row>
    <row r="68" spans="1:29" ht="26">
      <c r="A68" s="5">
        <v>63</v>
      </c>
      <c r="B68" s="14" t="s">
        <v>471</v>
      </c>
      <c r="C68" s="15">
        <v>3122150033</v>
      </c>
      <c r="D68" s="92" t="s">
        <v>443</v>
      </c>
      <c r="E68" s="8">
        <f>VLOOKUP(C68,'Trang tính3'!$B$10:$H$377,7,0)</f>
        <v>100</v>
      </c>
      <c r="F68" s="9" t="str">
        <f>VLOOKUP(C68,'Trang tính2'!$B$1:$D$175,3,0)</f>
        <v>3.53</v>
      </c>
      <c r="G68" s="9"/>
      <c r="H68" s="14" t="s">
        <v>464</v>
      </c>
      <c r="I68" s="14" t="s">
        <v>472</v>
      </c>
      <c r="J68" s="14" t="s">
        <v>466</v>
      </c>
      <c r="K68" s="14" t="s">
        <v>467</v>
      </c>
      <c r="L68" s="14" t="s">
        <v>473</v>
      </c>
      <c r="M68" s="16"/>
      <c r="N68" s="16" t="s">
        <v>28</v>
      </c>
      <c r="O68" s="17" t="s">
        <v>474</v>
      </c>
      <c r="P68" s="17" t="s">
        <v>475</v>
      </c>
      <c r="Q68" s="61"/>
      <c r="R68" s="2"/>
      <c r="S68" s="2"/>
      <c r="T68" s="2"/>
      <c r="U68" s="2"/>
      <c r="V68" s="2"/>
      <c r="W68" s="2"/>
      <c r="X68" s="2"/>
      <c r="Y68" s="2"/>
      <c r="Z68" s="2"/>
      <c r="AA68" s="2"/>
      <c r="AB68" s="2"/>
      <c r="AC68" s="2"/>
    </row>
    <row r="69" spans="1:29" ht="26">
      <c r="A69" s="5">
        <v>64</v>
      </c>
      <c r="B69" s="14" t="s">
        <v>476</v>
      </c>
      <c r="C69" s="15">
        <v>3122150042</v>
      </c>
      <c r="D69" s="92" t="s">
        <v>443</v>
      </c>
      <c r="E69" s="8">
        <f>VLOOKUP(C69,'Trang tính3'!$B$10:$H$377,7,0)</f>
        <v>90.5</v>
      </c>
      <c r="F69" s="9">
        <f>VLOOKUP(C69,'Trang tính2'!$B$1:$D$175,3,0)</f>
        <v>3.11</v>
      </c>
      <c r="G69" s="9"/>
      <c r="H69" s="14" t="s">
        <v>477</v>
      </c>
      <c r="I69" s="14" t="s">
        <v>478</v>
      </c>
      <c r="J69" s="14" t="s">
        <v>479</v>
      </c>
      <c r="K69" s="14" t="s">
        <v>480</v>
      </c>
      <c r="L69" s="14" t="s">
        <v>481</v>
      </c>
      <c r="M69" s="16"/>
      <c r="N69" s="16" t="s">
        <v>28</v>
      </c>
      <c r="O69" s="17" t="s">
        <v>482</v>
      </c>
      <c r="P69" s="17" t="s">
        <v>483</v>
      </c>
      <c r="Q69" s="61"/>
      <c r="R69" s="2"/>
      <c r="S69" s="2"/>
      <c r="T69" s="2"/>
      <c r="U69" s="2"/>
      <c r="V69" s="2"/>
      <c r="W69" s="2"/>
      <c r="X69" s="2"/>
      <c r="Y69" s="2"/>
      <c r="Z69" s="2"/>
      <c r="AA69" s="2"/>
      <c r="AB69" s="2"/>
      <c r="AC69" s="2"/>
    </row>
    <row r="70" spans="1:29" ht="26">
      <c r="A70" s="5">
        <v>65</v>
      </c>
      <c r="B70" s="14" t="s">
        <v>484</v>
      </c>
      <c r="C70" s="15">
        <v>3122150070</v>
      </c>
      <c r="D70" s="92" t="s">
        <v>443</v>
      </c>
      <c r="E70" s="8">
        <f>VLOOKUP(C70,'Trang tính3'!$B$10:$H$377,7,0)</f>
        <v>98</v>
      </c>
      <c r="F70" s="9" t="str">
        <f>VLOOKUP(C70,'Trang tính2'!$B$1:$D$175,3,0)</f>
        <v>3.77</v>
      </c>
      <c r="G70" s="9"/>
      <c r="H70" s="14" t="s">
        <v>485</v>
      </c>
      <c r="I70" s="14" t="s">
        <v>486</v>
      </c>
      <c r="J70" s="14" t="s">
        <v>487</v>
      </c>
      <c r="K70" s="14" t="s">
        <v>488</v>
      </c>
      <c r="L70" s="14" t="s">
        <v>489</v>
      </c>
      <c r="M70" s="16"/>
      <c r="N70" s="16" t="s">
        <v>28</v>
      </c>
      <c r="O70" s="17" t="s">
        <v>490</v>
      </c>
      <c r="P70" s="17" t="s">
        <v>491</v>
      </c>
      <c r="Q70" s="61"/>
      <c r="R70" s="2"/>
      <c r="S70" s="2"/>
      <c r="T70" s="2"/>
      <c r="U70" s="2"/>
      <c r="V70" s="2"/>
      <c r="W70" s="2"/>
      <c r="X70" s="2"/>
      <c r="Y70" s="2"/>
      <c r="Z70" s="2"/>
      <c r="AA70" s="2"/>
      <c r="AB70" s="2"/>
      <c r="AC70" s="2"/>
    </row>
    <row r="71" spans="1:29" ht="26">
      <c r="A71" s="5">
        <v>66</v>
      </c>
      <c r="B71" s="14" t="s">
        <v>492</v>
      </c>
      <c r="C71" s="15">
        <v>3122150143</v>
      </c>
      <c r="D71" s="92" t="s">
        <v>443</v>
      </c>
      <c r="E71" s="8">
        <f>VLOOKUP(C71,'Trang tính3'!$B$10:$H$377,7,0)</f>
        <v>99.5</v>
      </c>
      <c r="F71" s="9" t="str">
        <f>VLOOKUP(C71,'Trang tính2'!$B$1:$D$175,3,0)</f>
        <v>3.88</v>
      </c>
      <c r="G71" s="9"/>
      <c r="H71" s="14" t="s">
        <v>493</v>
      </c>
      <c r="I71" s="14" t="s">
        <v>494</v>
      </c>
      <c r="J71" s="14" t="s">
        <v>495</v>
      </c>
      <c r="K71" s="14" t="s">
        <v>496</v>
      </c>
      <c r="L71" s="14" t="s">
        <v>497</v>
      </c>
      <c r="M71" s="16"/>
      <c r="N71" s="16" t="s">
        <v>28</v>
      </c>
      <c r="O71" s="17" t="s">
        <v>498</v>
      </c>
      <c r="P71" s="17" t="s">
        <v>499</v>
      </c>
      <c r="Q71" s="61"/>
      <c r="R71" s="2"/>
      <c r="S71" s="2"/>
      <c r="T71" s="2"/>
      <c r="U71" s="2"/>
      <c r="V71" s="2"/>
      <c r="W71" s="2"/>
      <c r="X71" s="2"/>
      <c r="Y71" s="2"/>
      <c r="Z71" s="2"/>
      <c r="AA71" s="2"/>
      <c r="AB71" s="2"/>
      <c r="AC71" s="2"/>
    </row>
    <row r="72" spans="1:29" ht="26">
      <c r="A72" s="5">
        <v>67</v>
      </c>
      <c r="B72" s="14" t="s">
        <v>500</v>
      </c>
      <c r="C72" s="15">
        <v>3122150146</v>
      </c>
      <c r="D72" s="92" t="s">
        <v>443</v>
      </c>
      <c r="E72" s="8">
        <f>VLOOKUP(C72,'Trang tính3'!$B$10:$H$377,7,0)</f>
        <v>100</v>
      </c>
      <c r="F72" s="9" t="str">
        <f>VLOOKUP(C72,'Trang tính2'!$B$1:$D$175,3,0)</f>
        <v>3.68</v>
      </c>
      <c r="G72" s="9"/>
      <c r="H72" s="14" t="s">
        <v>501</v>
      </c>
      <c r="I72" s="14" t="s">
        <v>502</v>
      </c>
      <c r="J72" s="14" t="s">
        <v>503</v>
      </c>
      <c r="K72" s="14" t="s">
        <v>504</v>
      </c>
      <c r="L72" s="14" t="s">
        <v>505</v>
      </c>
      <c r="M72" s="16"/>
      <c r="N72" s="16" t="s">
        <v>28</v>
      </c>
      <c r="O72" s="17" t="s">
        <v>506</v>
      </c>
      <c r="P72" s="17" t="s">
        <v>507</v>
      </c>
      <c r="Q72" s="61"/>
      <c r="R72" s="2"/>
      <c r="S72" s="2"/>
      <c r="T72" s="2"/>
      <c r="U72" s="2"/>
      <c r="V72" s="2"/>
      <c r="W72" s="2"/>
      <c r="X72" s="2"/>
      <c r="Y72" s="2"/>
      <c r="Z72" s="2"/>
      <c r="AA72" s="2"/>
      <c r="AB72" s="2"/>
      <c r="AC72" s="2"/>
    </row>
    <row r="73" spans="1:29" ht="26">
      <c r="A73" s="5">
        <v>68</v>
      </c>
      <c r="B73" s="14" t="s">
        <v>508</v>
      </c>
      <c r="C73" s="15">
        <v>3122150155</v>
      </c>
      <c r="D73" s="92" t="s">
        <v>443</v>
      </c>
      <c r="E73" s="8">
        <f>VLOOKUP(C73,'Trang tính3'!$B$10:$H$377,7,0)</f>
        <v>99.5</v>
      </c>
      <c r="F73" s="9" t="str">
        <f>VLOOKUP(C73,'Trang tính2'!$B$1:$D$175,3,0)</f>
        <v>3.88</v>
      </c>
      <c r="G73" s="9"/>
      <c r="H73" s="14"/>
      <c r="I73" s="14"/>
      <c r="J73" s="14"/>
      <c r="K73" s="14"/>
      <c r="L73" s="14"/>
      <c r="M73" s="16"/>
      <c r="N73" s="16" t="s">
        <v>72</v>
      </c>
      <c r="O73" s="14"/>
      <c r="P73" s="14"/>
      <c r="Q73" s="61"/>
      <c r="R73" s="2"/>
      <c r="S73" s="2"/>
      <c r="T73" s="2"/>
      <c r="U73" s="2"/>
      <c r="V73" s="2"/>
      <c r="W73" s="2"/>
      <c r="X73" s="2"/>
      <c r="Y73" s="2"/>
      <c r="Z73" s="2"/>
      <c r="AA73" s="2"/>
      <c r="AB73" s="2"/>
      <c r="AC73" s="2"/>
    </row>
    <row r="74" spans="1:29" ht="26">
      <c r="A74" s="5">
        <v>69</v>
      </c>
      <c r="B74" s="14" t="s">
        <v>509</v>
      </c>
      <c r="C74" s="15">
        <v>3122150158</v>
      </c>
      <c r="D74" s="92" t="s">
        <v>443</v>
      </c>
      <c r="E74" s="8">
        <f>VLOOKUP(C74,'Trang tính3'!$B$10:$H$377,7,0)</f>
        <v>100</v>
      </c>
      <c r="F74" s="9" t="str">
        <f>VLOOKUP(C74,'Trang tính2'!$B$1:$D$175,3,0)</f>
        <v>3.63</v>
      </c>
      <c r="G74" s="9"/>
      <c r="H74" s="14" t="s">
        <v>510</v>
      </c>
      <c r="I74" s="14" t="s">
        <v>511</v>
      </c>
      <c r="J74" s="14" t="s">
        <v>512</v>
      </c>
      <c r="K74" s="14" t="s">
        <v>513</v>
      </c>
      <c r="L74" s="14" t="s">
        <v>514</v>
      </c>
      <c r="M74" s="16"/>
      <c r="N74" s="16" t="s">
        <v>28</v>
      </c>
      <c r="O74" s="17" t="s">
        <v>515</v>
      </c>
      <c r="P74" s="17" t="s">
        <v>516</v>
      </c>
      <c r="Q74" s="61"/>
      <c r="R74" s="2"/>
      <c r="S74" s="2"/>
      <c r="T74" s="2"/>
      <c r="U74" s="2"/>
      <c r="V74" s="2"/>
      <c r="W74" s="2"/>
      <c r="X74" s="2"/>
      <c r="Y74" s="2"/>
      <c r="Z74" s="2"/>
      <c r="AA74" s="2"/>
      <c r="AB74" s="2"/>
      <c r="AC74" s="2"/>
    </row>
    <row r="75" spans="1:29" ht="26">
      <c r="A75" s="5">
        <v>70</v>
      </c>
      <c r="B75" s="14" t="s">
        <v>517</v>
      </c>
      <c r="C75" s="15">
        <v>3122150161</v>
      </c>
      <c r="D75" s="92" t="s">
        <v>443</v>
      </c>
      <c r="E75" s="8">
        <f>VLOOKUP(C75,'Trang tính3'!$B$10:$H$377,7,0)</f>
        <v>86.5</v>
      </c>
      <c r="F75" s="9" t="str">
        <f>VLOOKUP(C75,'Trang tính2'!$B$1:$D$175,3,0)</f>
        <v>3.54</v>
      </c>
      <c r="G75" s="9"/>
      <c r="H75" s="14"/>
      <c r="I75" s="14"/>
      <c r="J75" s="14"/>
      <c r="K75" s="14"/>
      <c r="L75" s="14"/>
      <c r="M75" s="16"/>
      <c r="N75" s="16" t="s">
        <v>72</v>
      </c>
      <c r="O75" s="14"/>
      <c r="P75" s="14"/>
      <c r="Q75" s="61"/>
      <c r="R75" s="2"/>
      <c r="S75" s="2"/>
      <c r="T75" s="2"/>
      <c r="U75" s="2"/>
      <c r="V75" s="2"/>
      <c r="W75" s="2"/>
      <c r="X75" s="2"/>
      <c r="Y75" s="2"/>
      <c r="Z75" s="2"/>
      <c r="AA75" s="2"/>
      <c r="AB75" s="2"/>
      <c r="AC75" s="2"/>
    </row>
    <row r="76" spans="1:29" ht="26">
      <c r="A76" s="5">
        <v>71</v>
      </c>
      <c r="B76" s="14" t="s">
        <v>518</v>
      </c>
      <c r="C76" s="15">
        <v>3122150005</v>
      </c>
      <c r="D76" s="92" t="s">
        <v>443</v>
      </c>
      <c r="E76" s="8">
        <f>VLOOKUP(C76,'Trang tính3'!$B$10:$H$377,7,0)</f>
        <v>96.5</v>
      </c>
      <c r="F76" s="9" t="str">
        <f>VLOOKUP(C76,'Trang tính2'!$B$1:$D$175,3,0)</f>
        <v>3.45</v>
      </c>
      <c r="G76" s="9"/>
      <c r="H76" s="14" t="s">
        <v>519</v>
      </c>
      <c r="I76" s="14" t="s">
        <v>520</v>
      </c>
      <c r="J76" s="14" t="s">
        <v>521</v>
      </c>
      <c r="K76" s="14" t="s">
        <v>522</v>
      </c>
      <c r="L76" s="14" t="s">
        <v>523</v>
      </c>
      <c r="M76" s="16"/>
      <c r="N76" s="16" t="s">
        <v>28</v>
      </c>
      <c r="O76" s="17" t="s">
        <v>524</v>
      </c>
      <c r="P76" s="17" t="s">
        <v>525</v>
      </c>
      <c r="Q76" s="61"/>
      <c r="R76" s="2"/>
      <c r="S76" s="2"/>
      <c r="T76" s="2"/>
      <c r="U76" s="2"/>
      <c r="V76" s="2"/>
      <c r="W76" s="2"/>
      <c r="X76" s="2"/>
      <c r="Y76" s="2"/>
      <c r="Z76" s="2"/>
      <c r="AA76" s="2"/>
      <c r="AB76" s="2"/>
      <c r="AC76" s="2"/>
    </row>
    <row r="77" spans="1:29" ht="26">
      <c r="A77" s="5">
        <v>72</v>
      </c>
      <c r="B77" s="14" t="s">
        <v>526</v>
      </c>
      <c r="C77" s="15">
        <v>3122150055</v>
      </c>
      <c r="D77" s="92" t="s">
        <v>443</v>
      </c>
      <c r="E77" s="8">
        <f>VLOOKUP(C77,'Trang tính3'!$B$10:$H$377,7,0)</f>
        <v>89.5</v>
      </c>
      <c r="F77" s="9" t="str">
        <f>VLOOKUP(C77,'Trang tính2'!$B$1:$D$175,3,0)</f>
        <v>3.41</v>
      </c>
      <c r="G77" s="9"/>
      <c r="H77" s="14" t="s">
        <v>527</v>
      </c>
      <c r="I77" s="14" t="s">
        <v>528</v>
      </c>
      <c r="J77" s="14" t="s">
        <v>529</v>
      </c>
      <c r="K77" s="14" t="s">
        <v>530</v>
      </c>
      <c r="L77" s="14" t="s">
        <v>531</v>
      </c>
      <c r="M77" s="16"/>
      <c r="N77" s="16" t="s">
        <v>28</v>
      </c>
      <c r="O77" s="14"/>
      <c r="P77" s="14"/>
      <c r="Q77" s="61"/>
      <c r="R77" s="2"/>
      <c r="S77" s="2"/>
      <c r="T77" s="2"/>
      <c r="U77" s="2"/>
      <c r="V77" s="2"/>
      <c r="W77" s="2"/>
      <c r="X77" s="2"/>
      <c r="Y77" s="2"/>
      <c r="Z77" s="2"/>
      <c r="AA77" s="2"/>
      <c r="AB77" s="2"/>
      <c r="AC77" s="2"/>
    </row>
    <row r="78" spans="1:29" ht="26">
      <c r="A78" s="5">
        <v>73</v>
      </c>
      <c r="B78" s="14" t="s">
        <v>532</v>
      </c>
      <c r="C78" s="15">
        <v>3122150061</v>
      </c>
      <c r="D78" s="92" t="s">
        <v>443</v>
      </c>
      <c r="E78" s="8">
        <f>VLOOKUP(C78,'Trang tính3'!$B$10:$H$377,7,0)</f>
        <v>84</v>
      </c>
      <c r="F78" s="9" t="str">
        <f>VLOOKUP(C78,'Trang tính2'!$B$1:$D$175,3,0)</f>
        <v>3.70</v>
      </c>
      <c r="G78" s="9"/>
      <c r="H78" s="14"/>
      <c r="I78" s="14"/>
      <c r="J78" s="14"/>
      <c r="K78" s="14"/>
      <c r="L78" s="14"/>
      <c r="M78" s="16"/>
      <c r="N78" s="16" t="s">
        <v>72</v>
      </c>
      <c r="O78" s="14"/>
      <c r="P78" s="14"/>
      <c r="Q78" s="61"/>
      <c r="R78" s="2"/>
      <c r="S78" s="2"/>
      <c r="T78" s="2"/>
      <c r="U78" s="2"/>
      <c r="V78" s="2"/>
      <c r="W78" s="2"/>
      <c r="X78" s="2"/>
      <c r="Y78" s="2"/>
      <c r="Z78" s="2"/>
      <c r="AA78" s="2"/>
      <c r="AB78" s="2"/>
      <c r="AC78" s="2"/>
    </row>
    <row r="79" spans="1:29" ht="26">
      <c r="A79" s="5">
        <v>74</v>
      </c>
      <c r="B79" s="14" t="s">
        <v>533</v>
      </c>
      <c r="C79" s="15">
        <v>3122150122</v>
      </c>
      <c r="D79" s="92" t="s">
        <v>443</v>
      </c>
      <c r="E79" s="8">
        <f>VLOOKUP(C79,'Trang tính3'!$B$10:$H$377,7,0)</f>
        <v>96</v>
      </c>
      <c r="F79" s="9" t="str">
        <f>VLOOKUP(C79,'Trang tính2'!$B$1:$D$175,3,0)</f>
        <v>3.79</v>
      </c>
      <c r="G79" s="9"/>
      <c r="H79" s="14" t="s">
        <v>534</v>
      </c>
      <c r="I79" s="14" t="s">
        <v>535</v>
      </c>
      <c r="J79" s="14" t="s">
        <v>536</v>
      </c>
      <c r="K79" s="14" t="s">
        <v>537</v>
      </c>
      <c r="L79" s="14" t="s">
        <v>538</v>
      </c>
      <c r="M79" s="16"/>
      <c r="N79" s="16" t="s">
        <v>28</v>
      </c>
      <c r="O79" s="14"/>
      <c r="P79" s="14"/>
      <c r="Q79" s="61"/>
      <c r="R79" s="2"/>
      <c r="S79" s="2"/>
      <c r="T79" s="2"/>
      <c r="U79" s="2"/>
      <c r="V79" s="2"/>
      <c r="W79" s="2"/>
      <c r="X79" s="2"/>
      <c r="Y79" s="2"/>
      <c r="Z79" s="2"/>
      <c r="AA79" s="2"/>
      <c r="AB79" s="2"/>
      <c r="AC79" s="2"/>
    </row>
    <row r="80" spans="1:29" ht="26">
      <c r="A80" s="5">
        <v>75</v>
      </c>
      <c r="B80" s="14" t="s">
        <v>539</v>
      </c>
      <c r="C80" s="15">
        <v>3122150128</v>
      </c>
      <c r="D80" s="92" t="s">
        <v>443</v>
      </c>
      <c r="E80" s="8">
        <f>VLOOKUP(C80,'Trang tính3'!$B$10:$H$377,7,0)</f>
        <v>96</v>
      </c>
      <c r="F80" s="9" t="str">
        <f>VLOOKUP(C80,'Trang tính2'!$B$1:$D$175,3,0)</f>
        <v>3.73</v>
      </c>
      <c r="G80" s="9"/>
      <c r="H80" s="14" t="s">
        <v>540</v>
      </c>
      <c r="I80" s="14" t="s">
        <v>541</v>
      </c>
      <c r="J80" s="14" t="s">
        <v>542</v>
      </c>
      <c r="K80" s="14" t="s">
        <v>543</v>
      </c>
      <c r="L80" s="14" t="s">
        <v>544</v>
      </c>
      <c r="M80" s="16"/>
      <c r="N80" s="16" t="s">
        <v>28</v>
      </c>
      <c r="O80" s="14"/>
      <c r="P80" s="14"/>
      <c r="Q80" s="61"/>
      <c r="R80" s="2"/>
      <c r="S80" s="2"/>
      <c r="T80" s="2"/>
      <c r="U80" s="2"/>
      <c r="V80" s="2"/>
      <c r="W80" s="2"/>
      <c r="X80" s="2"/>
      <c r="Y80" s="2"/>
      <c r="Z80" s="2"/>
      <c r="AA80" s="2"/>
      <c r="AB80" s="2"/>
      <c r="AC80" s="2"/>
    </row>
    <row r="81" spans="1:29" ht="26">
      <c r="A81" s="5">
        <v>76</v>
      </c>
      <c r="B81" s="14" t="s">
        <v>545</v>
      </c>
      <c r="C81" s="15">
        <v>3122150147</v>
      </c>
      <c r="D81" s="92" t="s">
        <v>443</v>
      </c>
      <c r="E81" s="8">
        <f>VLOOKUP(C81,'Trang tính3'!$B$10:$H$377,7,0)</f>
        <v>93.5</v>
      </c>
      <c r="F81" s="9" t="str">
        <f>VLOOKUP(C81,'Trang tính2'!$B$1:$D$175,3,0)</f>
        <v>3.79</v>
      </c>
      <c r="G81" s="9"/>
      <c r="H81" s="14" t="s">
        <v>546</v>
      </c>
      <c r="I81" s="14" t="s">
        <v>547</v>
      </c>
      <c r="J81" s="14" t="s">
        <v>548</v>
      </c>
      <c r="K81" s="14" t="s">
        <v>549</v>
      </c>
      <c r="L81" s="14" t="s">
        <v>550</v>
      </c>
      <c r="M81" s="16"/>
      <c r="N81" s="16" t="s">
        <v>28</v>
      </c>
      <c r="O81" s="14"/>
      <c r="P81" s="14"/>
      <c r="Q81" s="61"/>
      <c r="R81" s="2"/>
      <c r="S81" s="2"/>
      <c r="T81" s="2"/>
      <c r="U81" s="2"/>
      <c r="V81" s="2"/>
      <c r="W81" s="2"/>
      <c r="X81" s="2"/>
      <c r="Y81" s="2"/>
      <c r="Z81" s="2"/>
      <c r="AA81" s="2"/>
      <c r="AB81" s="2"/>
      <c r="AC81" s="2"/>
    </row>
    <row r="82" spans="1:29" ht="26">
      <c r="A82" s="5">
        <v>77</v>
      </c>
      <c r="B82" s="14" t="s">
        <v>551</v>
      </c>
      <c r="C82" s="15">
        <v>3122150162</v>
      </c>
      <c r="D82" s="92" t="s">
        <v>443</v>
      </c>
      <c r="E82" s="8">
        <f>VLOOKUP(C82,'Trang tính3'!$B$10:$H$377,7,0)</f>
        <v>91.5</v>
      </c>
      <c r="F82" s="9" t="str">
        <f>VLOOKUP(C82,'Trang tính2'!$B$1:$D$175,3,0)</f>
        <v>3.53</v>
      </c>
      <c r="G82" s="9"/>
      <c r="H82" s="14"/>
      <c r="I82" s="14"/>
      <c r="J82" s="14"/>
      <c r="K82" s="14"/>
      <c r="L82" s="14"/>
      <c r="M82" s="16"/>
      <c r="N82" s="16" t="s">
        <v>72</v>
      </c>
      <c r="O82" s="14"/>
      <c r="P82" s="14"/>
      <c r="Q82" s="61"/>
      <c r="R82" s="2"/>
      <c r="S82" s="2"/>
      <c r="T82" s="2"/>
      <c r="U82" s="2"/>
      <c r="V82" s="2"/>
      <c r="W82" s="2"/>
      <c r="X82" s="2"/>
      <c r="Y82" s="2"/>
      <c r="Z82" s="2"/>
      <c r="AA82" s="2"/>
      <c r="AB82" s="2"/>
      <c r="AC82" s="2"/>
    </row>
    <row r="83" spans="1:29" ht="26">
      <c r="A83" s="5">
        <v>78</v>
      </c>
      <c r="B83" s="14" t="s">
        <v>552</v>
      </c>
      <c r="C83" s="15">
        <v>3122150169</v>
      </c>
      <c r="D83" s="92" t="s">
        <v>443</v>
      </c>
      <c r="E83" s="8">
        <f>VLOOKUP(C83,'Trang tính3'!$B$10:$H$377,7,0)</f>
        <v>96.5</v>
      </c>
      <c r="F83" s="9" t="str">
        <f>VLOOKUP(C83,'Trang tính2'!$B$1:$D$175,3,0)</f>
        <v>3.74</v>
      </c>
      <c r="G83" s="9"/>
      <c r="H83" s="14"/>
      <c r="I83" s="14"/>
      <c r="J83" s="14"/>
      <c r="K83" s="14"/>
      <c r="L83" s="14"/>
      <c r="M83" s="16"/>
      <c r="N83" s="16" t="s">
        <v>72</v>
      </c>
      <c r="O83" s="14"/>
      <c r="P83" s="14"/>
      <c r="Q83" s="61"/>
      <c r="R83" s="2"/>
      <c r="S83" s="2"/>
      <c r="T83" s="2"/>
      <c r="U83" s="2"/>
      <c r="V83" s="2"/>
      <c r="W83" s="2"/>
      <c r="X83" s="2"/>
      <c r="Y83" s="2"/>
      <c r="Z83" s="2"/>
      <c r="AA83" s="2"/>
      <c r="AB83" s="2"/>
      <c r="AC83" s="2"/>
    </row>
    <row r="84" spans="1:29" ht="26">
      <c r="A84" s="5">
        <v>79</v>
      </c>
      <c r="B84" s="14" t="s">
        <v>553</v>
      </c>
      <c r="C84" s="15">
        <v>3122150044</v>
      </c>
      <c r="D84" s="92" t="s">
        <v>443</v>
      </c>
      <c r="E84" s="8">
        <f>VLOOKUP(C84,'Trang tính3'!$B$10:$H$377,7,0)</f>
        <v>99</v>
      </c>
      <c r="F84" s="9" t="str">
        <f>VLOOKUP(C84,'Trang tính2'!$B$1:$D$175,3,0)</f>
        <v>3.72</v>
      </c>
      <c r="G84" s="9"/>
      <c r="H84" s="14" t="s">
        <v>554</v>
      </c>
      <c r="I84" s="14" t="s">
        <v>555</v>
      </c>
      <c r="J84" s="14" t="s">
        <v>556</v>
      </c>
      <c r="K84" s="14" t="s">
        <v>557</v>
      </c>
      <c r="L84" s="14" t="s">
        <v>558</v>
      </c>
      <c r="M84" s="16"/>
      <c r="N84" s="16" t="s">
        <v>28</v>
      </c>
      <c r="O84" s="14"/>
      <c r="P84" s="14"/>
      <c r="Q84" s="61"/>
      <c r="R84" s="2"/>
      <c r="S84" s="2"/>
      <c r="T84" s="2"/>
      <c r="U84" s="2"/>
      <c r="V84" s="2"/>
      <c r="W84" s="2"/>
      <c r="X84" s="2"/>
      <c r="Y84" s="2"/>
      <c r="Z84" s="2"/>
      <c r="AA84" s="2"/>
      <c r="AB84" s="2"/>
      <c r="AC84" s="2"/>
    </row>
    <row r="85" spans="1:29" ht="26">
      <c r="A85" s="5">
        <v>80</v>
      </c>
      <c r="B85" s="14" t="s">
        <v>559</v>
      </c>
      <c r="C85" s="15">
        <v>3122150072</v>
      </c>
      <c r="D85" s="92" t="s">
        <v>443</v>
      </c>
      <c r="E85" s="8">
        <f>VLOOKUP(C85,'Trang tính3'!$B$10:$H$377,7,0)</f>
        <v>95.5</v>
      </c>
      <c r="F85" s="9" t="str">
        <f>VLOOKUP(C85,'Trang tính2'!$B$1:$D$175,3,0)</f>
        <v>3.29</v>
      </c>
      <c r="G85" s="9"/>
      <c r="H85" s="14" t="s">
        <v>560</v>
      </c>
      <c r="I85" s="14" t="s">
        <v>561</v>
      </c>
      <c r="J85" s="14" t="s">
        <v>562</v>
      </c>
      <c r="K85" s="14" t="s">
        <v>563</v>
      </c>
      <c r="L85" s="14" t="s">
        <v>564</v>
      </c>
      <c r="M85" s="16"/>
      <c r="N85" s="16" t="s">
        <v>28</v>
      </c>
      <c r="O85" s="14"/>
      <c r="P85" s="14"/>
      <c r="Q85" s="61"/>
      <c r="R85" s="2"/>
      <c r="S85" s="2"/>
      <c r="T85" s="2"/>
      <c r="U85" s="2"/>
      <c r="V85" s="2"/>
      <c r="W85" s="2"/>
      <c r="X85" s="2"/>
      <c r="Y85" s="2"/>
      <c r="Z85" s="2"/>
      <c r="AA85" s="2"/>
      <c r="AB85" s="2"/>
      <c r="AC85" s="2"/>
    </row>
    <row r="86" spans="1:29" ht="26">
      <c r="A86" s="5">
        <v>81</v>
      </c>
      <c r="B86" s="14" t="s">
        <v>565</v>
      </c>
      <c r="C86" s="15">
        <v>3122150092</v>
      </c>
      <c r="D86" s="92" t="s">
        <v>443</v>
      </c>
      <c r="E86" s="8">
        <f>VLOOKUP(C86,'Trang tính3'!$B$10:$H$377,7,0)</f>
        <v>97.5</v>
      </c>
      <c r="F86" s="9" t="str">
        <f>VLOOKUP(C86,'Trang tính2'!$B$1:$D$175,3,0)</f>
        <v>3.52</v>
      </c>
      <c r="G86" s="9"/>
      <c r="H86" s="14" t="s">
        <v>566</v>
      </c>
      <c r="I86" s="14" t="s">
        <v>567</v>
      </c>
      <c r="J86" s="14" t="s">
        <v>568</v>
      </c>
      <c r="K86" s="14" t="s">
        <v>569</v>
      </c>
      <c r="L86" s="14" t="s">
        <v>570</v>
      </c>
      <c r="M86" s="16"/>
      <c r="N86" s="16" t="s">
        <v>28</v>
      </c>
      <c r="O86" s="14"/>
      <c r="P86" s="14"/>
      <c r="Q86" s="61"/>
      <c r="R86" s="2"/>
      <c r="S86" s="2"/>
      <c r="T86" s="2"/>
      <c r="U86" s="2"/>
      <c r="V86" s="2"/>
      <c r="W86" s="2"/>
      <c r="X86" s="2"/>
      <c r="Y86" s="2"/>
      <c r="Z86" s="2"/>
      <c r="AA86" s="2"/>
      <c r="AB86" s="2"/>
      <c r="AC86" s="2"/>
    </row>
    <row r="87" spans="1:29" ht="26">
      <c r="A87" s="5">
        <v>82</v>
      </c>
      <c r="B87" s="14" t="s">
        <v>571</v>
      </c>
      <c r="C87" s="15">
        <v>3122150096</v>
      </c>
      <c r="D87" s="92" t="s">
        <v>443</v>
      </c>
      <c r="E87" s="8">
        <f>VLOOKUP(C87,'Trang tính3'!$B$10:$H$377,7,0)</f>
        <v>98</v>
      </c>
      <c r="F87" s="9" t="str">
        <f>VLOOKUP(C87,'Trang tính2'!$B$1:$D$175,3,0)</f>
        <v>3.90</v>
      </c>
      <c r="G87" s="9"/>
      <c r="H87" s="14" t="s">
        <v>572</v>
      </c>
      <c r="I87" s="14" t="s">
        <v>573</v>
      </c>
      <c r="J87" s="14" t="s">
        <v>574</v>
      </c>
      <c r="K87" s="14" t="s">
        <v>575</v>
      </c>
      <c r="L87" s="14" t="s">
        <v>576</v>
      </c>
      <c r="M87" s="16"/>
      <c r="N87" s="16" t="s">
        <v>28</v>
      </c>
      <c r="O87" s="14"/>
      <c r="P87" s="14"/>
      <c r="Q87" s="61"/>
      <c r="R87" s="2"/>
      <c r="S87" s="2"/>
      <c r="T87" s="2"/>
      <c r="U87" s="2"/>
      <c r="V87" s="2"/>
      <c r="W87" s="2"/>
      <c r="X87" s="2"/>
      <c r="Y87" s="2"/>
      <c r="Z87" s="2"/>
      <c r="AA87" s="2"/>
      <c r="AB87" s="2"/>
      <c r="AC87" s="2"/>
    </row>
    <row r="88" spans="1:29" ht="26">
      <c r="A88" s="5">
        <v>83</v>
      </c>
      <c r="B88" s="14" t="s">
        <v>577</v>
      </c>
      <c r="C88" s="15">
        <v>3122150160</v>
      </c>
      <c r="D88" s="92" t="s">
        <v>443</v>
      </c>
      <c r="E88" s="8">
        <f>VLOOKUP(C88,'Trang tính3'!$B$10:$H$377,7,0)</f>
        <v>94</v>
      </c>
      <c r="F88" s="9" t="str">
        <f>VLOOKUP(C88,'Trang tính2'!$B$1:$D$175,3,0)</f>
        <v>3.62</v>
      </c>
      <c r="G88" s="9"/>
      <c r="H88" s="14"/>
      <c r="I88" s="14"/>
      <c r="J88" s="14"/>
      <c r="K88" s="14"/>
      <c r="L88" s="14"/>
      <c r="M88" s="16"/>
      <c r="N88" s="16" t="s">
        <v>72</v>
      </c>
      <c r="O88" s="14"/>
      <c r="P88" s="14"/>
      <c r="Q88" s="61"/>
      <c r="R88" s="2"/>
      <c r="S88" s="2"/>
      <c r="T88" s="2"/>
      <c r="U88" s="2"/>
      <c r="V88" s="2"/>
      <c r="W88" s="2"/>
      <c r="X88" s="2"/>
      <c r="Y88" s="2"/>
      <c r="Z88" s="2"/>
      <c r="AA88" s="2"/>
      <c r="AB88" s="2"/>
      <c r="AC88" s="2"/>
    </row>
    <row r="89" spans="1:29" ht="26">
      <c r="A89" s="5">
        <v>84</v>
      </c>
      <c r="B89" s="14" t="s">
        <v>578</v>
      </c>
      <c r="C89" s="15">
        <v>3122150170</v>
      </c>
      <c r="D89" s="92" t="s">
        <v>443</v>
      </c>
      <c r="E89" s="8">
        <f>VLOOKUP(C89,'Trang tính3'!$B$10:$H$377,7,0)</f>
        <v>100</v>
      </c>
      <c r="F89" s="9" t="str">
        <f>VLOOKUP(C89,'Trang tính2'!$B$1:$D$175,3,0)</f>
        <v>3.80</v>
      </c>
      <c r="G89" s="9"/>
      <c r="H89" s="14"/>
      <c r="I89" s="14"/>
      <c r="J89" s="14"/>
      <c r="K89" s="14"/>
      <c r="L89" s="14"/>
      <c r="M89" s="16"/>
      <c r="N89" s="16" t="s">
        <v>72</v>
      </c>
      <c r="O89" s="14"/>
      <c r="P89" s="14"/>
      <c r="Q89" s="61"/>
      <c r="R89" s="2"/>
      <c r="S89" s="2"/>
      <c r="T89" s="2"/>
      <c r="U89" s="2"/>
      <c r="V89" s="2"/>
      <c r="W89" s="2"/>
      <c r="X89" s="2"/>
      <c r="Y89" s="2"/>
      <c r="Z89" s="2"/>
      <c r="AA89" s="2"/>
      <c r="AB89" s="2"/>
      <c r="AC89" s="2"/>
    </row>
    <row r="90" spans="1:29" ht="26">
      <c r="A90" s="5">
        <v>85</v>
      </c>
      <c r="B90" s="14" t="s">
        <v>579</v>
      </c>
      <c r="C90" s="15">
        <v>3122150179</v>
      </c>
      <c r="D90" s="92" t="s">
        <v>443</v>
      </c>
      <c r="E90" s="8">
        <f>VLOOKUP(C90,'Trang tính3'!$B$10:$H$377,7,0)</f>
        <v>86</v>
      </c>
      <c r="F90" s="9" t="str">
        <f>VLOOKUP(C90,'Trang tính2'!$B$1:$D$175,3,0)</f>
        <v>3.68</v>
      </c>
      <c r="G90" s="9"/>
      <c r="H90" s="14" t="s">
        <v>580</v>
      </c>
      <c r="I90" s="14" t="s">
        <v>581</v>
      </c>
      <c r="J90" s="14" t="s">
        <v>582</v>
      </c>
      <c r="K90" s="14" t="s">
        <v>583</v>
      </c>
      <c r="L90" s="14" t="s">
        <v>584</v>
      </c>
      <c r="M90" s="16"/>
      <c r="N90" s="16" t="s">
        <v>28</v>
      </c>
      <c r="O90" s="14"/>
      <c r="P90" s="14"/>
      <c r="Q90" s="61"/>
      <c r="R90" s="2"/>
      <c r="S90" s="2"/>
      <c r="T90" s="2"/>
      <c r="U90" s="2"/>
      <c r="V90" s="2"/>
      <c r="W90" s="2"/>
      <c r="X90" s="2"/>
      <c r="Y90" s="2"/>
      <c r="Z90" s="2"/>
      <c r="AA90" s="2"/>
      <c r="AB90" s="2"/>
      <c r="AC90" s="2"/>
    </row>
    <row r="91" spans="1:29" ht="26">
      <c r="A91" s="5">
        <v>86</v>
      </c>
      <c r="B91" s="14" t="s">
        <v>585</v>
      </c>
      <c r="C91" s="15">
        <v>3123150105</v>
      </c>
      <c r="D91" s="92" t="s">
        <v>443</v>
      </c>
      <c r="E91" s="8">
        <f>VLOOKUP(C91,'Trang tính3'!$B$10:$H$377,7,0)</f>
        <v>99.5</v>
      </c>
      <c r="F91" s="9" t="str">
        <f>VLOOKUP(C91,'Trang tính2'!$B$1:$D$175,3,0)</f>
        <v>3.54</v>
      </c>
      <c r="G91" s="9"/>
      <c r="H91" s="14" t="s">
        <v>586</v>
      </c>
      <c r="I91" s="14" t="s">
        <v>587</v>
      </c>
      <c r="J91" s="14" t="s">
        <v>588</v>
      </c>
      <c r="K91" s="14" t="s">
        <v>589</v>
      </c>
      <c r="L91" s="14" t="s">
        <v>590</v>
      </c>
      <c r="M91" s="16"/>
      <c r="N91" s="16" t="s">
        <v>28</v>
      </c>
      <c r="O91" s="14"/>
      <c r="P91" s="14"/>
      <c r="Q91" s="61"/>
      <c r="R91" s="2"/>
      <c r="S91" s="2"/>
      <c r="T91" s="2"/>
      <c r="U91" s="2"/>
      <c r="V91" s="2"/>
      <c r="W91" s="2"/>
      <c r="X91" s="2"/>
      <c r="Y91" s="2"/>
      <c r="Z91" s="2"/>
      <c r="AA91" s="2"/>
      <c r="AB91" s="2"/>
      <c r="AC91" s="2"/>
    </row>
    <row r="92" spans="1:29" ht="26">
      <c r="A92" s="5">
        <v>87</v>
      </c>
      <c r="B92" s="14" t="s">
        <v>591</v>
      </c>
      <c r="C92" s="15">
        <v>3123150188</v>
      </c>
      <c r="D92" s="92" t="s">
        <v>443</v>
      </c>
      <c r="E92" s="8">
        <f>VLOOKUP(C92,'Trang tính3'!$B$10:$H$377,7,0)</f>
        <v>100</v>
      </c>
      <c r="F92" s="9" t="str">
        <f>VLOOKUP(C92,'Trang tính2'!$B$1:$D$175,3,0)</f>
        <v>3.59</v>
      </c>
      <c r="G92" s="9"/>
      <c r="H92" s="14" t="s">
        <v>592</v>
      </c>
      <c r="I92" s="14" t="s">
        <v>593</v>
      </c>
      <c r="J92" s="14" t="s">
        <v>594</v>
      </c>
      <c r="K92" s="14" t="s">
        <v>595</v>
      </c>
      <c r="L92" s="14" t="s">
        <v>596</v>
      </c>
      <c r="M92" s="16"/>
      <c r="N92" s="16" t="s">
        <v>28</v>
      </c>
      <c r="O92" s="14"/>
      <c r="P92" s="14"/>
      <c r="Q92" s="61"/>
      <c r="R92" s="2"/>
      <c r="S92" s="2"/>
      <c r="T92" s="2"/>
      <c r="U92" s="2"/>
      <c r="V92" s="2"/>
      <c r="W92" s="2"/>
      <c r="X92" s="2"/>
      <c r="Y92" s="2"/>
      <c r="Z92" s="2"/>
      <c r="AA92" s="2"/>
      <c r="AB92" s="2"/>
      <c r="AC92" s="2"/>
    </row>
    <row r="93" spans="1:29" ht="26">
      <c r="A93" s="5">
        <v>88</v>
      </c>
      <c r="B93" s="14" t="s">
        <v>597</v>
      </c>
      <c r="C93" s="15">
        <v>3123150033</v>
      </c>
      <c r="D93" s="92" t="s">
        <v>443</v>
      </c>
      <c r="E93" s="8">
        <f>VLOOKUP(C93,'Trang tính3'!$B$10:$H$377,7,0)</f>
        <v>96</v>
      </c>
      <c r="F93" s="9" t="str">
        <f>VLOOKUP(C93,'Trang tính2'!$B$1:$D$175,3,0)</f>
        <v>3.79</v>
      </c>
      <c r="G93" s="9"/>
      <c r="H93" s="14" t="s">
        <v>598</v>
      </c>
      <c r="I93" s="14" t="s">
        <v>599</v>
      </c>
      <c r="J93" s="14" t="s">
        <v>600</v>
      </c>
      <c r="K93" s="14" t="s">
        <v>601</v>
      </c>
      <c r="L93" s="14" t="s">
        <v>602</v>
      </c>
      <c r="M93" s="16"/>
      <c r="N93" s="16" t="s">
        <v>28</v>
      </c>
      <c r="O93" s="14"/>
      <c r="P93" s="14"/>
      <c r="Q93" s="61"/>
      <c r="R93" s="2"/>
      <c r="S93" s="2"/>
      <c r="T93" s="2"/>
      <c r="U93" s="2"/>
      <c r="V93" s="2"/>
      <c r="W93" s="2"/>
      <c r="X93" s="2"/>
      <c r="Y93" s="2"/>
      <c r="Z93" s="2"/>
      <c r="AA93" s="2"/>
      <c r="AB93" s="2"/>
      <c r="AC93" s="2"/>
    </row>
    <row r="94" spans="1:29" ht="26">
      <c r="A94" s="5">
        <v>89</v>
      </c>
      <c r="B94" s="14" t="s">
        <v>603</v>
      </c>
      <c r="C94" s="15">
        <v>3123150061</v>
      </c>
      <c r="D94" s="92" t="s">
        <v>443</v>
      </c>
      <c r="E94" s="8">
        <f>VLOOKUP(C94,'Trang tính3'!$B$10:$H$377,7,0)</f>
        <v>93</v>
      </c>
      <c r="F94" s="9">
        <f>VLOOKUP(C94,'Trang tính2'!$B$1:$D$175,3,0)</f>
        <v>3.09</v>
      </c>
      <c r="G94" s="9"/>
      <c r="H94" s="14" t="s">
        <v>604</v>
      </c>
      <c r="I94" s="14" t="s">
        <v>605</v>
      </c>
      <c r="J94" s="14" t="s">
        <v>606</v>
      </c>
      <c r="K94" s="14" t="s">
        <v>607</v>
      </c>
      <c r="L94" s="14" t="s">
        <v>608</v>
      </c>
      <c r="M94" s="16"/>
      <c r="N94" s="16" t="s">
        <v>28</v>
      </c>
      <c r="O94" s="14"/>
      <c r="P94" s="14"/>
      <c r="Q94" s="61"/>
      <c r="R94" s="2"/>
      <c r="S94" s="2"/>
      <c r="T94" s="2"/>
      <c r="U94" s="2"/>
      <c r="V94" s="2"/>
      <c r="W94" s="2"/>
      <c r="X94" s="2"/>
      <c r="Y94" s="2"/>
      <c r="Z94" s="2"/>
      <c r="AA94" s="2"/>
      <c r="AB94" s="2"/>
      <c r="AC94" s="2"/>
    </row>
    <row r="95" spans="1:29" ht="26">
      <c r="A95" s="5">
        <v>90</v>
      </c>
      <c r="B95" s="14" t="s">
        <v>609</v>
      </c>
      <c r="C95" s="15">
        <v>3123150067</v>
      </c>
      <c r="D95" s="92" t="s">
        <v>443</v>
      </c>
      <c r="E95" s="8">
        <f>VLOOKUP(C95,'Trang tính3'!$B$10:$H$377,7,0)</f>
        <v>86.5</v>
      </c>
      <c r="F95" s="9" t="str">
        <f>VLOOKUP(C95,'Trang tính2'!$B$1:$D$175,3,0)</f>
        <v>3.61</v>
      </c>
      <c r="G95" s="9"/>
      <c r="H95" s="14" t="s">
        <v>610</v>
      </c>
      <c r="I95" s="14" t="s">
        <v>611</v>
      </c>
      <c r="J95" s="14" t="s">
        <v>612</v>
      </c>
      <c r="K95" s="14" t="s">
        <v>613</v>
      </c>
      <c r="L95" s="14" t="s">
        <v>614</v>
      </c>
      <c r="M95" s="16"/>
      <c r="N95" s="16" t="s">
        <v>28</v>
      </c>
      <c r="O95" s="14"/>
      <c r="P95" s="14"/>
      <c r="Q95" s="61"/>
      <c r="R95" s="2"/>
      <c r="S95" s="2"/>
      <c r="T95" s="2"/>
      <c r="U95" s="2"/>
      <c r="V95" s="2"/>
      <c r="W95" s="2"/>
      <c r="X95" s="2"/>
      <c r="Y95" s="2"/>
      <c r="Z95" s="2"/>
      <c r="AA95" s="2"/>
      <c r="AB95" s="2"/>
      <c r="AC95" s="2"/>
    </row>
    <row r="96" spans="1:29" ht="26">
      <c r="A96" s="5">
        <v>91</v>
      </c>
      <c r="B96" s="14" t="s">
        <v>615</v>
      </c>
      <c r="C96" s="15">
        <v>3123150109</v>
      </c>
      <c r="D96" s="92" t="s">
        <v>443</v>
      </c>
      <c r="E96" s="8">
        <f>VLOOKUP(C96,'Trang tính3'!$B$10:$H$377,7,0)</f>
        <v>98.5</v>
      </c>
      <c r="F96" s="9" t="str">
        <f>VLOOKUP(C96,'Trang tính2'!$B$1:$D$175,3,0)</f>
        <v>3.58</v>
      </c>
      <c r="G96" s="9"/>
      <c r="H96" s="14" t="s">
        <v>616</v>
      </c>
      <c r="I96" s="14" t="s">
        <v>617</v>
      </c>
      <c r="J96" s="14" t="s">
        <v>618</v>
      </c>
      <c r="K96" s="14" t="s">
        <v>619</v>
      </c>
      <c r="L96" s="14" t="s">
        <v>620</v>
      </c>
      <c r="M96" s="16"/>
      <c r="N96" s="16" t="s">
        <v>28</v>
      </c>
      <c r="O96" s="17" t="s">
        <v>621</v>
      </c>
      <c r="P96" s="17" t="s">
        <v>622</v>
      </c>
      <c r="Q96" s="61"/>
      <c r="R96" s="2"/>
      <c r="S96" s="2"/>
      <c r="T96" s="2"/>
      <c r="U96" s="2"/>
      <c r="V96" s="2"/>
      <c r="W96" s="2"/>
      <c r="X96" s="2"/>
      <c r="Y96" s="2"/>
      <c r="Z96" s="2"/>
      <c r="AA96" s="2"/>
      <c r="AB96" s="2"/>
      <c r="AC96" s="2"/>
    </row>
    <row r="97" spans="1:29" ht="26">
      <c r="A97" s="5">
        <v>92</v>
      </c>
      <c r="B97" s="14" t="s">
        <v>623</v>
      </c>
      <c r="C97" s="15">
        <v>3123150116</v>
      </c>
      <c r="D97" s="92" t="s">
        <v>443</v>
      </c>
      <c r="E97" s="8">
        <f>VLOOKUP(C97,'Trang tính3'!$B$10:$H$377,7,0)</f>
        <v>100</v>
      </c>
      <c r="F97" s="9" t="str">
        <f>VLOOKUP(C97,'Trang tính2'!$B$1:$D$175,3,0)</f>
        <v>3.78</v>
      </c>
      <c r="G97" s="9"/>
      <c r="H97" s="14" t="s">
        <v>624</v>
      </c>
      <c r="I97" s="14" t="s">
        <v>625</v>
      </c>
      <c r="J97" s="14" t="s">
        <v>626</v>
      </c>
      <c r="K97" s="14" t="s">
        <v>627</v>
      </c>
      <c r="L97" s="14" t="s">
        <v>628</v>
      </c>
      <c r="M97" s="16"/>
      <c r="N97" s="16" t="s">
        <v>28</v>
      </c>
      <c r="O97" s="17" t="s">
        <v>629</v>
      </c>
      <c r="P97" s="17" t="s">
        <v>630</v>
      </c>
      <c r="Q97" s="61"/>
      <c r="R97" s="2"/>
      <c r="S97" s="2"/>
      <c r="T97" s="2"/>
      <c r="U97" s="2"/>
      <c r="V97" s="2"/>
      <c r="W97" s="2"/>
      <c r="X97" s="2"/>
      <c r="Y97" s="2"/>
      <c r="Z97" s="2"/>
      <c r="AA97" s="2"/>
      <c r="AB97" s="2"/>
      <c r="AC97" s="2"/>
    </row>
    <row r="98" spans="1:29" ht="26">
      <c r="A98" s="5">
        <v>93</v>
      </c>
      <c r="B98" s="14" t="s">
        <v>631</v>
      </c>
      <c r="C98" s="15">
        <v>3123150135</v>
      </c>
      <c r="D98" s="92" t="s">
        <v>443</v>
      </c>
      <c r="E98" s="8">
        <f>VLOOKUP(C98,'Trang tính3'!$B$10:$H$377,7,0)</f>
        <v>94</v>
      </c>
      <c r="F98" s="9" t="str">
        <f>VLOOKUP(C98,'Trang tính2'!$B$1:$D$175,3,0)</f>
        <v>3.52</v>
      </c>
      <c r="G98" s="9"/>
      <c r="H98" s="14" t="s">
        <v>632</v>
      </c>
      <c r="I98" s="14" t="s">
        <v>633</v>
      </c>
      <c r="J98" s="14" t="s">
        <v>634</v>
      </c>
      <c r="K98" s="14" t="s">
        <v>635</v>
      </c>
      <c r="L98" s="14" t="s">
        <v>636</v>
      </c>
      <c r="M98" s="16"/>
      <c r="N98" s="16" t="s">
        <v>28</v>
      </c>
      <c r="O98" s="17" t="s">
        <v>637</v>
      </c>
      <c r="P98" s="17" t="s">
        <v>638</v>
      </c>
      <c r="Q98" s="61"/>
      <c r="R98" s="2"/>
      <c r="S98" s="2"/>
      <c r="T98" s="2"/>
      <c r="U98" s="2"/>
      <c r="V98" s="2"/>
      <c r="W98" s="2"/>
      <c r="X98" s="2"/>
      <c r="Y98" s="2"/>
      <c r="Z98" s="2"/>
      <c r="AA98" s="2"/>
      <c r="AB98" s="2"/>
      <c r="AC98" s="2"/>
    </row>
    <row r="99" spans="1:29" ht="26">
      <c r="A99" s="5">
        <v>94</v>
      </c>
      <c r="B99" s="14" t="s">
        <v>639</v>
      </c>
      <c r="C99" s="15">
        <v>3123150167</v>
      </c>
      <c r="D99" s="92" t="s">
        <v>443</v>
      </c>
      <c r="E99" s="8">
        <f>VLOOKUP(C99,'Trang tính3'!$B$10:$H$377,7,0)</f>
        <v>99</v>
      </c>
      <c r="F99" s="9" t="str">
        <f>VLOOKUP(C99,'Trang tính2'!$B$1:$D$175,3,0)</f>
        <v>3.89</v>
      </c>
      <c r="G99" s="9"/>
      <c r="H99" s="14" t="s">
        <v>640</v>
      </c>
      <c r="I99" s="14" t="s">
        <v>641</v>
      </c>
      <c r="J99" s="14" t="s">
        <v>642</v>
      </c>
      <c r="K99" s="14" t="s">
        <v>643</v>
      </c>
      <c r="L99" s="14" t="s">
        <v>644</v>
      </c>
      <c r="M99" s="16"/>
      <c r="N99" s="16" t="s">
        <v>28</v>
      </c>
      <c r="O99" s="17" t="s">
        <v>645</v>
      </c>
      <c r="P99" s="17" t="s">
        <v>646</v>
      </c>
      <c r="Q99" s="61"/>
      <c r="R99" s="2"/>
      <c r="S99" s="2"/>
      <c r="T99" s="2"/>
      <c r="U99" s="2"/>
      <c r="V99" s="2"/>
      <c r="W99" s="2"/>
      <c r="X99" s="2"/>
      <c r="Y99" s="2"/>
      <c r="Z99" s="2"/>
      <c r="AA99" s="2"/>
      <c r="AB99" s="2"/>
      <c r="AC99" s="2"/>
    </row>
    <row r="100" spans="1:29" ht="26">
      <c r="A100" s="5">
        <v>95</v>
      </c>
      <c r="B100" s="14" t="s">
        <v>647</v>
      </c>
      <c r="C100" s="15">
        <v>3123150015</v>
      </c>
      <c r="D100" s="92" t="s">
        <v>443</v>
      </c>
      <c r="E100" s="8">
        <f>VLOOKUP(C100,'Trang tính3'!$B$10:$H$377,7,0)</f>
        <v>91</v>
      </c>
      <c r="F100" s="9" t="str">
        <f>VLOOKUP(C100,'Trang tính2'!$B$1:$D$175,3,0)</f>
        <v>3.33</v>
      </c>
      <c r="G100" s="9"/>
      <c r="H100" s="14" t="s">
        <v>648</v>
      </c>
      <c r="I100" s="14" t="s">
        <v>649</v>
      </c>
      <c r="J100" s="14" t="s">
        <v>650</v>
      </c>
      <c r="K100" s="14" t="s">
        <v>651</v>
      </c>
      <c r="L100" s="14" t="s">
        <v>652</v>
      </c>
      <c r="M100" s="16"/>
      <c r="N100" s="16" t="s">
        <v>28</v>
      </c>
      <c r="O100" s="17" t="s">
        <v>653</v>
      </c>
      <c r="P100" s="17" t="s">
        <v>654</v>
      </c>
      <c r="Q100" s="61"/>
      <c r="R100" s="2"/>
      <c r="S100" s="2"/>
      <c r="T100" s="2"/>
      <c r="U100" s="2"/>
      <c r="V100" s="2"/>
      <c r="W100" s="2"/>
      <c r="X100" s="2"/>
      <c r="Y100" s="2"/>
      <c r="Z100" s="2"/>
      <c r="AA100" s="2"/>
      <c r="AB100" s="2"/>
      <c r="AC100" s="2"/>
    </row>
    <row r="101" spans="1:29" ht="26">
      <c r="A101" s="5">
        <v>96</v>
      </c>
      <c r="B101" s="14" t="s">
        <v>655</v>
      </c>
      <c r="C101" s="15">
        <v>3123150092</v>
      </c>
      <c r="D101" s="92" t="s">
        <v>443</v>
      </c>
      <c r="E101" s="8">
        <f>VLOOKUP(C101,'Trang tính3'!$B$10:$H$377,7,0)</f>
        <v>100</v>
      </c>
      <c r="F101" s="9" t="str">
        <f>VLOOKUP(C101,'Trang tính2'!$B$1:$D$175,3,0)</f>
        <v>3.61</v>
      </c>
      <c r="G101" s="9"/>
      <c r="H101" s="14" t="s">
        <v>656</v>
      </c>
      <c r="I101" s="14" t="s">
        <v>657</v>
      </c>
      <c r="J101" s="14" t="s">
        <v>658</v>
      </c>
      <c r="K101" s="14" t="s">
        <v>659</v>
      </c>
      <c r="L101" s="14" t="s">
        <v>660</v>
      </c>
      <c r="M101" s="16"/>
      <c r="N101" s="16" t="s">
        <v>28</v>
      </c>
      <c r="O101" s="17" t="s">
        <v>661</v>
      </c>
      <c r="P101" s="17" t="s">
        <v>662</v>
      </c>
      <c r="Q101" s="61"/>
      <c r="R101" s="2"/>
      <c r="S101" s="2"/>
      <c r="T101" s="2"/>
      <c r="U101" s="2"/>
      <c r="V101" s="2"/>
      <c r="W101" s="2"/>
      <c r="X101" s="2"/>
      <c r="Y101" s="2"/>
      <c r="Z101" s="2"/>
      <c r="AA101" s="2"/>
      <c r="AB101" s="2"/>
      <c r="AC101" s="2"/>
    </row>
    <row r="102" spans="1:29" ht="26">
      <c r="A102" s="5">
        <v>97</v>
      </c>
      <c r="B102" s="14" t="s">
        <v>663</v>
      </c>
      <c r="C102" s="15">
        <v>3123150146</v>
      </c>
      <c r="D102" s="92" t="s">
        <v>443</v>
      </c>
      <c r="E102" s="8">
        <f>VLOOKUP(C102,'Trang tính3'!$B$10:$H$377,7,0)</f>
        <v>100</v>
      </c>
      <c r="F102" s="9" t="str">
        <f>VLOOKUP(C102,'Trang tính2'!$B$1:$D$175,3,0)</f>
        <v>3.59</v>
      </c>
      <c r="G102" s="9"/>
      <c r="H102" s="14" t="s">
        <v>664</v>
      </c>
      <c r="I102" s="14" t="s">
        <v>665</v>
      </c>
      <c r="J102" s="14" t="s">
        <v>666</v>
      </c>
      <c r="K102" s="14" t="s">
        <v>667</v>
      </c>
      <c r="L102" s="14" t="s">
        <v>668</v>
      </c>
      <c r="M102" s="16"/>
      <c r="N102" s="16" t="s">
        <v>28</v>
      </c>
      <c r="O102" s="17" t="s">
        <v>669</v>
      </c>
      <c r="P102" s="17" t="s">
        <v>670</v>
      </c>
      <c r="Q102" s="61"/>
      <c r="R102" s="2"/>
      <c r="S102" s="2"/>
      <c r="T102" s="2"/>
      <c r="U102" s="2"/>
      <c r="V102" s="2"/>
      <c r="W102" s="2"/>
      <c r="X102" s="2"/>
      <c r="Y102" s="2"/>
      <c r="Z102" s="2"/>
      <c r="AA102" s="2"/>
      <c r="AB102" s="2"/>
      <c r="AC102" s="2"/>
    </row>
    <row r="103" spans="1:29" ht="26">
      <c r="A103" s="5">
        <v>98</v>
      </c>
      <c r="B103" s="14" t="s">
        <v>671</v>
      </c>
      <c r="C103" s="15">
        <v>3124150172</v>
      </c>
      <c r="D103" s="92" t="s">
        <v>443</v>
      </c>
      <c r="E103" s="8">
        <f>VLOOKUP(C103,'Trang tính3'!$B$10:$H$377,7,0)</f>
        <v>83.3</v>
      </c>
      <c r="F103" s="9" t="str">
        <f>VLOOKUP(C103,'Trang tính2'!$B$1:$D$175,3,0)</f>
        <v>2.86</v>
      </c>
      <c r="G103" s="9"/>
      <c r="H103" s="14" t="s">
        <v>672</v>
      </c>
      <c r="I103" s="14" t="s">
        <v>673</v>
      </c>
      <c r="J103" s="14" t="s">
        <v>674</v>
      </c>
      <c r="K103" s="14" t="s">
        <v>675</v>
      </c>
      <c r="L103" s="14" t="s">
        <v>676</v>
      </c>
      <c r="M103" s="16"/>
      <c r="N103" s="16" t="s">
        <v>28</v>
      </c>
      <c r="O103" s="17" t="s">
        <v>677</v>
      </c>
      <c r="P103" s="17" t="s">
        <v>678</v>
      </c>
      <c r="Q103" s="61"/>
      <c r="R103" s="2"/>
      <c r="S103" s="2"/>
      <c r="T103" s="2"/>
      <c r="U103" s="2"/>
      <c r="V103" s="2"/>
      <c r="W103" s="2"/>
      <c r="X103" s="2"/>
      <c r="Y103" s="2"/>
      <c r="Z103" s="2"/>
      <c r="AA103" s="2"/>
      <c r="AB103" s="2"/>
      <c r="AC103" s="2"/>
    </row>
    <row r="104" spans="1:29" ht="26">
      <c r="A104" s="5">
        <v>99</v>
      </c>
      <c r="B104" s="14" t="s">
        <v>679</v>
      </c>
      <c r="C104" s="15">
        <v>3124150002</v>
      </c>
      <c r="D104" s="92" t="s">
        <v>443</v>
      </c>
      <c r="E104" s="8">
        <f>VLOOKUP(C104,'Trang tính3'!$B$10:$H$377,7,0)</f>
        <v>90</v>
      </c>
      <c r="F104" s="9" t="str">
        <f>VLOOKUP(C104,'Trang tính2'!$B$1:$D$175,3,0)</f>
        <v>3.89</v>
      </c>
      <c r="G104" s="9"/>
      <c r="H104" s="14" t="s">
        <v>680</v>
      </c>
      <c r="I104" s="14" t="s">
        <v>681</v>
      </c>
      <c r="J104" s="14" t="s">
        <v>682</v>
      </c>
      <c r="K104" s="14" t="s">
        <v>683</v>
      </c>
      <c r="L104" s="14" t="s">
        <v>684</v>
      </c>
      <c r="M104" s="16"/>
      <c r="N104" s="16" t="s">
        <v>28</v>
      </c>
      <c r="O104" s="17" t="s">
        <v>685</v>
      </c>
      <c r="P104" s="17" t="s">
        <v>686</v>
      </c>
      <c r="Q104" s="61"/>
      <c r="R104" s="2"/>
      <c r="S104" s="2"/>
      <c r="T104" s="2"/>
      <c r="U104" s="2"/>
      <c r="V104" s="2"/>
      <c r="W104" s="2"/>
      <c r="X104" s="2"/>
      <c r="Y104" s="2"/>
      <c r="Z104" s="2"/>
      <c r="AA104" s="2"/>
      <c r="AB104" s="2"/>
      <c r="AC104" s="2"/>
    </row>
    <row r="105" spans="1:29" ht="26">
      <c r="A105" s="5">
        <v>100</v>
      </c>
      <c r="B105" s="14" t="s">
        <v>687</v>
      </c>
      <c r="C105" s="15">
        <v>3124150081</v>
      </c>
      <c r="D105" s="92" t="s">
        <v>443</v>
      </c>
      <c r="E105" s="8">
        <f>VLOOKUP(C105,'Trang tính3'!$B$10:$H$377,7,0)</f>
        <v>96.7</v>
      </c>
      <c r="F105" s="9" t="str">
        <f>VLOOKUP(C105,'Trang tính2'!$B$1:$D$175,3,0)</f>
        <v>3.39</v>
      </c>
      <c r="G105" s="9"/>
      <c r="H105" s="14" t="s">
        <v>688</v>
      </c>
      <c r="I105" s="14" t="s">
        <v>689</v>
      </c>
      <c r="J105" s="14" t="s">
        <v>690</v>
      </c>
      <c r="K105" s="14" t="s">
        <v>691</v>
      </c>
      <c r="L105" s="14" t="s">
        <v>692</v>
      </c>
      <c r="M105" s="16"/>
      <c r="N105" s="16" t="s">
        <v>28</v>
      </c>
      <c r="O105" s="17" t="s">
        <v>693</v>
      </c>
      <c r="P105" s="17" t="s">
        <v>694</v>
      </c>
      <c r="Q105" s="61"/>
      <c r="R105" s="2"/>
      <c r="S105" s="2"/>
      <c r="T105" s="2"/>
      <c r="U105" s="2"/>
      <c r="V105" s="2"/>
      <c r="W105" s="2"/>
      <c r="X105" s="2"/>
      <c r="Y105" s="2"/>
      <c r="Z105" s="2"/>
      <c r="AA105" s="2"/>
      <c r="AB105" s="2"/>
      <c r="AC105" s="2"/>
    </row>
    <row r="106" spans="1:29" ht="26">
      <c r="A106" s="5">
        <v>101</v>
      </c>
      <c r="B106" s="14" t="s">
        <v>695</v>
      </c>
      <c r="C106" s="15">
        <v>3124150119</v>
      </c>
      <c r="D106" s="92" t="s">
        <v>443</v>
      </c>
      <c r="E106" s="8">
        <f>VLOOKUP(C106,'Trang tính3'!$B$10:$H$377,7,0)</f>
        <v>94.7</v>
      </c>
      <c r="F106" s="9" t="str">
        <f>VLOOKUP(C106,'Trang tính2'!$B$1:$D$175,3,0)</f>
        <v>3.89</v>
      </c>
      <c r="G106" s="9"/>
      <c r="H106" s="14" t="s">
        <v>696</v>
      </c>
      <c r="I106" s="14" t="s">
        <v>697</v>
      </c>
      <c r="J106" s="14" t="s">
        <v>698</v>
      </c>
      <c r="K106" s="14" t="s">
        <v>699</v>
      </c>
      <c r="L106" s="14" t="s">
        <v>700</v>
      </c>
      <c r="M106" s="16"/>
      <c r="N106" s="16" t="s">
        <v>28</v>
      </c>
      <c r="O106" s="17" t="s">
        <v>701</v>
      </c>
      <c r="P106" s="17" t="s">
        <v>702</v>
      </c>
      <c r="Q106" s="61"/>
      <c r="R106" s="2"/>
      <c r="S106" s="2"/>
      <c r="T106" s="2"/>
      <c r="U106" s="2"/>
      <c r="V106" s="2"/>
      <c r="W106" s="2"/>
      <c r="X106" s="2"/>
      <c r="Y106" s="2"/>
      <c r="Z106" s="2"/>
      <c r="AA106" s="2"/>
      <c r="AB106" s="2"/>
      <c r="AC106" s="2"/>
    </row>
    <row r="107" spans="1:29" ht="26">
      <c r="A107" s="5">
        <v>102</v>
      </c>
      <c r="B107" s="14" t="s">
        <v>703</v>
      </c>
      <c r="C107" s="15">
        <v>3124150137</v>
      </c>
      <c r="D107" s="92" t="s">
        <v>443</v>
      </c>
      <c r="E107" s="8">
        <f>VLOOKUP(C107,'Trang tính3'!$B$10:$H$377,7,0)</f>
        <v>96</v>
      </c>
      <c r="F107" s="9" t="str">
        <f>VLOOKUP(C107,'Trang tính2'!$B$1:$D$175,3,0)</f>
        <v>3.86</v>
      </c>
      <c r="G107" s="9"/>
      <c r="H107" s="14" t="s">
        <v>704</v>
      </c>
      <c r="I107" s="14" t="s">
        <v>705</v>
      </c>
      <c r="J107" s="14" t="s">
        <v>706</v>
      </c>
      <c r="K107" s="14" t="s">
        <v>707</v>
      </c>
      <c r="L107" s="14" t="s">
        <v>708</v>
      </c>
      <c r="M107" s="16"/>
      <c r="N107" s="16" t="s">
        <v>28</v>
      </c>
      <c r="O107" s="17" t="s">
        <v>709</v>
      </c>
      <c r="P107" s="17" t="s">
        <v>710</v>
      </c>
      <c r="Q107" s="61"/>
      <c r="R107" s="2"/>
      <c r="S107" s="2"/>
      <c r="T107" s="2"/>
      <c r="U107" s="2"/>
      <c r="V107" s="2"/>
      <c r="W107" s="2"/>
      <c r="X107" s="2"/>
      <c r="Y107" s="2"/>
      <c r="Z107" s="2"/>
      <c r="AA107" s="2"/>
      <c r="AB107" s="2"/>
      <c r="AC107" s="2"/>
    </row>
    <row r="108" spans="1:29" ht="26">
      <c r="A108" s="5">
        <v>103</v>
      </c>
      <c r="B108" s="14" t="s">
        <v>711</v>
      </c>
      <c r="C108" s="15">
        <v>3124150143</v>
      </c>
      <c r="D108" s="92" t="s">
        <v>443</v>
      </c>
      <c r="E108" s="8">
        <f>VLOOKUP(C108,'Trang tính3'!$B$10:$H$377,7,0)</f>
        <v>85.7</v>
      </c>
      <c r="F108" s="9" t="str">
        <f>VLOOKUP(C108,'Trang tính2'!$B$1:$D$175,3,0)</f>
        <v>3.24</v>
      </c>
      <c r="G108" s="9"/>
      <c r="H108" s="14" t="s">
        <v>712</v>
      </c>
      <c r="I108" s="14" t="s">
        <v>713</v>
      </c>
      <c r="J108" s="14" t="s">
        <v>714</v>
      </c>
      <c r="K108" s="14" t="s">
        <v>715</v>
      </c>
      <c r="L108" s="14" t="s">
        <v>716</v>
      </c>
      <c r="M108" s="16"/>
      <c r="N108" s="16" t="s">
        <v>28</v>
      </c>
      <c r="O108" s="17" t="s">
        <v>717</v>
      </c>
      <c r="P108" s="17" t="s">
        <v>718</v>
      </c>
      <c r="Q108" s="61"/>
      <c r="R108" s="2"/>
      <c r="S108" s="2"/>
      <c r="T108" s="2"/>
      <c r="U108" s="2"/>
      <c r="V108" s="2"/>
      <c r="W108" s="2"/>
      <c r="X108" s="2"/>
      <c r="Y108" s="2"/>
      <c r="Z108" s="2"/>
      <c r="AA108" s="2"/>
      <c r="AB108" s="2"/>
      <c r="AC108" s="2"/>
    </row>
    <row r="109" spans="1:29" ht="26">
      <c r="A109" s="5">
        <v>104</v>
      </c>
      <c r="B109" s="14" t="s">
        <v>719</v>
      </c>
      <c r="C109" s="15">
        <v>3121150223</v>
      </c>
      <c r="D109" s="92" t="s">
        <v>443</v>
      </c>
      <c r="E109" s="8" t="s">
        <v>720</v>
      </c>
      <c r="F109" s="9" t="s">
        <v>431</v>
      </c>
      <c r="G109" s="9"/>
      <c r="H109" s="14" t="s">
        <v>721</v>
      </c>
      <c r="I109" s="14" t="s">
        <v>722</v>
      </c>
      <c r="J109" s="14" t="s">
        <v>723</v>
      </c>
      <c r="K109" s="14" t="s">
        <v>724</v>
      </c>
      <c r="L109" s="14" t="s">
        <v>725</v>
      </c>
      <c r="M109" s="16" t="s">
        <v>60</v>
      </c>
      <c r="N109" s="16" t="s">
        <v>28</v>
      </c>
      <c r="O109" s="17" t="s">
        <v>726</v>
      </c>
      <c r="P109" s="18" t="s">
        <v>727</v>
      </c>
      <c r="Q109" s="61"/>
      <c r="R109" s="2"/>
      <c r="S109" s="2"/>
      <c r="T109" s="2"/>
      <c r="U109" s="2"/>
      <c r="V109" s="2"/>
      <c r="W109" s="2"/>
      <c r="X109" s="2"/>
      <c r="Y109" s="2"/>
      <c r="Z109" s="2"/>
      <c r="AA109" s="2"/>
      <c r="AB109" s="2"/>
      <c r="AC109" s="2"/>
    </row>
    <row r="110" spans="1:29" ht="26">
      <c r="A110" s="5">
        <v>105</v>
      </c>
      <c r="B110" s="14" t="s">
        <v>728</v>
      </c>
      <c r="C110" s="15">
        <v>3121150196</v>
      </c>
      <c r="D110" s="92" t="s">
        <v>443</v>
      </c>
      <c r="E110" s="8" t="s">
        <v>720</v>
      </c>
      <c r="F110" s="9" t="s">
        <v>729</v>
      </c>
      <c r="G110" s="9"/>
      <c r="H110" s="14" t="s">
        <v>730</v>
      </c>
      <c r="I110" s="14" t="s">
        <v>731</v>
      </c>
      <c r="J110" s="14" t="s">
        <v>723</v>
      </c>
      <c r="K110" s="14" t="s">
        <v>732</v>
      </c>
      <c r="L110" s="14" t="s">
        <v>733</v>
      </c>
      <c r="M110" s="16" t="s">
        <v>60</v>
      </c>
      <c r="N110" s="16" t="s">
        <v>28</v>
      </c>
      <c r="O110" s="19" t="s">
        <v>734</v>
      </c>
      <c r="P110" s="19" t="s">
        <v>735</v>
      </c>
      <c r="Q110" s="61"/>
      <c r="R110" s="2"/>
      <c r="S110" s="2"/>
      <c r="T110" s="2"/>
      <c r="U110" s="2"/>
      <c r="V110" s="2"/>
      <c r="W110" s="2"/>
      <c r="X110" s="2"/>
      <c r="Y110" s="2"/>
      <c r="Z110" s="2"/>
      <c r="AA110" s="2"/>
      <c r="AB110" s="2"/>
      <c r="AC110" s="2"/>
    </row>
    <row r="111" spans="1:29" ht="26">
      <c r="A111" s="5">
        <v>106</v>
      </c>
      <c r="B111" s="14" t="s">
        <v>736</v>
      </c>
      <c r="C111" s="15">
        <v>3121150106</v>
      </c>
      <c r="D111" s="92" t="s">
        <v>443</v>
      </c>
      <c r="E111" s="8" t="s">
        <v>195</v>
      </c>
      <c r="F111" s="9" t="s">
        <v>431</v>
      </c>
      <c r="G111" s="9"/>
      <c r="H111" s="14" t="s">
        <v>737</v>
      </c>
      <c r="I111" s="14" t="s">
        <v>738</v>
      </c>
      <c r="J111" s="14" t="s">
        <v>739</v>
      </c>
      <c r="K111" s="14" t="s">
        <v>740</v>
      </c>
      <c r="L111" s="14" t="s">
        <v>741</v>
      </c>
      <c r="M111" s="16" t="s">
        <v>60</v>
      </c>
      <c r="N111" s="16" t="s">
        <v>28</v>
      </c>
      <c r="O111" s="17" t="s">
        <v>742</v>
      </c>
      <c r="P111" s="17" t="s">
        <v>743</v>
      </c>
      <c r="Q111" s="61"/>
      <c r="R111" s="2"/>
      <c r="S111" s="2"/>
      <c r="T111" s="2"/>
      <c r="U111" s="2"/>
      <c r="V111" s="2"/>
      <c r="W111" s="2"/>
      <c r="X111" s="2"/>
      <c r="Y111" s="2"/>
      <c r="Z111" s="2"/>
      <c r="AA111" s="2"/>
      <c r="AB111" s="2"/>
      <c r="AC111" s="2"/>
    </row>
    <row r="112" spans="1:29" ht="26">
      <c r="A112" s="5">
        <v>107</v>
      </c>
      <c r="B112" s="14" t="s">
        <v>744</v>
      </c>
      <c r="C112" s="15">
        <v>3121150219</v>
      </c>
      <c r="D112" s="92" t="s">
        <v>443</v>
      </c>
      <c r="E112" s="8" t="s">
        <v>745</v>
      </c>
      <c r="F112" s="9" t="s">
        <v>746</v>
      </c>
      <c r="G112" s="9"/>
      <c r="H112" s="14" t="s">
        <v>747</v>
      </c>
      <c r="I112" s="14" t="s">
        <v>748</v>
      </c>
      <c r="J112" s="14" t="s">
        <v>749</v>
      </c>
      <c r="K112" s="14" t="s">
        <v>750</v>
      </c>
      <c r="L112" s="14" t="s">
        <v>751</v>
      </c>
      <c r="M112" s="16" t="s">
        <v>60</v>
      </c>
      <c r="N112" s="16" t="s">
        <v>28</v>
      </c>
      <c r="O112" s="19" t="s">
        <v>752</v>
      </c>
      <c r="P112" s="19" t="s">
        <v>753</v>
      </c>
      <c r="Q112" s="61"/>
      <c r="R112" s="2"/>
      <c r="S112" s="2"/>
      <c r="T112" s="2"/>
      <c r="U112" s="2"/>
      <c r="V112" s="2"/>
      <c r="W112" s="2"/>
      <c r="X112" s="2"/>
      <c r="Y112" s="2"/>
      <c r="Z112" s="2"/>
      <c r="AA112" s="2"/>
      <c r="AB112" s="2"/>
      <c r="AC112" s="2"/>
    </row>
    <row r="113" spans="1:29" ht="26">
      <c r="A113" s="5">
        <v>108</v>
      </c>
      <c r="B113" s="21" t="s">
        <v>754</v>
      </c>
      <c r="C113" s="22"/>
      <c r="D113" s="92" t="s">
        <v>443</v>
      </c>
      <c r="E113" s="8" t="s">
        <v>755</v>
      </c>
      <c r="F113" s="9" t="s">
        <v>756</v>
      </c>
      <c r="G113" s="23"/>
      <c r="H113" s="21" t="s">
        <v>757</v>
      </c>
      <c r="I113" s="21" t="s">
        <v>758</v>
      </c>
      <c r="J113" s="21" t="s">
        <v>759</v>
      </c>
      <c r="K113" s="21" t="s">
        <v>760</v>
      </c>
      <c r="L113" s="21" t="s">
        <v>761</v>
      </c>
      <c r="M113" s="24"/>
      <c r="N113" s="24" t="s">
        <v>28</v>
      </c>
      <c r="O113" s="21"/>
      <c r="P113" s="21"/>
      <c r="Q113" s="62"/>
      <c r="R113" s="26"/>
      <c r="S113" s="26"/>
      <c r="T113" s="26"/>
      <c r="U113" s="26"/>
      <c r="V113" s="26"/>
      <c r="W113" s="26"/>
      <c r="X113" s="26"/>
      <c r="Y113" s="26"/>
      <c r="Z113" s="26"/>
      <c r="AA113" s="26"/>
      <c r="AB113" s="26"/>
      <c r="AC113" s="26"/>
    </row>
    <row r="114" spans="1:29" ht="13">
      <c r="A114" s="5">
        <v>109</v>
      </c>
      <c r="B114" s="6" t="s">
        <v>762</v>
      </c>
      <c r="C114" s="5">
        <v>3124130015</v>
      </c>
      <c r="D114" s="93" t="s">
        <v>763</v>
      </c>
      <c r="E114" s="8">
        <f>VLOOKUP(C114,'Trang tính3'!$B$10:$H$377,7,0)</f>
        <v>98.3</v>
      </c>
      <c r="F114" s="9" t="str">
        <f>VLOOKUP(C114,'Trang tính2'!$B$1:$D$175,3,0)</f>
        <v>3.58</v>
      </c>
      <c r="G114" s="8"/>
      <c r="H114" s="6" t="s">
        <v>764</v>
      </c>
      <c r="I114" s="6" t="s">
        <v>765</v>
      </c>
      <c r="J114" s="6" t="s">
        <v>766</v>
      </c>
      <c r="K114" s="6" t="s">
        <v>767</v>
      </c>
      <c r="L114" s="6" t="s">
        <v>768</v>
      </c>
      <c r="M114" s="10"/>
      <c r="N114" s="10" t="s">
        <v>28</v>
      </c>
      <c r="O114" s="6"/>
      <c r="P114" s="12" t="s">
        <v>769</v>
      </c>
      <c r="Q114" s="60" t="s">
        <v>770</v>
      </c>
      <c r="R114" s="2"/>
      <c r="S114" s="2"/>
      <c r="T114" s="2"/>
      <c r="U114" s="2"/>
      <c r="V114" s="2"/>
      <c r="W114" s="2"/>
      <c r="X114" s="2"/>
      <c r="Y114" s="2"/>
      <c r="Z114" s="2"/>
      <c r="AA114" s="2"/>
      <c r="AB114" s="2"/>
      <c r="AC114" s="2"/>
    </row>
    <row r="115" spans="1:29" ht="13">
      <c r="A115" s="5">
        <v>110</v>
      </c>
      <c r="B115" s="6" t="s">
        <v>771</v>
      </c>
      <c r="C115" s="5">
        <v>3123380133</v>
      </c>
      <c r="D115" s="93" t="s">
        <v>763</v>
      </c>
      <c r="E115" s="8">
        <f>VLOOKUP(C115,'Trang tính3'!$B$10:$H$377,7,0)</f>
        <v>100</v>
      </c>
      <c r="F115" s="9" t="str">
        <f>VLOOKUP(C115,'Trang tính2'!$B$1:$D$175,3,0)</f>
        <v>3.76</v>
      </c>
      <c r="G115" s="8"/>
      <c r="H115" s="6" t="s">
        <v>772</v>
      </c>
      <c r="I115" s="6" t="s">
        <v>773</v>
      </c>
      <c r="J115" s="6" t="s">
        <v>774</v>
      </c>
      <c r="K115" s="6" t="s">
        <v>775</v>
      </c>
      <c r="L115" s="6" t="s">
        <v>776</v>
      </c>
      <c r="M115" s="10"/>
      <c r="N115" s="10" t="s">
        <v>28</v>
      </c>
      <c r="O115" s="6"/>
      <c r="P115" s="12" t="s">
        <v>777</v>
      </c>
      <c r="Q115" s="61"/>
      <c r="R115" s="2"/>
      <c r="S115" s="2"/>
      <c r="T115" s="2"/>
      <c r="U115" s="2"/>
      <c r="V115" s="2"/>
      <c r="W115" s="2"/>
      <c r="X115" s="2"/>
      <c r="Y115" s="2"/>
      <c r="Z115" s="2"/>
      <c r="AA115" s="2"/>
      <c r="AB115" s="2"/>
      <c r="AC115" s="2"/>
    </row>
    <row r="116" spans="1:29" ht="13">
      <c r="A116" s="5">
        <v>111</v>
      </c>
      <c r="B116" s="6" t="s">
        <v>778</v>
      </c>
      <c r="C116" s="5">
        <v>3124130045</v>
      </c>
      <c r="D116" s="93" t="s">
        <v>763</v>
      </c>
      <c r="E116" s="8">
        <f>VLOOKUP(C116,'Trang tính3'!$B$10:$H$377,7,0)</f>
        <v>96</v>
      </c>
      <c r="F116" s="9" t="str">
        <f>VLOOKUP(C116,'Trang tính2'!$B$1:$D$175,3,0)</f>
        <v>3.79</v>
      </c>
      <c r="G116" s="8"/>
      <c r="H116" s="6" t="s">
        <v>779</v>
      </c>
      <c r="I116" s="6" t="s">
        <v>780</v>
      </c>
      <c r="J116" s="6" t="s">
        <v>781</v>
      </c>
      <c r="K116" s="6" t="s">
        <v>782</v>
      </c>
      <c r="L116" s="6" t="s">
        <v>783</v>
      </c>
      <c r="M116" s="10"/>
      <c r="N116" s="10" t="s">
        <v>28</v>
      </c>
      <c r="O116" s="6"/>
      <c r="P116" s="12" t="s">
        <v>784</v>
      </c>
      <c r="Q116" s="61"/>
      <c r="R116" s="2"/>
      <c r="S116" s="2"/>
      <c r="T116" s="2"/>
      <c r="U116" s="2"/>
      <c r="V116" s="2"/>
      <c r="W116" s="2"/>
      <c r="X116" s="2"/>
      <c r="Y116" s="2"/>
      <c r="Z116" s="2"/>
      <c r="AA116" s="2"/>
      <c r="AB116" s="2"/>
      <c r="AC116" s="2"/>
    </row>
    <row r="117" spans="1:29" ht="13">
      <c r="A117" s="5">
        <v>112</v>
      </c>
      <c r="B117" s="6" t="s">
        <v>785</v>
      </c>
      <c r="C117" s="5">
        <v>3123130143</v>
      </c>
      <c r="D117" s="93" t="s">
        <v>763</v>
      </c>
      <c r="E117" s="8">
        <f>VLOOKUP(C117,'Trang tính3'!$B$10:$H$377,7,0)</f>
        <v>100</v>
      </c>
      <c r="F117" s="9" t="str">
        <f>VLOOKUP(C117,'Trang tính2'!$B$1:$D$175,3,0)</f>
        <v>3.59</v>
      </c>
      <c r="G117" s="8"/>
      <c r="H117" s="6" t="s">
        <v>786</v>
      </c>
      <c r="I117" s="6" t="s">
        <v>787</v>
      </c>
      <c r="J117" s="6" t="s">
        <v>788</v>
      </c>
      <c r="K117" s="6" t="s">
        <v>789</v>
      </c>
      <c r="L117" s="6" t="s">
        <v>790</v>
      </c>
      <c r="M117" s="10"/>
      <c r="N117" s="10" t="s">
        <v>28</v>
      </c>
      <c r="O117" s="6"/>
      <c r="P117" s="12" t="s">
        <v>791</v>
      </c>
      <c r="Q117" s="61"/>
      <c r="R117" s="2"/>
      <c r="S117" s="2"/>
      <c r="T117" s="2"/>
      <c r="U117" s="2"/>
      <c r="V117" s="2"/>
      <c r="W117" s="2"/>
      <c r="X117" s="2"/>
      <c r="Y117" s="2"/>
      <c r="Z117" s="2"/>
      <c r="AA117" s="2"/>
      <c r="AB117" s="2"/>
      <c r="AC117" s="2"/>
    </row>
    <row r="118" spans="1:29" ht="13">
      <c r="A118" s="5">
        <v>113</v>
      </c>
      <c r="B118" s="6" t="s">
        <v>792</v>
      </c>
      <c r="C118" s="5">
        <v>3121130125</v>
      </c>
      <c r="D118" s="93" t="s">
        <v>763</v>
      </c>
      <c r="E118" s="8">
        <f>VLOOKUP(C118,'Trang tính3'!$B$10:$H$377,7,0)</f>
        <v>100</v>
      </c>
      <c r="F118" s="9" t="str">
        <f>VLOOKUP(C118,'Trang tính2'!$B$1:$D$175,3,0)</f>
        <v>3.92</v>
      </c>
      <c r="G118" s="8"/>
      <c r="H118" s="6" t="s">
        <v>793</v>
      </c>
      <c r="I118" s="6" t="s">
        <v>794</v>
      </c>
      <c r="J118" s="6" t="s">
        <v>626</v>
      </c>
      <c r="K118" s="6" t="s">
        <v>795</v>
      </c>
      <c r="L118" s="6" t="s">
        <v>796</v>
      </c>
      <c r="M118" s="10"/>
      <c r="N118" s="10" t="s">
        <v>28</v>
      </c>
      <c r="O118" s="6"/>
      <c r="P118" s="12" t="s">
        <v>797</v>
      </c>
      <c r="Q118" s="61"/>
      <c r="R118" s="2"/>
      <c r="S118" s="2"/>
      <c r="T118" s="2"/>
      <c r="U118" s="2"/>
      <c r="V118" s="2"/>
      <c r="W118" s="2"/>
      <c r="X118" s="2"/>
      <c r="Y118" s="2"/>
      <c r="Z118" s="2"/>
      <c r="AA118" s="2"/>
      <c r="AB118" s="2"/>
      <c r="AC118" s="2"/>
    </row>
    <row r="119" spans="1:29" ht="13">
      <c r="A119" s="5">
        <v>114</v>
      </c>
      <c r="B119" s="6" t="s">
        <v>798</v>
      </c>
      <c r="C119" s="5">
        <v>3123130104</v>
      </c>
      <c r="D119" s="93" t="s">
        <v>763</v>
      </c>
      <c r="E119" s="8">
        <f>VLOOKUP(C119,'Trang tính3'!$B$10:$H$377,7,0)</f>
        <v>100</v>
      </c>
      <c r="F119" s="9" t="str">
        <f>VLOOKUP(C119,'Trang tính2'!$B$1:$D$175,3,0)</f>
        <v>3.85</v>
      </c>
      <c r="G119" s="8"/>
      <c r="H119" s="6" t="s">
        <v>799</v>
      </c>
      <c r="I119" s="6" t="s">
        <v>800</v>
      </c>
      <c r="J119" s="6" t="s">
        <v>801</v>
      </c>
      <c r="K119" s="6" t="s">
        <v>802</v>
      </c>
      <c r="L119" s="6" t="s">
        <v>803</v>
      </c>
      <c r="M119" s="10"/>
      <c r="N119" s="10" t="s">
        <v>28</v>
      </c>
      <c r="O119" s="6"/>
      <c r="P119" s="12" t="s">
        <v>804</v>
      </c>
      <c r="Q119" s="61"/>
      <c r="R119" s="2"/>
      <c r="S119" s="2"/>
      <c r="T119" s="2"/>
      <c r="U119" s="2"/>
      <c r="V119" s="2"/>
      <c r="W119" s="2"/>
      <c r="X119" s="2"/>
      <c r="Y119" s="2"/>
      <c r="Z119" s="2"/>
      <c r="AA119" s="2"/>
      <c r="AB119" s="2"/>
      <c r="AC119" s="2"/>
    </row>
    <row r="120" spans="1:29" ht="13">
      <c r="A120" s="5">
        <v>115</v>
      </c>
      <c r="B120" s="6" t="s">
        <v>805</v>
      </c>
      <c r="C120" s="5">
        <v>3124130009</v>
      </c>
      <c r="D120" s="93" t="s">
        <v>763</v>
      </c>
      <c r="E120" s="8">
        <f>VLOOKUP(C120,'Trang tính3'!$B$10:$H$377,7,0)</f>
        <v>97.3</v>
      </c>
      <c r="F120" s="9" t="str">
        <f>VLOOKUP(C120,'Trang tính2'!$B$1:$D$175,3,0)</f>
        <v>3.72</v>
      </c>
      <c r="G120" s="8"/>
      <c r="H120" s="6" t="s">
        <v>806</v>
      </c>
      <c r="I120" s="6" t="s">
        <v>807</v>
      </c>
      <c r="J120" s="6" t="s">
        <v>808</v>
      </c>
      <c r="K120" s="6" t="s">
        <v>809</v>
      </c>
      <c r="L120" s="6" t="s">
        <v>810</v>
      </c>
      <c r="M120" s="10"/>
      <c r="N120" s="10" t="s">
        <v>28</v>
      </c>
      <c r="O120" s="6"/>
      <c r="P120" s="12" t="s">
        <v>811</v>
      </c>
      <c r="Q120" s="61"/>
      <c r="R120" s="2"/>
      <c r="S120" s="2"/>
      <c r="T120" s="2"/>
      <c r="U120" s="2"/>
      <c r="V120" s="2"/>
      <c r="W120" s="2"/>
      <c r="X120" s="2"/>
      <c r="Y120" s="2"/>
      <c r="Z120" s="2"/>
      <c r="AA120" s="2"/>
      <c r="AB120" s="2"/>
      <c r="AC120" s="2"/>
    </row>
    <row r="121" spans="1:29" ht="13">
      <c r="A121" s="5">
        <v>116</v>
      </c>
      <c r="B121" s="6" t="s">
        <v>812</v>
      </c>
      <c r="C121" s="5">
        <v>3123380226</v>
      </c>
      <c r="D121" s="93" t="s">
        <v>763</v>
      </c>
      <c r="E121" s="8">
        <f>VLOOKUP(C121,'Trang tính3'!$B$10:$H$377,7,0)</f>
        <v>100</v>
      </c>
      <c r="F121" s="9" t="str">
        <f>VLOOKUP(C121,'Trang tính2'!$B$1:$D$175,3,0)</f>
        <v>3.49</v>
      </c>
      <c r="G121" s="8"/>
      <c r="H121" s="6" t="s">
        <v>813</v>
      </c>
      <c r="I121" s="6" t="s">
        <v>814</v>
      </c>
      <c r="J121" s="6" t="s">
        <v>815</v>
      </c>
      <c r="K121" s="6" t="s">
        <v>816</v>
      </c>
      <c r="L121" s="6" t="s">
        <v>817</v>
      </c>
      <c r="M121" s="10"/>
      <c r="N121" s="10" t="s">
        <v>28</v>
      </c>
      <c r="O121" s="6"/>
      <c r="P121" s="12" t="s">
        <v>818</v>
      </c>
      <c r="Q121" s="61"/>
      <c r="R121" s="2"/>
      <c r="S121" s="2"/>
      <c r="T121" s="2"/>
      <c r="U121" s="2"/>
      <c r="V121" s="2"/>
      <c r="W121" s="2"/>
      <c r="X121" s="2"/>
      <c r="Y121" s="2"/>
      <c r="Z121" s="2"/>
      <c r="AA121" s="2"/>
      <c r="AB121" s="2"/>
      <c r="AC121" s="2"/>
    </row>
    <row r="122" spans="1:29" ht="14">
      <c r="A122" s="5">
        <v>117</v>
      </c>
      <c r="B122" s="6" t="s">
        <v>819</v>
      </c>
      <c r="C122" s="5"/>
      <c r="D122" s="93" t="s">
        <v>763</v>
      </c>
      <c r="E122" s="8" t="s">
        <v>382</v>
      </c>
      <c r="F122" s="9" t="s">
        <v>383</v>
      </c>
      <c r="G122" s="8"/>
      <c r="H122" s="6" t="s">
        <v>820</v>
      </c>
      <c r="I122" s="6" t="s">
        <v>821</v>
      </c>
      <c r="J122" s="6" t="s">
        <v>739</v>
      </c>
      <c r="K122" s="6" t="s">
        <v>822</v>
      </c>
      <c r="L122" s="6" t="s">
        <v>823</v>
      </c>
      <c r="M122" s="29" t="s">
        <v>60</v>
      </c>
      <c r="N122" s="10" t="s">
        <v>28</v>
      </c>
      <c r="O122" s="6"/>
      <c r="P122" s="30" t="s">
        <v>824</v>
      </c>
      <c r="Q122" s="61"/>
      <c r="R122" s="2"/>
      <c r="S122" s="2"/>
      <c r="T122" s="2"/>
      <c r="U122" s="2"/>
      <c r="V122" s="2"/>
      <c r="W122" s="2"/>
      <c r="X122" s="2"/>
      <c r="Y122" s="2"/>
      <c r="Z122" s="2"/>
      <c r="AA122" s="2"/>
      <c r="AB122" s="2"/>
      <c r="AC122" s="2"/>
    </row>
    <row r="123" spans="1:29" ht="13">
      <c r="A123" s="5">
        <v>118</v>
      </c>
      <c r="B123" s="6" t="s">
        <v>825</v>
      </c>
      <c r="C123" s="5">
        <v>3122380297</v>
      </c>
      <c r="D123" s="93" t="s">
        <v>763</v>
      </c>
      <c r="E123" s="8">
        <f>VLOOKUP(C123,'Trang tính3'!$B$10:$H$377,7,0)</f>
        <v>93.5</v>
      </c>
      <c r="F123" s="9" t="str">
        <f>VLOOKUP(C123,'Trang tính2'!$B$1:$D$175,3,0)</f>
        <v>2.83</v>
      </c>
      <c r="G123" s="8"/>
      <c r="H123" s="6" t="s">
        <v>826</v>
      </c>
      <c r="I123" s="6" t="s">
        <v>827</v>
      </c>
      <c r="J123" s="6" t="s">
        <v>766</v>
      </c>
      <c r="K123" s="6" t="s">
        <v>828</v>
      </c>
      <c r="L123" s="6" t="s">
        <v>829</v>
      </c>
      <c r="M123" s="10"/>
      <c r="N123" s="10" t="s">
        <v>28</v>
      </c>
      <c r="O123" s="6"/>
      <c r="P123" s="12" t="s">
        <v>830</v>
      </c>
      <c r="Q123" s="61"/>
      <c r="R123" s="2"/>
      <c r="S123" s="2"/>
      <c r="T123" s="2"/>
      <c r="U123" s="2"/>
      <c r="V123" s="2"/>
      <c r="W123" s="2"/>
      <c r="X123" s="2"/>
      <c r="Y123" s="2"/>
      <c r="Z123" s="2"/>
      <c r="AA123" s="2"/>
      <c r="AB123" s="2"/>
      <c r="AC123" s="2"/>
    </row>
    <row r="124" spans="1:29" ht="13">
      <c r="A124" s="5">
        <v>119</v>
      </c>
      <c r="B124" s="6" t="s">
        <v>831</v>
      </c>
      <c r="C124" s="5">
        <v>3123130056</v>
      </c>
      <c r="D124" s="93" t="s">
        <v>763</v>
      </c>
      <c r="E124" s="8">
        <f>VLOOKUP(C124,'Trang tính3'!$B$10:$H$377,7,0)</f>
        <v>94</v>
      </c>
      <c r="F124" s="9" t="str">
        <f>VLOOKUP(C124,'Trang tính2'!$B$1:$D$175,3,0)</f>
        <v>3.67</v>
      </c>
      <c r="G124" s="8"/>
      <c r="H124" s="6" t="s">
        <v>832</v>
      </c>
      <c r="I124" s="6" t="s">
        <v>833</v>
      </c>
      <c r="J124" s="6" t="s">
        <v>834</v>
      </c>
      <c r="K124" s="6" t="s">
        <v>835</v>
      </c>
      <c r="L124" s="6" t="s">
        <v>836</v>
      </c>
      <c r="M124" s="10"/>
      <c r="N124" s="10" t="s">
        <v>28</v>
      </c>
      <c r="O124" s="6"/>
      <c r="P124" s="12" t="s">
        <v>837</v>
      </c>
      <c r="Q124" s="61"/>
      <c r="R124" s="2"/>
      <c r="S124" s="2"/>
      <c r="T124" s="2"/>
      <c r="U124" s="2"/>
      <c r="V124" s="2"/>
      <c r="W124" s="2"/>
      <c r="X124" s="2"/>
      <c r="Y124" s="2"/>
      <c r="Z124" s="2"/>
      <c r="AA124" s="2"/>
      <c r="AB124" s="2"/>
      <c r="AC124" s="2"/>
    </row>
    <row r="125" spans="1:29" ht="13">
      <c r="A125" s="5">
        <v>120</v>
      </c>
      <c r="B125" s="6" t="s">
        <v>838</v>
      </c>
      <c r="C125" s="5">
        <v>3122380306</v>
      </c>
      <c r="D125" s="93" t="s">
        <v>763</v>
      </c>
      <c r="E125" s="8">
        <f>VLOOKUP(C125,'Trang tính3'!$B$10:$H$377,7,0)</f>
        <v>96.5</v>
      </c>
      <c r="F125" s="9" t="str">
        <f>VLOOKUP(C125,'Trang tính2'!$B$1:$D$175,3,0)</f>
        <v>3.75</v>
      </c>
      <c r="G125" s="8"/>
      <c r="H125" s="6" t="s">
        <v>839</v>
      </c>
      <c r="I125" s="6" t="s">
        <v>787</v>
      </c>
      <c r="J125" s="6" t="s">
        <v>840</v>
      </c>
      <c r="K125" s="6" t="s">
        <v>841</v>
      </c>
      <c r="L125" s="6" t="s">
        <v>842</v>
      </c>
      <c r="M125" s="10"/>
      <c r="N125" s="10" t="s">
        <v>28</v>
      </c>
      <c r="O125" s="6"/>
      <c r="P125" s="12" t="s">
        <v>843</v>
      </c>
      <c r="Q125" s="61"/>
      <c r="R125" s="2"/>
      <c r="S125" s="2"/>
      <c r="T125" s="2"/>
      <c r="U125" s="2"/>
      <c r="V125" s="2"/>
      <c r="W125" s="2"/>
      <c r="X125" s="2"/>
      <c r="Y125" s="2"/>
      <c r="Z125" s="2"/>
      <c r="AA125" s="2"/>
      <c r="AB125" s="2"/>
      <c r="AC125" s="2"/>
    </row>
    <row r="126" spans="1:29" ht="13">
      <c r="A126" s="5">
        <v>121</v>
      </c>
      <c r="B126" s="6" t="s">
        <v>844</v>
      </c>
      <c r="C126" s="5">
        <v>3121130006</v>
      </c>
      <c r="D126" s="93" t="s">
        <v>763</v>
      </c>
      <c r="E126" s="8">
        <f>VLOOKUP(C126,'Trang tính3'!$B$10:$H$377,7,0)</f>
        <v>98</v>
      </c>
      <c r="F126" s="9" t="str">
        <f>VLOOKUP(C126,'Trang tính2'!$B$1:$D$175,3,0)</f>
        <v>3.67</v>
      </c>
      <c r="G126" s="8"/>
      <c r="H126" s="6" t="s">
        <v>845</v>
      </c>
      <c r="I126" s="6" t="s">
        <v>846</v>
      </c>
      <c r="J126" s="6" t="s">
        <v>847</v>
      </c>
      <c r="K126" s="6" t="s">
        <v>848</v>
      </c>
      <c r="L126" s="6" t="s">
        <v>849</v>
      </c>
      <c r="M126" s="10"/>
      <c r="N126" s="10" t="s">
        <v>28</v>
      </c>
      <c r="O126" s="6"/>
      <c r="P126" s="12" t="s">
        <v>850</v>
      </c>
      <c r="Q126" s="61"/>
      <c r="R126" s="2"/>
      <c r="S126" s="2"/>
      <c r="T126" s="2"/>
      <c r="U126" s="2"/>
      <c r="V126" s="2"/>
      <c r="W126" s="2"/>
      <c r="X126" s="2"/>
      <c r="Y126" s="2"/>
      <c r="Z126" s="2"/>
      <c r="AA126" s="2"/>
      <c r="AB126" s="2"/>
      <c r="AC126" s="2"/>
    </row>
    <row r="127" spans="1:29" ht="13">
      <c r="A127" s="5">
        <v>122</v>
      </c>
      <c r="B127" s="21" t="s">
        <v>851</v>
      </c>
      <c r="C127" s="22">
        <v>3121380069</v>
      </c>
      <c r="D127" s="93" t="s">
        <v>763</v>
      </c>
      <c r="E127" s="8">
        <f>VLOOKUP(C127,'Trang tính3'!$B$10:$H$377,7,0)</f>
        <v>100</v>
      </c>
      <c r="F127" s="9" t="str">
        <f>VLOOKUP(C127,'Trang tính2'!$B$1:$D$175,3,0)</f>
        <v>4.00</v>
      </c>
      <c r="G127" s="23"/>
      <c r="H127" s="21" t="s">
        <v>852</v>
      </c>
      <c r="I127" s="21" t="s">
        <v>853</v>
      </c>
      <c r="J127" s="21" t="s">
        <v>854</v>
      </c>
      <c r="K127" s="21" t="s">
        <v>855</v>
      </c>
      <c r="L127" s="21" t="s">
        <v>856</v>
      </c>
      <c r="M127" s="24"/>
      <c r="N127" s="24" t="s">
        <v>28</v>
      </c>
      <c r="O127" s="21"/>
      <c r="P127" s="21"/>
      <c r="Q127" s="61"/>
      <c r="R127" s="26"/>
      <c r="S127" s="26"/>
      <c r="T127" s="26"/>
      <c r="U127" s="26"/>
      <c r="V127" s="26"/>
      <c r="W127" s="26"/>
      <c r="X127" s="26"/>
      <c r="Y127" s="26"/>
      <c r="Z127" s="26"/>
      <c r="AA127" s="26"/>
      <c r="AB127" s="26"/>
      <c r="AC127" s="26"/>
    </row>
    <row r="128" spans="1:29" ht="13">
      <c r="A128" s="5">
        <v>123</v>
      </c>
      <c r="B128" s="6" t="s">
        <v>857</v>
      </c>
      <c r="C128" s="5">
        <v>3122130044</v>
      </c>
      <c r="D128" s="93" t="s">
        <v>763</v>
      </c>
      <c r="E128" s="8">
        <f>VLOOKUP(C128,'Trang tính3'!$B$10:$H$377,7,0)</f>
        <v>97</v>
      </c>
      <c r="F128" s="9" t="str">
        <f>VLOOKUP(C128,'Trang tính2'!$B$1:$D$175,3,0)</f>
        <v>3.66</v>
      </c>
      <c r="G128" s="8"/>
      <c r="H128" s="6" t="s">
        <v>858</v>
      </c>
      <c r="I128" s="6" t="s">
        <v>787</v>
      </c>
      <c r="J128" s="6" t="s">
        <v>766</v>
      </c>
      <c r="K128" s="6" t="s">
        <v>841</v>
      </c>
      <c r="L128" s="6" t="s">
        <v>859</v>
      </c>
      <c r="M128" s="10"/>
      <c r="N128" s="10" t="s">
        <v>28</v>
      </c>
      <c r="O128" s="6"/>
      <c r="P128" s="12" t="s">
        <v>860</v>
      </c>
      <c r="Q128" s="61"/>
      <c r="R128" s="2"/>
      <c r="S128" s="2"/>
      <c r="T128" s="2"/>
      <c r="U128" s="2"/>
      <c r="V128" s="2"/>
      <c r="W128" s="2"/>
      <c r="X128" s="2"/>
      <c r="Y128" s="2"/>
      <c r="Z128" s="2"/>
      <c r="AA128" s="2"/>
      <c r="AB128" s="2"/>
      <c r="AC128" s="2"/>
    </row>
    <row r="129" spans="1:29" ht="13">
      <c r="A129" s="5">
        <v>124</v>
      </c>
      <c r="B129" s="6" t="s">
        <v>861</v>
      </c>
      <c r="C129" s="5">
        <v>3124130012</v>
      </c>
      <c r="D129" s="93" t="s">
        <v>763</v>
      </c>
      <c r="E129" s="8">
        <f>VLOOKUP(C129,'Trang tính3'!$B$10:$H$377,7,0)</f>
        <v>95.7</v>
      </c>
      <c r="F129" s="9" t="str">
        <f>VLOOKUP(C129,'Trang tính2'!$B$1:$D$175,3,0)</f>
        <v>3.79</v>
      </c>
      <c r="G129" s="8"/>
      <c r="H129" s="6" t="s">
        <v>862</v>
      </c>
      <c r="I129" s="6" t="s">
        <v>863</v>
      </c>
      <c r="J129" s="6" t="s">
        <v>864</v>
      </c>
      <c r="K129" s="6" t="s">
        <v>865</v>
      </c>
      <c r="L129" s="6" t="s">
        <v>866</v>
      </c>
      <c r="M129" s="10"/>
      <c r="N129" s="10" t="s">
        <v>28</v>
      </c>
      <c r="O129" s="6"/>
      <c r="P129" s="12" t="s">
        <v>867</v>
      </c>
      <c r="Q129" s="61"/>
      <c r="R129" s="2"/>
      <c r="S129" s="2"/>
      <c r="T129" s="2"/>
      <c r="U129" s="2"/>
      <c r="V129" s="2"/>
      <c r="W129" s="2"/>
      <c r="X129" s="2"/>
      <c r="Y129" s="2"/>
      <c r="Z129" s="2"/>
      <c r="AA129" s="2"/>
      <c r="AB129" s="2"/>
      <c r="AC129" s="2"/>
    </row>
    <row r="130" spans="1:29" ht="13">
      <c r="A130" s="5">
        <v>125</v>
      </c>
      <c r="B130" s="6" t="s">
        <v>868</v>
      </c>
      <c r="C130" s="5">
        <v>3123130140</v>
      </c>
      <c r="D130" s="93" t="s">
        <v>763</v>
      </c>
      <c r="E130" s="8">
        <f>VLOOKUP(C130,'Trang tính3'!$B$10:$H$377,7,0)</f>
        <v>99</v>
      </c>
      <c r="F130" s="9" t="str">
        <f>VLOOKUP(C130,'Trang tính2'!$B$1:$D$175,3,0)</f>
        <v>3.29</v>
      </c>
      <c r="G130" s="8"/>
      <c r="H130" s="6" t="s">
        <v>869</v>
      </c>
      <c r="I130" s="6" t="s">
        <v>870</v>
      </c>
      <c r="J130" s="6" t="s">
        <v>766</v>
      </c>
      <c r="K130" s="6" t="s">
        <v>871</v>
      </c>
      <c r="L130" s="6" t="s">
        <v>872</v>
      </c>
      <c r="M130" s="10"/>
      <c r="N130" s="10" t="s">
        <v>28</v>
      </c>
      <c r="O130" s="6"/>
      <c r="P130" s="12" t="s">
        <v>873</v>
      </c>
      <c r="Q130" s="61"/>
      <c r="R130" s="2"/>
      <c r="S130" s="2"/>
      <c r="T130" s="2"/>
      <c r="U130" s="2"/>
      <c r="V130" s="2"/>
      <c r="W130" s="2"/>
      <c r="X130" s="2"/>
      <c r="Y130" s="2"/>
      <c r="Z130" s="2"/>
      <c r="AA130" s="2"/>
      <c r="AB130" s="2"/>
      <c r="AC130" s="2"/>
    </row>
    <row r="131" spans="1:29" ht="13">
      <c r="A131" s="5">
        <v>126</v>
      </c>
      <c r="B131" s="6" t="s">
        <v>874</v>
      </c>
      <c r="C131" s="5">
        <v>3123130108</v>
      </c>
      <c r="D131" s="93" t="s">
        <v>763</v>
      </c>
      <c r="E131" s="8">
        <f>VLOOKUP(C131,'Trang tính3'!$B$10:$H$377,7,0)</f>
        <v>100</v>
      </c>
      <c r="F131" s="9" t="str">
        <f>VLOOKUP(C131,'Trang tính2'!$B$1:$D$175,3,0)</f>
        <v>4.00</v>
      </c>
      <c r="G131" s="8"/>
      <c r="H131" s="6" t="s">
        <v>875</v>
      </c>
      <c r="I131" s="6" t="s">
        <v>876</v>
      </c>
      <c r="J131" s="6" t="s">
        <v>877</v>
      </c>
      <c r="K131" s="6" t="s">
        <v>878</v>
      </c>
      <c r="L131" s="6" t="s">
        <v>879</v>
      </c>
      <c r="M131" s="10"/>
      <c r="N131" s="10" t="s">
        <v>28</v>
      </c>
      <c r="O131" s="6"/>
      <c r="P131" s="12" t="s">
        <v>880</v>
      </c>
      <c r="Q131" s="61"/>
      <c r="R131" s="2"/>
      <c r="S131" s="2"/>
      <c r="T131" s="2"/>
      <c r="U131" s="2"/>
      <c r="V131" s="2"/>
      <c r="W131" s="2"/>
      <c r="X131" s="2"/>
      <c r="Y131" s="2"/>
      <c r="Z131" s="2"/>
      <c r="AA131" s="2"/>
      <c r="AB131" s="2"/>
      <c r="AC131" s="2"/>
    </row>
    <row r="132" spans="1:29" ht="13">
      <c r="A132" s="5">
        <v>127</v>
      </c>
      <c r="B132" s="6" t="s">
        <v>881</v>
      </c>
      <c r="C132" s="5">
        <v>3123380117</v>
      </c>
      <c r="D132" s="93" t="s">
        <v>763</v>
      </c>
      <c r="E132" s="8">
        <f>VLOOKUP(C132,'Trang tính3'!$B$10:$H$377,7,0)</f>
        <v>100</v>
      </c>
      <c r="F132" s="9" t="str">
        <f>VLOOKUP(C132,'Trang tính2'!$B$1:$D$175,3,0)</f>
        <v>3.47</v>
      </c>
      <c r="G132" s="8"/>
      <c r="H132" s="6" t="s">
        <v>882</v>
      </c>
      <c r="I132" s="6" t="s">
        <v>883</v>
      </c>
      <c r="J132" s="6" t="s">
        <v>884</v>
      </c>
      <c r="K132" s="6" t="s">
        <v>885</v>
      </c>
      <c r="L132" s="6" t="s">
        <v>886</v>
      </c>
      <c r="M132" s="10"/>
      <c r="N132" s="10" t="s">
        <v>28</v>
      </c>
      <c r="O132" s="6"/>
      <c r="P132" s="12" t="s">
        <v>887</v>
      </c>
      <c r="Q132" s="61"/>
      <c r="R132" s="2"/>
      <c r="S132" s="2"/>
      <c r="T132" s="2"/>
      <c r="U132" s="2"/>
      <c r="V132" s="2"/>
      <c r="W132" s="2"/>
      <c r="X132" s="2"/>
      <c r="Y132" s="2"/>
      <c r="Z132" s="2"/>
      <c r="AA132" s="2"/>
      <c r="AB132" s="2"/>
      <c r="AC132" s="2"/>
    </row>
    <row r="133" spans="1:29" ht="13">
      <c r="A133" s="5">
        <v>128</v>
      </c>
      <c r="B133" s="6" t="s">
        <v>888</v>
      </c>
      <c r="C133" s="5">
        <v>3123380105</v>
      </c>
      <c r="D133" s="93" t="s">
        <v>763</v>
      </c>
      <c r="E133" s="8">
        <f>VLOOKUP(C133,'Trang tính3'!$B$10:$H$377,7,0)</f>
        <v>100</v>
      </c>
      <c r="F133" s="9" t="str">
        <f>VLOOKUP(C133,'Trang tính2'!$B$1:$D$175,3,0)</f>
        <v>3.57</v>
      </c>
      <c r="G133" s="8"/>
      <c r="H133" s="6" t="s">
        <v>889</v>
      </c>
      <c r="I133" s="6" t="s">
        <v>883</v>
      </c>
      <c r="J133" s="6" t="s">
        <v>766</v>
      </c>
      <c r="K133" s="6" t="s">
        <v>890</v>
      </c>
      <c r="L133" s="6" t="s">
        <v>891</v>
      </c>
      <c r="M133" s="10"/>
      <c r="N133" s="10" t="s">
        <v>28</v>
      </c>
      <c r="O133" s="6"/>
      <c r="P133" s="12" t="s">
        <v>892</v>
      </c>
      <c r="Q133" s="61"/>
      <c r="R133" s="2"/>
      <c r="S133" s="2"/>
      <c r="T133" s="2"/>
      <c r="U133" s="2"/>
      <c r="V133" s="2"/>
      <c r="W133" s="2"/>
      <c r="X133" s="2"/>
      <c r="Y133" s="2"/>
      <c r="Z133" s="2"/>
      <c r="AA133" s="2"/>
      <c r="AB133" s="2"/>
      <c r="AC133" s="2"/>
    </row>
    <row r="134" spans="1:29" ht="13">
      <c r="A134" s="5">
        <v>129</v>
      </c>
      <c r="B134" s="6" t="s">
        <v>893</v>
      </c>
      <c r="C134" s="5">
        <v>3123130052</v>
      </c>
      <c r="D134" s="93" t="s">
        <v>763</v>
      </c>
      <c r="E134" s="8">
        <f>VLOOKUP(C134,'Trang tính3'!$B$10:$H$377,7,0)</f>
        <v>96</v>
      </c>
      <c r="F134" s="8" t="str">
        <f>VLOOKUP(C134,'Trang tính2'!$B$1:$D$175,3,0)</f>
        <v>3.75</v>
      </c>
      <c r="G134" s="8"/>
      <c r="H134" s="6" t="s">
        <v>894</v>
      </c>
      <c r="I134" s="6" t="s">
        <v>895</v>
      </c>
      <c r="J134" s="6" t="s">
        <v>896</v>
      </c>
      <c r="K134" s="6" t="s">
        <v>897</v>
      </c>
      <c r="L134" s="6" t="s">
        <v>898</v>
      </c>
      <c r="M134" s="10"/>
      <c r="N134" s="10" t="s">
        <v>28</v>
      </c>
      <c r="O134" s="12" t="s">
        <v>899</v>
      </c>
      <c r="P134" s="12" t="s">
        <v>900</v>
      </c>
      <c r="Q134" s="61"/>
      <c r="R134" s="2"/>
      <c r="S134" s="2"/>
      <c r="T134" s="2"/>
      <c r="U134" s="2"/>
      <c r="V134" s="2"/>
      <c r="W134" s="2"/>
      <c r="X134" s="2"/>
      <c r="Y134" s="2"/>
      <c r="Z134" s="2"/>
      <c r="AA134" s="2"/>
      <c r="AB134" s="2"/>
      <c r="AC134" s="2"/>
    </row>
    <row r="135" spans="1:29" ht="13">
      <c r="A135" s="5">
        <v>130</v>
      </c>
      <c r="B135" s="14" t="s">
        <v>901</v>
      </c>
      <c r="C135" s="31" t="s">
        <v>902</v>
      </c>
      <c r="D135" s="91" t="s">
        <v>903</v>
      </c>
      <c r="E135" s="8" t="s">
        <v>745</v>
      </c>
      <c r="F135" s="9" t="s">
        <v>904</v>
      </c>
      <c r="G135" s="9"/>
      <c r="H135" s="14" t="s">
        <v>905</v>
      </c>
      <c r="I135" s="14" t="s">
        <v>906</v>
      </c>
      <c r="J135" s="14" t="s">
        <v>907</v>
      </c>
      <c r="K135" s="14" t="s">
        <v>908</v>
      </c>
      <c r="L135" s="14" t="s">
        <v>909</v>
      </c>
      <c r="M135" s="16"/>
      <c r="N135" s="16" t="s">
        <v>28</v>
      </c>
      <c r="O135" s="17" t="s">
        <v>910</v>
      </c>
      <c r="P135" s="17" t="s">
        <v>911</v>
      </c>
      <c r="Q135" s="67" t="s">
        <v>912</v>
      </c>
      <c r="R135" s="2"/>
      <c r="S135" s="2"/>
      <c r="T135" s="2"/>
      <c r="U135" s="2"/>
      <c r="V135" s="2"/>
      <c r="W135" s="2"/>
      <c r="X135" s="2"/>
      <c r="Y135" s="2"/>
      <c r="Z135" s="2"/>
      <c r="AA135" s="2"/>
      <c r="AB135" s="2"/>
      <c r="AC135" s="2"/>
    </row>
    <row r="136" spans="1:29" ht="13">
      <c r="A136" s="5">
        <v>131</v>
      </c>
      <c r="B136" s="14" t="s">
        <v>913</v>
      </c>
      <c r="C136" s="15">
        <v>3124190142</v>
      </c>
      <c r="D136" s="91" t="s">
        <v>903</v>
      </c>
      <c r="E136" s="8" t="s">
        <v>914</v>
      </c>
      <c r="F136" s="9" t="s">
        <v>915</v>
      </c>
      <c r="G136" s="9"/>
      <c r="H136" s="14" t="s">
        <v>916</v>
      </c>
      <c r="I136" s="14" t="s">
        <v>917</v>
      </c>
      <c r="J136" s="14" t="s">
        <v>918</v>
      </c>
      <c r="K136" s="14" t="s">
        <v>919</v>
      </c>
      <c r="L136" s="14" t="s">
        <v>920</v>
      </c>
      <c r="M136" s="16"/>
      <c r="N136" s="16" t="s">
        <v>28</v>
      </c>
      <c r="O136" s="14"/>
      <c r="P136" s="17" t="s">
        <v>921</v>
      </c>
      <c r="Q136" s="61"/>
      <c r="R136" s="2"/>
      <c r="S136" s="2"/>
      <c r="T136" s="2"/>
      <c r="U136" s="2"/>
      <c r="V136" s="2"/>
      <c r="W136" s="2"/>
      <c r="X136" s="2"/>
      <c r="Y136" s="2"/>
      <c r="Z136" s="2"/>
      <c r="AA136" s="2"/>
      <c r="AB136" s="2"/>
      <c r="AC136" s="2"/>
    </row>
    <row r="137" spans="1:29" ht="13">
      <c r="A137" s="5">
        <v>132</v>
      </c>
      <c r="B137" s="14" t="s">
        <v>922</v>
      </c>
      <c r="C137" s="15">
        <v>3122190105</v>
      </c>
      <c r="D137" s="91" t="s">
        <v>903</v>
      </c>
      <c r="E137" s="8" t="s">
        <v>923</v>
      </c>
      <c r="F137" s="9" t="s">
        <v>924</v>
      </c>
      <c r="G137" s="9"/>
      <c r="H137" s="14" t="s">
        <v>925</v>
      </c>
      <c r="I137" s="14" t="s">
        <v>926</v>
      </c>
      <c r="J137" s="14" t="s">
        <v>927</v>
      </c>
      <c r="K137" s="14" t="s">
        <v>928</v>
      </c>
      <c r="L137" s="14" t="s">
        <v>929</v>
      </c>
      <c r="M137" s="16"/>
      <c r="N137" s="16" t="s">
        <v>28</v>
      </c>
      <c r="O137" s="17" t="s">
        <v>930</v>
      </c>
      <c r="P137" s="17" t="s">
        <v>931</v>
      </c>
      <c r="Q137" s="61"/>
      <c r="R137" s="2"/>
      <c r="S137" s="2"/>
      <c r="T137" s="2"/>
      <c r="U137" s="2"/>
      <c r="V137" s="2"/>
      <c r="W137" s="2"/>
      <c r="X137" s="2"/>
      <c r="Y137" s="2"/>
      <c r="Z137" s="2"/>
      <c r="AA137" s="2"/>
      <c r="AB137" s="2"/>
      <c r="AC137" s="2"/>
    </row>
    <row r="138" spans="1:29" ht="13">
      <c r="A138" s="5">
        <v>133</v>
      </c>
      <c r="B138" s="14" t="s">
        <v>932</v>
      </c>
      <c r="C138" s="15">
        <v>3123190077</v>
      </c>
      <c r="D138" s="91" t="s">
        <v>903</v>
      </c>
      <c r="E138" s="8" t="s">
        <v>195</v>
      </c>
      <c r="F138" s="9" t="s">
        <v>904</v>
      </c>
      <c r="G138" s="9"/>
      <c r="H138" s="14" t="s">
        <v>933</v>
      </c>
      <c r="I138" s="14" t="s">
        <v>934</v>
      </c>
      <c r="J138" s="14" t="s">
        <v>935</v>
      </c>
      <c r="K138" s="14" t="s">
        <v>936</v>
      </c>
      <c r="L138" s="14" t="s">
        <v>937</v>
      </c>
      <c r="M138" s="16"/>
      <c r="N138" s="16" t="s">
        <v>28</v>
      </c>
      <c r="O138" s="14"/>
      <c r="P138" s="17" t="s">
        <v>938</v>
      </c>
      <c r="Q138" s="61"/>
      <c r="R138" s="2"/>
      <c r="S138" s="2"/>
      <c r="T138" s="2"/>
      <c r="U138" s="2"/>
      <c r="V138" s="2"/>
      <c r="W138" s="2"/>
      <c r="X138" s="2"/>
      <c r="Y138" s="2"/>
      <c r="Z138" s="2"/>
      <c r="AA138" s="2"/>
      <c r="AB138" s="2"/>
      <c r="AC138" s="2"/>
    </row>
    <row r="139" spans="1:29" ht="13">
      <c r="A139" s="5">
        <v>134</v>
      </c>
      <c r="B139" s="14" t="s">
        <v>939</v>
      </c>
      <c r="C139" s="15">
        <v>3123190099</v>
      </c>
      <c r="D139" s="91" t="s">
        <v>903</v>
      </c>
      <c r="E139" s="8" t="s">
        <v>195</v>
      </c>
      <c r="F139" s="9" t="s">
        <v>940</v>
      </c>
      <c r="G139" s="9"/>
      <c r="H139" s="14" t="s">
        <v>941</v>
      </c>
      <c r="I139" s="14" t="s">
        <v>942</v>
      </c>
      <c r="J139" s="14" t="s">
        <v>943</v>
      </c>
      <c r="K139" s="14" t="s">
        <v>944</v>
      </c>
      <c r="L139" s="14" t="s">
        <v>945</v>
      </c>
      <c r="M139" s="16"/>
      <c r="N139" s="16" t="s">
        <v>28</v>
      </c>
      <c r="O139" s="14"/>
      <c r="P139" s="17" t="s">
        <v>946</v>
      </c>
      <c r="Q139" s="61"/>
      <c r="R139" s="2"/>
      <c r="S139" s="2"/>
      <c r="T139" s="2"/>
      <c r="U139" s="2"/>
      <c r="V139" s="2"/>
      <c r="W139" s="2"/>
      <c r="X139" s="2"/>
      <c r="Y139" s="2"/>
      <c r="Z139" s="2"/>
      <c r="AA139" s="2"/>
      <c r="AB139" s="2"/>
      <c r="AC139" s="2"/>
    </row>
    <row r="140" spans="1:29" ht="13">
      <c r="A140" s="5">
        <v>135</v>
      </c>
      <c r="B140" s="14" t="s">
        <v>947</v>
      </c>
      <c r="C140" s="15">
        <v>3123190005</v>
      </c>
      <c r="D140" s="91" t="s">
        <v>903</v>
      </c>
      <c r="E140" s="8" t="s">
        <v>948</v>
      </c>
      <c r="F140" s="9" t="s">
        <v>949</v>
      </c>
      <c r="G140" s="9"/>
      <c r="H140" s="14" t="s">
        <v>950</v>
      </c>
      <c r="I140" s="14" t="s">
        <v>951</v>
      </c>
      <c r="J140" s="14" t="s">
        <v>952</v>
      </c>
      <c r="K140" s="14" t="s">
        <v>953</v>
      </c>
      <c r="L140" s="14" t="s">
        <v>954</v>
      </c>
      <c r="M140" s="16"/>
      <c r="N140" s="16" t="s">
        <v>28</v>
      </c>
      <c r="O140" s="14"/>
      <c r="P140" s="17" t="s">
        <v>955</v>
      </c>
      <c r="Q140" s="61"/>
      <c r="R140" s="2"/>
      <c r="S140" s="2"/>
      <c r="T140" s="2"/>
      <c r="U140" s="2"/>
      <c r="V140" s="2"/>
      <c r="W140" s="2"/>
      <c r="X140" s="2"/>
      <c r="Y140" s="2"/>
      <c r="Z140" s="2"/>
      <c r="AA140" s="2"/>
      <c r="AB140" s="2"/>
      <c r="AC140" s="2"/>
    </row>
    <row r="141" spans="1:29" ht="14">
      <c r="A141" s="5">
        <v>136</v>
      </c>
      <c r="B141" s="14" t="s">
        <v>956</v>
      </c>
      <c r="C141" s="15">
        <v>3122190086</v>
      </c>
      <c r="D141" s="91" t="s">
        <v>903</v>
      </c>
      <c r="E141" s="8" t="s">
        <v>195</v>
      </c>
      <c r="F141" s="9" t="s">
        <v>957</v>
      </c>
      <c r="G141" s="9"/>
      <c r="H141" s="14" t="s">
        <v>730</v>
      </c>
      <c r="I141" s="14" t="s">
        <v>958</v>
      </c>
      <c r="J141" s="14" t="s">
        <v>959</v>
      </c>
      <c r="K141" s="14" t="s">
        <v>960</v>
      </c>
      <c r="L141" s="14" t="s">
        <v>961</v>
      </c>
      <c r="M141" s="16" t="s">
        <v>60</v>
      </c>
      <c r="N141" s="16" t="s">
        <v>28</v>
      </c>
      <c r="O141" s="32" t="s">
        <v>962</v>
      </c>
      <c r="P141" s="19" t="s">
        <v>963</v>
      </c>
      <c r="Q141" s="62"/>
      <c r="R141" s="2"/>
      <c r="S141" s="2"/>
      <c r="T141" s="2"/>
      <c r="U141" s="2"/>
      <c r="V141" s="2"/>
      <c r="W141" s="2"/>
      <c r="X141" s="2"/>
      <c r="Y141" s="2"/>
      <c r="Z141" s="2"/>
      <c r="AA141" s="2"/>
      <c r="AB141" s="2"/>
      <c r="AC141" s="2"/>
    </row>
    <row r="142" spans="1:29" ht="13" customHeight="1">
      <c r="A142" s="5">
        <v>137</v>
      </c>
      <c r="B142" s="6" t="s">
        <v>964</v>
      </c>
      <c r="C142" s="5">
        <v>3123010031</v>
      </c>
      <c r="D142" s="90" t="s">
        <v>965</v>
      </c>
      <c r="E142" s="8">
        <f>VLOOKUP(C142,'Trang tính3'!$B$10:$H$377,7,0)</f>
        <v>100</v>
      </c>
      <c r="F142" s="9" t="str">
        <f>VLOOKUP(C142,'Trang tính2'!$B$1:$D$175,3,0)</f>
        <v>3.41</v>
      </c>
      <c r="G142" s="8"/>
      <c r="H142" s="6" t="s">
        <v>966</v>
      </c>
      <c r="I142" s="6" t="s">
        <v>967</v>
      </c>
      <c r="J142" s="6" t="s">
        <v>968</v>
      </c>
      <c r="K142" s="6" t="s">
        <v>969</v>
      </c>
      <c r="L142" s="6" t="s">
        <v>970</v>
      </c>
      <c r="M142" s="10"/>
      <c r="N142" s="10" t="s">
        <v>28</v>
      </c>
      <c r="O142" s="12" t="s">
        <v>971</v>
      </c>
      <c r="P142" s="12" t="s">
        <v>972</v>
      </c>
      <c r="Q142" s="60" t="s">
        <v>973</v>
      </c>
      <c r="R142" s="2"/>
      <c r="S142" s="2"/>
      <c r="T142" s="2"/>
      <c r="U142" s="2"/>
      <c r="V142" s="2"/>
      <c r="W142" s="2"/>
      <c r="X142" s="2"/>
      <c r="Y142" s="2"/>
      <c r="Z142" s="2"/>
      <c r="AA142" s="2"/>
      <c r="AB142" s="2"/>
      <c r="AC142" s="2"/>
    </row>
    <row r="143" spans="1:29" ht="26">
      <c r="A143" s="5">
        <v>138</v>
      </c>
      <c r="B143" s="6" t="s">
        <v>974</v>
      </c>
      <c r="C143" s="5">
        <v>3123010004</v>
      </c>
      <c r="D143" s="90" t="s">
        <v>965</v>
      </c>
      <c r="E143" s="8">
        <f>VLOOKUP(C143,'Trang tính3'!$B$10:$H$377,7,0)</f>
        <v>96</v>
      </c>
      <c r="F143" s="9" t="str">
        <f>VLOOKUP(C143,'Trang tính2'!$B$1:$D$175,3,0)</f>
        <v>3.44</v>
      </c>
      <c r="G143" s="8"/>
      <c r="H143" s="6" t="s">
        <v>975</v>
      </c>
      <c r="I143" s="6" t="s">
        <v>976</v>
      </c>
      <c r="J143" s="6" t="s">
        <v>977</v>
      </c>
      <c r="K143" s="6" t="s">
        <v>978</v>
      </c>
      <c r="L143" s="6" t="s">
        <v>979</v>
      </c>
      <c r="M143" s="10"/>
      <c r="N143" s="10" t="s">
        <v>28</v>
      </c>
      <c r="O143" s="12" t="s">
        <v>971</v>
      </c>
      <c r="P143" s="12" t="s">
        <v>972</v>
      </c>
      <c r="Q143" s="61"/>
      <c r="R143" s="2"/>
      <c r="S143" s="2"/>
      <c r="T143" s="2"/>
      <c r="U143" s="2"/>
      <c r="V143" s="2"/>
      <c r="W143" s="2"/>
      <c r="X143" s="2"/>
      <c r="Y143" s="2"/>
      <c r="Z143" s="2"/>
      <c r="AA143" s="2"/>
      <c r="AB143" s="2"/>
      <c r="AC143" s="2"/>
    </row>
    <row r="144" spans="1:29" ht="26">
      <c r="A144" s="5">
        <v>139</v>
      </c>
      <c r="B144" s="6" t="s">
        <v>980</v>
      </c>
      <c r="C144" s="5">
        <v>3123010033</v>
      </c>
      <c r="D144" s="90" t="s">
        <v>965</v>
      </c>
      <c r="E144" s="8">
        <f>VLOOKUP(C144,'Trang tính3'!$B$10:$H$377,7,0)</f>
        <v>98.5</v>
      </c>
      <c r="F144" s="9" t="str">
        <f>VLOOKUP(C144,'Trang tính2'!$B$1:$D$175,3,0)</f>
        <v>3.49</v>
      </c>
      <c r="G144" s="8"/>
      <c r="H144" s="6" t="s">
        <v>981</v>
      </c>
      <c r="I144" s="6" t="s">
        <v>976</v>
      </c>
      <c r="J144" s="6" t="s">
        <v>977</v>
      </c>
      <c r="K144" s="6" t="s">
        <v>982</v>
      </c>
      <c r="L144" s="6" t="s">
        <v>983</v>
      </c>
      <c r="M144" s="10"/>
      <c r="N144" s="10" t="s">
        <v>28</v>
      </c>
      <c r="O144" s="12" t="s">
        <v>971</v>
      </c>
      <c r="P144" s="12" t="s">
        <v>972</v>
      </c>
      <c r="Q144" s="61"/>
      <c r="R144" s="2"/>
      <c r="S144" s="2"/>
      <c r="T144" s="2"/>
      <c r="U144" s="2"/>
      <c r="V144" s="2"/>
      <c r="W144" s="2"/>
      <c r="X144" s="2"/>
      <c r="Y144" s="2"/>
      <c r="Z144" s="2"/>
      <c r="AA144" s="2"/>
      <c r="AB144" s="2"/>
      <c r="AC144" s="2"/>
    </row>
    <row r="145" spans="1:29" ht="26">
      <c r="A145" s="5">
        <v>140</v>
      </c>
      <c r="B145" s="6" t="s">
        <v>984</v>
      </c>
      <c r="C145" s="5">
        <v>3124480032</v>
      </c>
      <c r="D145" s="90" t="s">
        <v>965</v>
      </c>
      <c r="E145" s="8">
        <f>VLOOKUP(C145,'Trang tính3'!$B$10:$H$377,7,0)</f>
        <v>98.7</v>
      </c>
      <c r="F145" s="9" t="str">
        <f>VLOOKUP(C145,'Trang tính2'!$B$1:$D$175,3,0)</f>
        <v>3.51</v>
      </c>
      <c r="G145" s="8"/>
      <c r="H145" s="6" t="s">
        <v>985</v>
      </c>
      <c r="I145" s="6" t="s">
        <v>986</v>
      </c>
      <c r="J145" s="6" t="s">
        <v>987</v>
      </c>
      <c r="K145" s="6" t="s">
        <v>988</v>
      </c>
      <c r="L145" s="6" t="s">
        <v>989</v>
      </c>
      <c r="M145" s="10"/>
      <c r="N145" s="10" t="s">
        <v>28</v>
      </c>
      <c r="O145" s="12" t="s">
        <v>971</v>
      </c>
      <c r="P145" s="12" t="s">
        <v>972</v>
      </c>
      <c r="Q145" s="61"/>
      <c r="R145" s="2"/>
      <c r="S145" s="2"/>
      <c r="T145" s="2"/>
      <c r="U145" s="2"/>
      <c r="V145" s="2"/>
      <c r="W145" s="2"/>
      <c r="X145" s="2"/>
      <c r="Y145" s="2"/>
      <c r="Z145" s="2"/>
      <c r="AA145" s="2"/>
      <c r="AB145" s="2"/>
      <c r="AC145" s="2"/>
    </row>
    <row r="146" spans="1:29" ht="26">
      <c r="A146" s="5">
        <v>141</v>
      </c>
      <c r="B146" s="6" t="s">
        <v>990</v>
      </c>
      <c r="C146" s="5">
        <v>3124580016</v>
      </c>
      <c r="D146" s="90" t="s">
        <v>965</v>
      </c>
      <c r="E146" s="8">
        <f>VLOOKUP(C146,'Trang tính3'!$B$10:$H$377,7,0)</f>
        <v>95.7</v>
      </c>
      <c r="F146" s="9" t="str">
        <f>VLOOKUP(C146,'Trang tính2'!$B$1:$D$175,3,0)</f>
        <v>3.27</v>
      </c>
      <c r="G146" s="8"/>
      <c r="H146" s="6" t="s">
        <v>991</v>
      </c>
      <c r="I146" s="6" t="s">
        <v>992</v>
      </c>
      <c r="J146" s="6" t="s">
        <v>993</v>
      </c>
      <c r="K146" s="6" t="s">
        <v>994</v>
      </c>
      <c r="L146" s="6" t="s">
        <v>995</v>
      </c>
      <c r="M146" s="10"/>
      <c r="N146" s="10" t="s">
        <v>28</v>
      </c>
      <c r="O146" s="12" t="s">
        <v>971</v>
      </c>
      <c r="P146" s="12" t="s">
        <v>972</v>
      </c>
      <c r="Q146" s="61"/>
      <c r="R146" s="2"/>
      <c r="S146" s="2"/>
      <c r="T146" s="2"/>
      <c r="U146" s="2"/>
      <c r="V146" s="2"/>
      <c r="W146" s="2"/>
      <c r="X146" s="2"/>
      <c r="Y146" s="2"/>
      <c r="Z146" s="2"/>
      <c r="AA146" s="2"/>
      <c r="AB146" s="2"/>
      <c r="AC146" s="2"/>
    </row>
    <row r="147" spans="1:29" ht="26">
      <c r="A147" s="5">
        <v>142</v>
      </c>
      <c r="B147" s="6" t="s">
        <v>996</v>
      </c>
      <c r="C147" s="5">
        <v>3123480002</v>
      </c>
      <c r="D147" s="90" t="s">
        <v>965</v>
      </c>
      <c r="E147" s="8">
        <f>VLOOKUP(C147,'Trang tính3'!$B$10:$H$377,7,0)</f>
        <v>96</v>
      </c>
      <c r="F147" s="9" t="str">
        <f>VLOOKUP(C147,'Trang tính2'!$B$1:$D$175,3,0)</f>
        <v>3.26</v>
      </c>
      <c r="G147" s="8"/>
      <c r="H147" s="6" t="s">
        <v>997</v>
      </c>
      <c r="I147" s="6" t="s">
        <v>998</v>
      </c>
      <c r="J147" s="6" t="s">
        <v>999</v>
      </c>
      <c r="K147" s="6" t="s">
        <v>1000</v>
      </c>
      <c r="L147" s="6" t="s">
        <v>1001</v>
      </c>
      <c r="M147" s="10"/>
      <c r="N147" s="10" t="s">
        <v>28</v>
      </c>
      <c r="O147" s="12" t="s">
        <v>971</v>
      </c>
      <c r="P147" s="12" t="s">
        <v>972</v>
      </c>
      <c r="Q147" s="61"/>
      <c r="R147" s="2"/>
      <c r="S147" s="2"/>
      <c r="T147" s="2"/>
      <c r="U147" s="2"/>
      <c r="V147" s="2"/>
      <c r="W147" s="2"/>
      <c r="X147" s="2"/>
      <c r="Y147" s="2"/>
      <c r="Z147" s="2"/>
      <c r="AA147" s="2"/>
      <c r="AB147" s="2"/>
      <c r="AC147" s="2"/>
    </row>
    <row r="148" spans="1:29" ht="26">
      <c r="A148" s="5">
        <v>143</v>
      </c>
      <c r="B148" s="6" t="s">
        <v>1002</v>
      </c>
      <c r="C148" s="5">
        <v>3124580011</v>
      </c>
      <c r="D148" s="90" t="s">
        <v>965</v>
      </c>
      <c r="E148" s="8">
        <f>VLOOKUP(C148,'Trang tính3'!$B$10:$H$377,7,0)</f>
        <v>95.3</v>
      </c>
      <c r="F148" s="9">
        <f>VLOOKUP(C148,'Trang tính2'!$B$1:$D$175,3,0)</f>
        <v>3.12</v>
      </c>
      <c r="G148" s="8"/>
      <c r="H148" s="6" t="s">
        <v>1003</v>
      </c>
      <c r="I148" s="6" t="s">
        <v>1004</v>
      </c>
      <c r="J148" s="6" t="s">
        <v>1005</v>
      </c>
      <c r="K148" s="6" t="s">
        <v>1006</v>
      </c>
      <c r="L148" s="6" t="s">
        <v>1007</v>
      </c>
      <c r="M148" s="10"/>
      <c r="N148" s="10" t="s">
        <v>28</v>
      </c>
      <c r="O148" s="12" t="s">
        <v>971</v>
      </c>
      <c r="P148" s="12" t="s">
        <v>972</v>
      </c>
      <c r="Q148" s="61"/>
      <c r="R148" s="2"/>
      <c r="S148" s="2"/>
      <c r="T148" s="2"/>
      <c r="U148" s="2"/>
      <c r="V148" s="2"/>
      <c r="W148" s="2"/>
      <c r="X148" s="2"/>
      <c r="Y148" s="2"/>
      <c r="Z148" s="2"/>
      <c r="AA148" s="2"/>
      <c r="AB148" s="2"/>
      <c r="AC148" s="2"/>
    </row>
    <row r="149" spans="1:29" ht="26">
      <c r="A149" s="5">
        <v>144</v>
      </c>
      <c r="B149" s="6" t="s">
        <v>1008</v>
      </c>
      <c r="C149" s="5">
        <v>3121480061</v>
      </c>
      <c r="D149" s="90" t="s">
        <v>965</v>
      </c>
      <c r="E149" s="8">
        <f>VLOOKUP(C149,'Trang tính3'!$B$10:$H$377,7,0)</f>
        <v>97.5</v>
      </c>
      <c r="F149" s="9" t="str">
        <f>VLOOKUP(C149,'Trang tính2'!$B$1:$D$175,3,0)</f>
        <v>2.84</v>
      </c>
      <c r="G149" s="8"/>
      <c r="H149" s="6" t="s">
        <v>1009</v>
      </c>
      <c r="I149" s="6" t="s">
        <v>1010</v>
      </c>
      <c r="J149" s="6" t="s">
        <v>1011</v>
      </c>
      <c r="K149" s="6" t="s">
        <v>1012</v>
      </c>
      <c r="L149" s="6" t="s">
        <v>1013</v>
      </c>
      <c r="M149" s="10"/>
      <c r="N149" s="10" t="s">
        <v>28</v>
      </c>
      <c r="O149" s="12" t="s">
        <v>971</v>
      </c>
      <c r="P149" s="12" t="s">
        <v>972</v>
      </c>
      <c r="Q149" s="61"/>
      <c r="R149" s="2"/>
      <c r="S149" s="2"/>
      <c r="T149" s="2"/>
      <c r="U149" s="2"/>
      <c r="V149" s="2"/>
      <c r="W149" s="2"/>
      <c r="X149" s="2"/>
      <c r="Y149" s="2"/>
      <c r="Z149" s="2"/>
      <c r="AA149" s="2"/>
      <c r="AB149" s="2"/>
      <c r="AC149" s="2"/>
    </row>
    <row r="150" spans="1:29" ht="26">
      <c r="A150" s="5">
        <v>145</v>
      </c>
      <c r="B150" s="6" t="s">
        <v>1014</v>
      </c>
      <c r="C150" s="5">
        <v>3121010002</v>
      </c>
      <c r="D150" s="90" t="s">
        <v>965</v>
      </c>
      <c r="E150" s="8">
        <f>VLOOKUP(C150,'Trang tính3'!$B$10:$H$377,7,0)</f>
        <v>100</v>
      </c>
      <c r="F150" s="9" t="str">
        <f>VLOOKUP(C150,'Trang tính2'!$B$1:$D$175,3,0)</f>
        <v>3.43</v>
      </c>
      <c r="G150" s="8"/>
      <c r="H150" s="6" t="s">
        <v>1015</v>
      </c>
      <c r="I150" s="6" t="s">
        <v>1016</v>
      </c>
      <c r="J150" s="6" t="s">
        <v>1017</v>
      </c>
      <c r="K150" s="6" t="s">
        <v>1018</v>
      </c>
      <c r="L150" s="6" t="s">
        <v>1019</v>
      </c>
      <c r="M150" s="10"/>
      <c r="N150" s="10" t="s">
        <v>28</v>
      </c>
      <c r="O150" s="12" t="s">
        <v>253</v>
      </c>
      <c r="P150" s="12" t="s">
        <v>254</v>
      </c>
      <c r="Q150" s="61"/>
      <c r="R150" s="2"/>
      <c r="S150" s="2"/>
      <c r="T150" s="2"/>
      <c r="U150" s="2"/>
      <c r="V150" s="2"/>
      <c r="W150" s="2"/>
      <c r="X150" s="2"/>
      <c r="Y150" s="2"/>
      <c r="Z150" s="2"/>
      <c r="AA150" s="2"/>
      <c r="AB150" s="2"/>
      <c r="AC150" s="2"/>
    </row>
    <row r="151" spans="1:29" ht="26">
      <c r="A151" s="5">
        <v>146</v>
      </c>
      <c r="B151" s="6" t="s">
        <v>1020</v>
      </c>
      <c r="C151" s="5">
        <v>3124480033</v>
      </c>
      <c r="D151" s="90" t="s">
        <v>965</v>
      </c>
      <c r="E151" s="8">
        <f>VLOOKUP(C151,'Trang tính3'!$B$10:$H$377,7,0)</f>
        <v>91.7</v>
      </c>
      <c r="F151" s="9" t="str">
        <f>VLOOKUP(C151,'Trang tính2'!$B$1:$D$175,3,0)</f>
        <v>3.66</v>
      </c>
      <c r="G151" s="8"/>
      <c r="H151" s="6" t="s">
        <v>1021</v>
      </c>
      <c r="I151" s="6" t="s">
        <v>1022</v>
      </c>
      <c r="J151" s="6" t="s">
        <v>1023</v>
      </c>
      <c r="K151" s="6" t="s">
        <v>1024</v>
      </c>
      <c r="L151" s="6" t="s">
        <v>1025</v>
      </c>
      <c r="M151" s="10"/>
      <c r="N151" s="10" t="s">
        <v>28</v>
      </c>
      <c r="O151" s="12" t="s">
        <v>971</v>
      </c>
      <c r="P151" s="12" t="s">
        <v>972</v>
      </c>
      <c r="Q151" s="61"/>
      <c r="R151" s="2"/>
      <c r="S151" s="2"/>
      <c r="T151" s="2"/>
      <c r="U151" s="2"/>
      <c r="V151" s="2"/>
      <c r="W151" s="2"/>
      <c r="X151" s="2"/>
      <c r="Y151" s="2"/>
      <c r="Z151" s="2"/>
      <c r="AA151" s="2"/>
      <c r="AB151" s="2"/>
      <c r="AC151" s="2"/>
    </row>
    <row r="152" spans="1:29" ht="26">
      <c r="A152" s="5">
        <v>147</v>
      </c>
      <c r="B152" s="6" t="s">
        <v>1026</v>
      </c>
      <c r="C152" s="5">
        <v>3124480061</v>
      </c>
      <c r="D152" s="90" t="s">
        <v>965</v>
      </c>
      <c r="E152" s="8">
        <f>VLOOKUP(C152,'Trang tính3'!$B$10:$H$377,7,0)</f>
        <v>91.3</v>
      </c>
      <c r="F152" s="9" t="str">
        <f>VLOOKUP(C152,'Trang tính2'!$B$1:$D$175,3,0)</f>
        <v>3.53</v>
      </c>
      <c r="G152" s="8"/>
      <c r="H152" s="6" t="s">
        <v>1027</v>
      </c>
      <c r="I152" s="6" t="s">
        <v>1028</v>
      </c>
      <c r="J152" s="6" t="s">
        <v>999</v>
      </c>
      <c r="K152" s="6" t="s">
        <v>1029</v>
      </c>
      <c r="L152" s="6" t="s">
        <v>1030</v>
      </c>
      <c r="M152" s="10"/>
      <c r="N152" s="10" t="s">
        <v>28</v>
      </c>
      <c r="O152" s="12" t="s">
        <v>971</v>
      </c>
      <c r="P152" s="12" t="s">
        <v>972</v>
      </c>
      <c r="Q152" s="61"/>
      <c r="R152" s="2"/>
      <c r="S152" s="2"/>
      <c r="T152" s="2"/>
      <c r="U152" s="2"/>
      <c r="V152" s="2"/>
      <c r="W152" s="2"/>
      <c r="X152" s="2"/>
      <c r="Y152" s="2"/>
      <c r="Z152" s="2"/>
      <c r="AA152" s="2"/>
      <c r="AB152" s="2"/>
      <c r="AC152" s="2"/>
    </row>
    <row r="153" spans="1:29" ht="26">
      <c r="A153" s="5">
        <v>148</v>
      </c>
      <c r="B153" s="6" t="s">
        <v>1031</v>
      </c>
      <c r="C153" s="5">
        <v>3121480038</v>
      </c>
      <c r="D153" s="90" t="s">
        <v>965</v>
      </c>
      <c r="E153" s="8">
        <f>VLOOKUP(C153,'Trang tính3'!$B$10:$H$377,7,0)</f>
        <v>98.5</v>
      </c>
      <c r="F153" s="9" t="str">
        <f>VLOOKUP(C153,'Trang tính2'!$B$1:$D$175,3,0)</f>
        <v>3.38</v>
      </c>
      <c r="G153" s="8"/>
      <c r="H153" s="6" t="s">
        <v>1032</v>
      </c>
      <c r="I153" s="6" t="s">
        <v>1033</v>
      </c>
      <c r="J153" s="6" t="s">
        <v>999</v>
      </c>
      <c r="K153" s="6" t="s">
        <v>1034</v>
      </c>
      <c r="L153" s="6" t="s">
        <v>1035</v>
      </c>
      <c r="M153" s="10"/>
      <c r="N153" s="10" t="s">
        <v>28</v>
      </c>
      <c r="O153" s="12" t="s">
        <v>1036</v>
      </c>
      <c r="P153" s="12" t="s">
        <v>972</v>
      </c>
      <c r="Q153" s="61"/>
      <c r="R153" s="2"/>
      <c r="S153" s="2"/>
      <c r="T153" s="2"/>
      <c r="U153" s="2"/>
      <c r="V153" s="2"/>
      <c r="W153" s="2"/>
      <c r="X153" s="2"/>
      <c r="Y153" s="2"/>
      <c r="Z153" s="2"/>
      <c r="AA153" s="2"/>
      <c r="AB153" s="2"/>
      <c r="AC153" s="2"/>
    </row>
    <row r="154" spans="1:29" ht="26">
      <c r="A154" s="5">
        <v>149</v>
      </c>
      <c r="B154" s="6" t="s">
        <v>1037</v>
      </c>
      <c r="C154" s="5">
        <v>3122010005</v>
      </c>
      <c r="D154" s="90" t="s">
        <v>965</v>
      </c>
      <c r="E154" s="8">
        <f>VLOOKUP(C154,'Trang tính3'!$B$10:$H$377,7,0)</f>
        <v>97</v>
      </c>
      <c r="F154" s="9" t="str">
        <f>VLOOKUP(C154,'Trang tính2'!$B$1:$D$175,3,0)</f>
        <v>3.32</v>
      </c>
      <c r="G154" s="8"/>
      <c r="H154" s="6" t="s">
        <v>1038</v>
      </c>
      <c r="I154" s="6" t="s">
        <v>1039</v>
      </c>
      <c r="J154" s="6" t="s">
        <v>1040</v>
      </c>
      <c r="K154" s="6" t="s">
        <v>1041</v>
      </c>
      <c r="L154" s="6" t="s">
        <v>1042</v>
      </c>
      <c r="M154" s="10"/>
      <c r="N154" s="10" t="s">
        <v>28</v>
      </c>
      <c r="O154" s="12" t="s">
        <v>1043</v>
      </c>
      <c r="P154" s="12" t="s">
        <v>1044</v>
      </c>
      <c r="Q154" s="61"/>
      <c r="R154" s="2"/>
      <c r="S154" s="2"/>
      <c r="T154" s="2"/>
      <c r="U154" s="2"/>
      <c r="V154" s="2"/>
      <c r="W154" s="2"/>
      <c r="X154" s="2"/>
      <c r="Y154" s="2"/>
      <c r="Z154" s="2"/>
      <c r="AA154" s="2"/>
      <c r="AB154" s="2"/>
      <c r="AC154" s="2"/>
    </row>
    <row r="155" spans="1:29" ht="26">
      <c r="A155" s="5">
        <v>150</v>
      </c>
      <c r="B155" s="6" t="s">
        <v>1045</v>
      </c>
      <c r="C155" s="5">
        <v>3124480067</v>
      </c>
      <c r="D155" s="90" t="s">
        <v>965</v>
      </c>
      <c r="E155" s="8">
        <f>VLOOKUP(C155,'Trang tính3'!$B$10:$H$377,7,0)</f>
        <v>97.7</v>
      </c>
      <c r="F155" s="9" t="str">
        <f>VLOOKUP(C155,'Trang tính2'!$B$1:$D$175,3,0)</f>
        <v>3.00</v>
      </c>
      <c r="G155" s="8"/>
      <c r="H155" s="6"/>
      <c r="I155" s="6"/>
      <c r="J155" s="6"/>
      <c r="K155" s="6"/>
      <c r="L155" s="6" t="s">
        <v>1046</v>
      </c>
      <c r="M155" s="10"/>
      <c r="N155" s="10" t="s">
        <v>72</v>
      </c>
      <c r="O155" s="6"/>
      <c r="P155" s="6"/>
      <c r="Q155" s="61"/>
      <c r="R155" s="2"/>
      <c r="S155" s="2"/>
      <c r="T155" s="2"/>
      <c r="U155" s="2"/>
      <c r="V155" s="2"/>
      <c r="W155" s="2"/>
      <c r="X155" s="2"/>
      <c r="Y155" s="2"/>
      <c r="Z155" s="2"/>
      <c r="AA155" s="2"/>
      <c r="AB155" s="2"/>
      <c r="AC155" s="2"/>
    </row>
    <row r="156" spans="1:29" ht="26">
      <c r="A156" s="5">
        <v>151</v>
      </c>
      <c r="B156" s="6" t="s">
        <v>1047</v>
      </c>
      <c r="C156" s="5">
        <v>3121480068</v>
      </c>
      <c r="D156" s="90" t="s">
        <v>965</v>
      </c>
      <c r="E156" s="8">
        <f>VLOOKUP(C156,'Trang tính3'!$B$10:$H$377,7,0)</f>
        <v>95.5</v>
      </c>
      <c r="F156" s="9" t="str">
        <f>VLOOKUP(C156,'Trang tính2'!$B$1:$D$175,3,0)</f>
        <v>4.00</v>
      </c>
      <c r="G156" s="8"/>
      <c r="H156" s="6" t="s">
        <v>1048</v>
      </c>
      <c r="I156" s="6" t="s">
        <v>1049</v>
      </c>
      <c r="J156" s="6" t="s">
        <v>1050</v>
      </c>
      <c r="K156" s="6" t="s">
        <v>1051</v>
      </c>
      <c r="L156" s="6" t="s">
        <v>1052</v>
      </c>
      <c r="M156" s="10"/>
      <c r="N156" s="10" t="s">
        <v>28</v>
      </c>
      <c r="O156" s="6"/>
      <c r="P156" s="6"/>
      <c r="Q156" s="61"/>
      <c r="R156" s="2"/>
      <c r="S156" s="2"/>
      <c r="T156" s="2"/>
      <c r="U156" s="2"/>
      <c r="V156" s="2"/>
      <c r="W156" s="2"/>
      <c r="X156" s="2"/>
      <c r="Y156" s="2"/>
      <c r="Z156" s="2"/>
      <c r="AA156" s="2"/>
      <c r="AB156" s="2"/>
      <c r="AC156" s="2"/>
    </row>
    <row r="157" spans="1:29" ht="26">
      <c r="A157" s="5">
        <v>152</v>
      </c>
      <c r="B157" s="6" t="s">
        <v>1053</v>
      </c>
      <c r="C157" s="5">
        <v>3123010003</v>
      </c>
      <c r="D157" s="90" t="s">
        <v>965</v>
      </c>
      <c r="E157" s="8" t="s">
        <v>1054</v>
      </c>
      <c r="F157" s="9" t="s">
        <v>1055</v>
      </c>
      <c r="G157" s="8"/>
      <c r="H157" s="6"/>
      <c r="I157" s="6"/>
      <c r="J157" s="6"/>
      <c r="K157" s="6"/>
      <c r="L157" s="6" t="s">
        <v>1056</v>
      </c>
      <c r="M157" s="10"/>
      <c r="N157" s="10" t="s">
        <v>72</v>
      </c>
      <c r="O157" s="6"/>
      <c r="P157" s="6"/>
      <c r="Q157" s="61"/>
      <c r="R157" s="2"/>
      <c r="S157" s="2"/>
      <c r="T157" s="2"/>
      <c r="U157" s="2"/>
      <c r="V157" s="2"/>
      <c r="W157" s="2"/>
      <c r="X157" s="2"/>
      <c r="Y157" s="2"/>
      <c r="Z157" s="2"/>
      <c r="AA157" s="2"/>
      <c r="AB157" s="2"/>
      <c r="AC157" s="2"/>
    </row>
    <row r="158" spans="1:29" ht="26">
      <c r="A158" s="5">
        <v>153</v>
      </c>
      <c r="B158" s="6" t="s">
        <v>1057</v>
      </c>
      <c r="C158" s="5">
        <v>3121010034</v>
      </c>
      <c r="D158" s="90" t="s">
        <v>965</v>
      </c>
      <c r="E158" s="8" t="s">
        <v>195</v>
      </c>
      <c r="F158" s="9" t="s">
        <v>383</v>
      </c>
      <c r="G158" s="8"/>
      <c r="H158" s="6" t="s">
        <v>1058</v>
      </c>
      <c r="I158" s="6" t="s">
        <v>1059</v>
      </c>
      <c r="J158" s="6" t="s">
        <v>1060</v>
      </c>
      <c r="K158" s="6" t="s">
        <v>1061</v>
      </c>
      <c r="L158" s="6" t="s">
        <v>1062</v>
      </c>
      <c r="M158" s="33" t="s">
        <v>60</v>
      </c>
      <c r="N158" s="10" t="s">
        <v>28</v>
      </c>
      <c r="O158" s="12" t="s">
        <v>1063</v>
      </c>
      <c r="P158" s="30" t="s">
        <v>1064</v>
      </c>
      <c r="Q158" s="61"/>
      <c r="R158" s="2"/>
      <c r="S158" s="2"/>
      <c r="T158" s="2"/>
      <c r="U158" s="2"/>
      <c r="V158" s="2"/>
      <c r="W158" s="2"/>
      <c r="X158" s="2"/>
      <c r="Y158" s="2"/>
      <c r="Z158" s="2"/>
      <c r="AA158" s="2"/>
      <c r="AB158" s="2"/>
      <c r="AC158" s="2"/>
    </row>
    <row r="159" spans="1:29" ht="26">
      <c r="A159" s="5">
        <v>154</v>
      </c>
      <c r="B159" s="6" t="s">
        <v>1065</v>
      </c>
      <c r="C159" s="5">
        <v>3121010002</v>
      </c>
      <c r="D159" s="90" t="s">
        <v>965</v>
      </c>
      <c r="E159" s="8">
        <f>VLOOKUP(C159,'Trang tính3'!$B$10:$H$377,7,0)</f>
        <v>100</v>
      </c>
      <c r="F159" s="9" t="str">
        <f>VLOOKUP(C159,'Trang tính2'!$B$1:$D$175,3,0)</f>
        <v>3.43</v>
      </c>
      <c r="G159" s="8"/>
      <c r="H159" s="6" t="s">
        <v>1066</v>
      </c>
      <c r="I159" s="6" t="s">
        <v>1067</v>
      </c>
      <c r="J159" s="6" t="s">
        <v>1068</v>
      </c>
      <c r="K159" s="6" t="s">
        <v>1069</v>
      </c>
      <c r="L159" s="6" t="s">
        <v>1070</v>
      </c>
      <c r="M159" s="33" t="s">
        <v>60</v>
      </c>
      <c r="N159" s="10" t="s">
        <v>28</v>
      </c>
      <c r="O159" s="6"/>
      <c r="P159" s="34" t="s">
        <v>1071</v>
      </c>
      <c r="Q159" s="61"/>
      <c r="R159" s="2"/>
      <c r="S159" s="2"/>
      <c r="T159" s="2"/>
      <c r="U159" s="2"/>
      <c r="V159" s="2"/>
      <c r="W159" s="2"/>
      <c r="X159" s="2"/>
      <c r="Y159" s="2"/>
      <c r="Z159" s="2"/>
      <c r="AA159" s="2"/>
      <c r="AB159" s="2"/>
      <c r="AC159" s="2"/>
    </row>
    <row r="160" spans="1:29" ht="26">
      <c r="A160" s="5">
        <v>155</v>
      </c>
      <c r="B160" s="6" t="s">
        <v>1072</v>
      </c>
      <c r="C160" s="5">
        <v>3121010016</v>
      </c>
      <c r="D160" s="90" t="s">
        <v>965</v>
      </c>
      <c r="E160" s="8" t="s">
        <v>1073</v>
      </c>
      <c r="F160" s="9" t="s">
        <v>383</v>
      </c>
      <c r="G160" s="8"/>
      <c r="H160" s="6" t="s">
        <v>1074</v>
      </c>
      <c r="I160" s="6" t="s">
        <v>1075</v>
      </c>
      <c r="J160" s="6" t="s">
        <v>1076</v>
      </c>
      <c r="K160" s="6" t="s">
        <v>1077</v>
      </c>
      <c r="L160" s="6" t="s">
        <v>1078</v>
      </c>
      <c r="M160" s="33" t="s">
        <v>60</v>
      </c>
      <c r="N160" s="10" t="s">
        <v>28</v>
      </c>
      <c r="O160" s="35" t="s">
        <v>1079</v>
      </c>
      <c r="P160" s="35" t="s">
        <v>1079</v>
      </c>
      <c r="Q160" s="61"/>
      <c r="R160" s="2"/>
      <c r="S160" s="2"/>
      <c r="T160" s="2"/>
      <c r="U160" s="2"/>
      <c r="V160" s="2"/>
      <c r="W160" s="2"/>
      <c r="X160" s="2"/>
      <c r="Y160" s="2"/>
      <c r="Z160" s="2"/>
      <c r="AA160" s="2"/>
      <c r="AB160" s="2"/>
      <c r="AC160" s="2"/>
    </row>
    <row r="161" spans="1:29" ht="26">
      <c r="A161" s="5">
        <v>156</v>
      </c>
      <c r="B161" s="6" t="s">
        <v>1080</v>
      </c>
      <c r="C161" s="5">
        <v>3121010036</v>
      </c>
      <c r="D161" s="90" t="s">
        <v>965</v>
      </c>
      <c r="E161" s="8" t="s">
        <v>430</v>
      </c>
      <c r="F161" s="9" t="s">
        <v>383</v>
      </c>
      <c r="G161" s="8"/>
      <c r="H161" s="6" t="s">
        <v>1081</v>
      </c>
      <c r="I161" s="6" t="s">
        <v>1082</v>
      </c>
      <c r="J161" s="6" t="s">
        <v>1083</v>
      </c>
      <c r="K161" s="6" t="s">
        <v>1084</v>
      </c>
      <c r="L161" s="6" t="s">
        <v>1085</v>
      </c>
      <c r="M161" s="33" t="s">
        <v>60</v>
      </c>
      <c r="N161" s="10" t="s">
        <v>28</v>
      </c>
      <c r="O161" s="35" t="s">
        <v>1086</v>
      </c>
      <c r="P161" s="35" t="s">
        <v>1087</v>
      </c>
      <c r="Q161" s="62"/>
      <c r="R161" s="2"/>
      <c r="S161" s="2"/>
      <c r="T161" s="2"/>
      <c r="U161" s="2"/>
      <c r="V161" s="2"/>
      <c r="W161" s="2"/>
      <c r="X161" s="2"/>
      <c r="Y161" s="2"/>
      <c r="Z161" s="2"/>
      <c r="AA161" s="2"/>
      <c r="AB161" s="2"/>
      <c r="AC161" s="2"/>
    </row>
    <row r="162" spans="1:29" ht="13" customHeight="1">
      <c r="A162" s="5">
        <v>157</v>
      </c>
      <c r="B162" s="14" t="s">
        <v>1088</v>
      </c>
      <c r="C162" s="15">
        <v>3121320296</v>
      </c>
      <c r="D162" s="92" t="s">
        <v>1089</v>
      </c>
      <c r="E162" s="8" t="s">
        <v>923</v>
      </c>
      <c r="F162" s="9" t="s">
        <v>186</v>
      </c>
      <c r="G162" s="9"/>
      <c r="H162" s="14" t="s">
        <v>1090</v>
      </c>
      <c r="I162" s="14" t="s">
        <v>1091</v>
      </c>
      <c r="J162" s="14" t="s">
        <v>1092</v>
      </c>
      <c r="K162" s="14" t="s">
        <v>1093</v>
      </c>
      <c r="L162" s="14" t="s">
        <v>1094</v>
      </c>
      <c r="M162" s="16"/>
      <c r="N162" s="16" t="s">
        <v>28</v>
      </c>
      <c r="O162" s="17" t="s">
        <v>1095</v>
      </c>
      <c r="P162" s="17" t="s">
        <v>1096</v>
      </c>
      <c r="Q162" s="63" t="s">
        <v>1097</v>
      </c>
      <c r="R162" s="2"/>
      <c r="S162" s="2"/>
      <c r="T162" s="2"/>
      <c r="U162" s="2"/>
      <c r="V162" s="2"/>
      <c r="W162" s="2"/>
      <c r="X162" s="2"/>
      <c r="Y162" s="2"/>
      <c r="Z162" s="2"/>
      <c r="AA162" s="2"/>
      <c r="AB162" s="2"/>
      <c r="AC162" s="2"/>
    </row>
    <row r="163" spans="1:29" ht="26">
      <c r="A163" s="5">
        <v>158</v>
      </c>
      <c r="B163" s="14" t="s">
        <v>1098</v>
      </c>
      <c r="C163" s="15">
        <v>3122320138</v>
      </c>
      <c r="D163" s="92" t="s">
        <v>1089</v>
      </c>
      <c r="E163" s="8">
        <f>VLOOKUP(C163,'Trang tính3'!$B$10:$H$377,7,0)</f>
        <v>98.5</v>
      </c>
      <c r="F163" s="9" t="str">
        <f>VLOOKUP(C163,'Trang tính2'!$B$1:$D$175,3,0)</f>
        <v>3.82</v>
      </c>
      <c r="G163" s="9"/>
      <c r="H163" s="14" t="s">
        <v>1099</v>
      </c>
      <c r="I163" s="14" t="s">
        <v>1100</v>
      </c>
      <c r="J163" s="14" t="s">
        <v>1101</v>
      </c>
      <c r="K163" s="14" t="s">
        <v>1102</v>
      </c>
      <c r="L163" s="14" t="s">
        <v>1103</v>
      </c>
      <c r="M163" s="16"/>
      <c r="N163" s="16" t="s">
        <v>28</v>
      </c>
      <c r="O163" s="17" t="s">
        <v>1104</v>
      </c>
      <c r="P163" s="17" t="s">
        <v>1105</v>
      </c>
      <c r="Q163" s="61"/>
      <c r="R163" s="2"/>
      <c r="S163" s="2"/>
      <c r="T163" s="2"/>
      <c r="U163" s="2"/>
      <c r="V163" s="2"/>
      <c r="W163" s="2"/>
      <c r="X163" s="2"/>
      <c r="Y163" s="2"/>
      <c r="Z163" s="2"/>
      <c r="AA163" s="2"/>
      <c r="AB163" s="2"/>
      <c r="AC163" s="2"/>
    </row>
    <row r="164" spans="1:29" ht="26">
      <c r="A164" s="5">
        <v>159</v>
      </c>
      <c r="B164" s="14" t="s">
        <v>1106</v>
      </c>
      <c r="C164" s="15">
        <v>3122420174</v>
      </c>
      <c r="D164" s="92" t="s">
        <v>1089</v>
      </c>
      <c r="E164" s="8" t="s">
        <v>923</v>
      </c>
      <c r="F164" s="9" t="str">
        <f>VLOOKUP(C164,'Trang tính2'!$B$1:$D$175,3,0)</f>
        <v>3.38</v>
      </c>
      <c r="G164" s="9"/>
      <c r="H164" s="14" t="s">
        <v>1107</v>
      </c>
      <c r="I164" s="14" t="s">
        <v>1108</v>
      </c>
      <c r="J164" s="14" t="s">
        <v>1109</v>
      </c>
      <c r="K164" s="14" t="s">
        <v>1110</v>
      </c>
      <c r="L164" s="14" t="s">
        <v>1111</v>
      </c>
      <c r="M164" s="16"/>
      <c r="N164" s="16" t="s">
        <v>28</v>
      </c>
      <c r="O164" s="17" t="s">
        <v>1112</v>
      </c>
      <c r="P164" s="17" t="s">
        <v>1113</v>
      </c>
      <c r="Q164" s="61"/>
      <c r="R164" s="2"/>
      <c r="S164" s="2"/>
      <c r="T164" s="2"/>
      <c r="U164" s="2"/>
      <c r="V164" s="2"/>
      <c r="W164" s="2"/>
      <c r="X164" s="2"/>
      <c r="Y164" s="2"/>
      <c r="Z164" s="2"/>
      <c r="AA164" s="2"/>
      <c r="AB164" s="2"/>
      <c r="AC164" s="2"/>
    </row>
    <row r="165" spans="1:29" ht="26">
      <c r="A165" s="5">
        <v>160</v>
      </c>
      <c r="B165" s="14" t="s">
        <v>1114</v>
      </c>
      <c r="C165" s="15">
        <v>3122420347</v>
      </c>
      <c r="D165" s="92" t="s">
        <v>1089</v>
      </c>
      <c r="E165" s="8" t="s">
        <v>195</v>
      </c>
      <c r="F165" s="9" t="s">
        <v>1115</v>
      </c>
      <c r="G165" s="9"/>
      <c r="H165" s="14" t="s">
        <v>1116</v>
      </c>
      <c r="I165" s="14" t="s">
        <v>1108</v>
      </c>
      <c r="J165" s="14" t="s">
        <v>1117</v>
      </c>
      <c r="K165" s="14" t="s">
        <v>1118</v>
      </c>
      <c r="L165" s="14" t="s">
        <v>1119</v>
      </c>
      <c r="M165" s="16"/>
      <c r="N165" s="16" t="s">
        <v>28</v>
      </c>
      <c r="O165" s="17" t="s">
        <v>1120</v>
      </c>
      <c r="P165" s="17" t="s">
        <v>1121</v>
      </c>
      <c r="Q165" s="61"/>
      <c r="R165" s="2"/>
      <c r="S165" s="2"/>
      <c r="T165" s="2"/>
      <c r="U165" s="2"/>
      <c r="V165" s="2"/>
      <c r="W165" s="2"/>
      <c r="X165" s="2"/>
      <c r="Y165" s="2"/>
      <c r="Z165" s="2"/>
      <c r="AA165" s="2"/>
      <c r="AB165" s="2"/>
      <c r="AC165" s="2"/>
    </row>
    <row r="166" spans="1:29" ht="26">
      <c r="A166" s="5">
        <v>161</v>
      </c>
      <c r="B166" s="14" t="s">
        <v>1122</v>
      </c>
      <c r="C166" s="15">
        <v>3121320360</v>
      </c>
      <c r="D166" s="92" t="s">
        <v>1089</v>
      </c>
      <c r="E166" s="8">
        <f>VLOOKUP(C166,'Trang tính3'!$B$10:$H$377,7,0)</f>
        <v>99.5</v>
      </c>
      <c r="F166" s="9" t="str">
        <f>VLOOKUP(C166,'Trang tính2'!$B$1:$D$175,3,0)</f>
        <v>3.91</v>
      </c>
      <c r="G166" s="9"/>
      <c r="H166" s="14" t="s">
        <v>1123</v>
      </c>
      <c r="I166" s="14" t="s">
        <v>1124</v>
      </c>
      <c r="J166" s="14" t="s">
        <v>1125</v>
      </c>
      <c r="K166" s="14" t="s">
        <v>1126</v>
      </c>
      <c r="L166" s="14" t="s">
        <v>1127</v>
      </c>
      <c r="M166" s="16"/>
      <c r="N166" s="16" t="s">
        <v>28</v>
      </c>
      <c r="O166" s="17" t="s">
        <v>1128</v>
      </c>
      <c r="P166" s="17" t="s">
        <v>1129</v>
      </c>
      <c r="Q166" s="61"/>
      <c r="R166" s="2"/>
      <c r="S166" s="2"/>
      <c r="T166" s="2"/>
      <c r="U166" s="2"/>
      <c r="V166" s="2"/>
      <c r="W166" s="2"/>
      <c r="X166" s="2"/>
      <c r="Y166" s="2"/>
      <c r="Z166" s="2"/>
      <c r="AA166" s="2"/>
      <c r="AB166" s="2"/>
      <c r="AC166" s="2"/>
    </row>
    <row r="167" spans="1:29" ht="26">
      <c r="A167" s="5">
        <v>162</v>
      </c>
      <c r="B167" s="14" t="s">
        <v>1130</v>
      </c>
      <c r="C167" s="15">
        <v>3123320412</v>
      </c>
      <c r="D167" s="92" t="s">
        <v>1089</v>
      </c>
      <c r="E167" s="8" t="s">
        <v>1131</v>
      </c>
      <c r="F167" s="9" t="s">
        <v>1132</v>
      </c>
      <c r="G167" s="9"/>
      <c r="H167" s="14" t="s">
        <v>1133</v>
      </c>
      <c r="I167" s="14" t="s">
        <v>1134</v>
      </c>
      <c r="J167" s="14" t="s">
        <v>1135</v>
      </c>
      <c r="K167" s="14" t="s">
        <v>1136</v>
      </c>
      <c r="L167" s="14" t="s">
        <v>1137</v>
      </c>
      <c r="M167" s="16"/>
      <c r="N167" s="16" t="s">
        <v>28</v>
      </c>
      <c r="O167" s="17" t="s">
        <v>1138</v>
      </c>
      <c r="P167" s="17" t="s">
        <v>1139</v>
      </c>
      <c r="Q167" s="61"/>
      <c r="R167" s="2"/>
      <c r="S167" s="2"/>
      <c r="T167" s="2"/>
      <c r="U167" s="2"/>
      <c r="V167" s="2"/>
      <c r="W167" s="2"/>
      <c r="X167" s="2"/>
      <c r="Y167" s="2"/>
      <c r="Z167" s="2"/>
      <c r="AA167" s="2"/>
      <c r="AB167" s="2"/>
      <c r="AC167" s="2"/>
    </row>
    <row r="168" spans="1:29" ht="26">
      <c r="A168" s="5">
        <v>163</v>
      </c>
      <c r="B168" s="14" t="s">
        <v>1140</v>
      </c>
      <c r="C168" s="15">
        <v>3122420361</v>
      </c>
      <c r="D168" s="92" t="s">
        <v>1089</v>
      </c>
      <c r="E168" s="8" t="s">
        <v>437</v>
      </c>
      <c r="F168" s="9" t="s">
        <v>1141</v>
      </c>
      <c r="G168" s="9"/>
      <c r="H168" s="14" t="s">
        <v>1142</v>
      </c>
      <c r="I168" s="14" t="s">
        <v>1108</v>
      </c>
      <c r="J168" s="14" t="s">
        <v>1143</v>
      </c>
      <c r="K168" s="14" t="s">
        <v>1144</v>
      </c>
      <c r="L168" s="14" t="s">
        <v>1145</v>
      </c>
      <c r="M168" s="16"/>
      <c r="N168" s="16" t="s">
        <v>28</v>
      </c>
      <c r="O168" s="17" t="s">
        <v>1146</v>
      </c>
      <c r="P168" s="17" t="s">
        <v>1147</v>
      </c>
      <c r="Q168" s="61"/>
      <c r="R168" s="2"/>
      <c r="S168" s="2"/>
      <c r="T168" s="2"/>
      <c r="U168" s="2"/>
      <c r="V168" s="2"/>
      <c r="W168" s="2"/>
      <c r="X168" s="2"/>
      <c r="Y168" s="2"/>
      <c r="Z168" s="2"/>
      <c r="AA168" s="2"/>
      <c r="AB168" s="2"/>
      <c r="AC168" s="2"/>
    </row>
    <row r="169" spans="1:29" ht="26">
      <c r="A169" s="5">
        <v>164</v>
      </c>
      <c r="B169" s="14" t="s">
        <v>1148</v>
      </c>
      <c r="C169" s="15">
        <v>3124320261</v>
      </c>
      <c r="D169" s="92" t="s">
        <v>1089</v>
      </c>
      <c r="E169" s="8" t="s">
        <v>437</v>
      </c>
      <c r="F169" s="9" t="s">
        <v>1149</v>
      </c>
      <c r="G169" s="9"/>
      <c r="H169" s="14" t="s">
        <v>1150</v>
      </c>
      <c r="I169" s="14" t="s">
        <v>1134</v>
      </c>
      <c r="J169" s="14" t="s">
        <v>1151</v>
      </c>
      <c r="K169" s="14" t="s">
        <v>1152</v>
      </c>
      <c r="L169" s="14" t="s">
        <v>1153</v>
      </c>
      <c r="M169" s="16"/>
      <c r="N169" s="16" t="s">
        <v>28</v>
      </c>
      <c r="O169" s="17" t="s">
        <v>1154</v>
      </c>
      <c r="P169" s="17" t="s">
        <v>1155</v>
      </c>
      <c r="Q169" s="61"/>
      <c r="R169" s="2"/>
      <c r="S169" s="2"/>
      <c r="T169" s="2"/>
      <c r="U169" s="2"/>
      <c r="V169" s="2"/>
      <c r="W169" s="2"/>
      <c r="X169" s="2"/>
      <c r="Y169" s="2"/>
      <c r="Z169" s="2"/>
      <c r="AA169" s="2"/>
      <c r="AB169" s="2"/>
      <c r="AC169" s="2"/>
    </row>
    <row r="170" spans="1:29" ht="26">
      <c r="A170" s="5">
        <v>165</v>
      </c>
      <c r="B170" s="14" t="s">
        <v>1156</v>
      </c>
      <c r="C170" s="15">
        <v>3122420300</v>
      </c>
      <c r="D170" s="92" t="s">
        <v>1089</v>
      </c>
      <c r="E170" s="8">
        <f>VLOOKUP(C170,'Trang tính3'!$B$10:$H$377,7,0)</f>
        <v>93.5</v>
      </c>
      <c r="F170" s="9">
        <f>VLOOKUP(C170,'Trang tính2'!$B$1:$D$175,3,0)</f>
        <v>3.05</v>
      </c>
      <c r="G170" s="9"/>
      <c r="H170" s="14" t="s">
        <v>1157</v>
      </c>
      <c r="I170" s="14" t="s">
        <v>1158</v>
      </c>
      <c r="J170" s="14" t="s">
        <v>1159</v>
      </c>
      <c r="K170" s="14" t="s">
        <v>1160</v>
      </c>
      <c r="L170" s="14" t="s">
        <v>1161</v>
      </c>
      <c r="M170" s="16"/>
      <c r="N170" s="16" t="s">
        <v>28</v>
      </c>
      <c r="O170" s="17" t="s">
        <v>1162</v>
      </c>
      <c r="P170" s="17" t="s">
        <v>1163</v>
      </c>
      <c r="Q170" s="61"/>
      <c r="R170" s="2"/>
      <c r="S170" s="2"/>
      <c r="T170" s="2"/>
      <c r="U170" s="2"/>
      <c r="V170" s="2"/>
      <c r="W170" s="2"/>
      <c r="X170" s="2"/>
      <c r="Y170" s="2"/>
      <c r="Z170" s="2"/>
      <c r="AA170" s="2"/>
      <c r="AB170" s="2"/>
      <c r="AC170" s="2"/>
    </row>
    <row r="171" spans="1:29" ht="26">
      <c r="A171" s="5">
        <v>166</v>
      </c>
      <c r="B171" s="14" t="s">
        <v>1164</v>
      </c>
      <c r="C171" s="15">
        <v>3122420013</v>
      </c>
      <c r="D171" s="92" t="s">
        <v>1089</v>
      </c>
      <c r="E171" s="8" t="s">
        <v>1165</v>
      </c>
      <c r="F171" s="9" t="s">
        <v>383</v>
      </c>
      <c r="G171" s="9"/>
      <c r="H171" s="14" t="s">
        <v>1166</v>
      </c>
      <c r="I171" s="14" t="s">
        <v>1167</v>
      </c>
      <c r="J171" s="14" t="s">
        <v>1168</v>
      </c>
      <c r="K171" s="14" t="s">
        <v>1169</v>
      </c>
      <c r="L171" s="14" t="s">
        <v>1170</v>
      </c>
      <c r="M171" s="16"/>
      <c r="N171" s="16" t="s">
        <v>28</v>
      </c>
      <c r="O171" s="17" t="s">
        <v>1171</v>
      </c>
      <c r="P171" s="17" t="s">
        <v>1172</v>
      </c>
      <c r="Q171" s="61"/>
      <c r="R171" s="2"/>
      <c r="S171" s="2"/>
      <c r="T171" s="2"/>
      <c r="U171" s="2"/>
      <c r="V171" s="2"/>
      <c r="W171" s="2"/>
      <c r="X171" s="2"/>
      <c r="Y171" s="2"/>
      <c r="Z171" s="2"/>
      <c r="AA171" s="2"/>
      <c r="AB171" s="2"/>
      <c r="AC171" s="2"/>
    </row>
    <row r="172" spans="1:29" ht="26">
      <c r="A172" s="5">
        <v>167</v>
      </c>
      <c r="B172" s="14" t="s">
        <v>1173</v>
      </c>
      <c r="C172" s="15">
        <v>3122420317</v>
      </c>
      <c r="D172" s="92" t="s">
        <v>1089</v>
      </c>
      <c r="E172" s="8" t="s">
        <v>1174</v>
      </c>
      <c r="F172" s="9" t="s">
        <v>949</v>
      </c>
      <c r="G172" s="9"/>
      <c r="H172" s="14" t="s">
        <v>1175</v>
      </c>
      <c r="I172" s="14" t="s">
        <v>1108</v>
      </c>
      <c r="J172" s="14" t="s">
        <v>1176</v>
      </c>
      <c r="K172" s="14" t="s">
        <v>1177</v>
      </c>
      <c r="L172" s="14" t="s">
        <v>1178</v>
      </c>
      <c r="M172" s="16"/>
      <c r="N172" s="16" t="s">
        <v>28</v>
      </c>
      <c r="O172" s="17" t="s">
        <v>1179</v>
      </c>
      <c r="P172" s="17" t="s">
        <v>1180</v>
      </c>
      <c r="Q172" s="61"/>
      <c r="R172" s="2"/>
      <c r="S172" s="2"/>
      <c r="T172" s="2"/>
      <c r="U172" s="2"/>
      <c r="V172" s="2"/>
      <c r="W172" s="2"/>
      <c r="X172" s="2"/>
      <c r="Y172" s="2"/>
      <c r="Z172" s="2"/>
      <c r="AA172" s="2"/>
      <c r="AB172" s="2"/>
      <c r="AC172" s="2"/>
    </row>
    <row r="173" spans="1:29" ht="26">
      <c r="A173" s="5">
        <v>168</v>
      </c>
      <c r="B173" s="14" t="s">
        <v>1181</v>
      </c>
      <c r="C173" s="15">
        <v>3123420295</v>
      </c>
      <c r="D173" s="92" t="s">
        <v>1089</v>
      </c>
      <c r="E173" s="8">
        <f>VLOOKUP(C173,'Trang tính3'!$B$10:$H$377,7,0)</f>
        <v>96.5</v>
      </c>
      <c r="F173" s="9" t="str">
        <f>VLOOKUP(C173,'Trang tính2'!$B$1:$D$175,3,0)</f>
        <v>3.78</v>
      </c>
      <c r="G173" s="9"/>
      <c r="H173" s="14" t="s">
        <v>1182</v>
      </c>
      <c r="I173" s="14" t="s">
        <v>1108</v>
      </c>
      <c r="J173" s="14" t="s">
        <v>1183</v>
      </c>
      <c r="K173" s="14" t="s">
        <v>1184</v>
      </c>
      <c r="L173" s="14" t="s">
        <v>1185</v>
      </c>
      <c r="M173" s="16"/>
      <c r="N173" s="16" t="s">
        <v>28</v>
      </c>
      <c r="O173" s="17" t="s">
        <v>1186</v>
      </c>
      <c r="P173" s="17" t="s">
        <v>1187</v>
      </c>
      <c r="Q173" s="61"/>
      <c r="R173" s="2"/>
      <c r="S173" s="2"/>
      <c r="T173" s="2"/>
      <c r="U173" s="2"/>
      <c r="V173" s="2"/>
      <c r="W173" s="2"/>
      <c r="X173" s="2"/>
      <c r="Y173" s="2"/>
      <c r="Z173" s="2"/>
      <c r="AA173" s="2"/>
      <c r="AB173" s="2"/>
      <c r="AC173" s="2"/>
    </row>
    <row r="174" spans="1:29" ht="26">
      <c r="A174" s="5">
        <v>169</v>
      </c>
      <c r="B174" s="14" t="s">
        <v>313</v>
      </c>
      <c r="C174" s="15">
        <v>3123320154</v>
      </c>
      <c r="D174" s="92" t="s">
        <v>1089</v>
      </c>
      <c r="E174" s="8">
        <f>VLOOKUP(C174,'Trang tính3'!$B$10:$H$377,7,0)</f>
        <v>93</v>
      </c>
      <c r="F174" s="9" t="str">
        <f>VLOOKUP(C174,'Trang tính2'!$B$1:$D$175,3,0)</f>
        <v>3.95</v>
      </c>
      <c r="G174" s="9"/>
      <c r="H174" s="14" t="s">
        <v>1188</v>
      </c>
      <c r="I174" s="14" t="s">
        <v>1108</v>
      </c>
      <c r="J174" s="14" t="s">
        <v>1189</v>
      </c>
      <c r="K174" s="14" t="s">
        <v>1190</v>
      </c>
      <c r="L174" s="14" t="s">
        <v>1191</v>
      </c>
      <c r="M174" s="16"/>
      <c r="N174" s="16" t="s">
        <v>28</v>
      </c>
      <c r="O174" s="17" t="s">
        <v>1192</v>
      </c>
      <c r="P174" s="17" t="s">
        <v>1193</v>
      </c>
      <c r="Q174" s="61"/>
      <c r="R174" s="2"/>
      <c r="S174" s="2"/>
      <c r="T174" s="2"/>
      <c r="U174" s="2"/>
      <c r="V174" s="2"/>
      <c r="W174" s="2"/>
      <c r="X174" s="2"/>
      <c r="Y174" s="2"/>
      <c r="Z174" s="2"/>
      <c r="AA174" s="2"/>
      <c r="AB174" s="2"/>
      <c r="AC174" s="2"/>
    </row>
    <row r="175" spans="1:29" ht="26">
      <c r="A175" s="5">
        <v>170</v>
      </c>
      <c r="B175" s="14" t="s">
        <v>1194</v>
      </c>
      <c r="C175" s="15">
        <v>3121320307</v>
      </c>
      <c r="D175" s="92" t="s">
        <v>1089</v>
      </c>
      <c r="E175" s="8">
        <f>VLOOKUP(C175,'Trang tính3'!$B$10:$H$377,7,0)</f>
        <v>98.5</v>
      </c>
      <c r="F175" s="9" t="str">
        <f>VLOOKUP(C175,'Trang tính2'!$B$1:$D$175,3,0)</f>
        <v>3.70</v>
      </c>
      <c r="G175" s="9"/>
      <c r="H175" s="14" t="s">
        <v>1195</v>
      </c>
      <c r="I175" s="14" t="s">
        <v>1196</v>
      </c>
      <c r="J175" s="14" t="s">
        <v>1197</v>
      </c>
      <c r="K175" s="14" t="s">
        <v>1198</v>
      </c>
      <c r="L175" s="14" t="s">
        <v>1199</v>
      </c>
      <c r="M175" s="16"/>
      <c r="N175" s="16" t="s">
        <v>28</v>
      </c>
      <c r="O175" s="17" t="s">
        <v>1200</v>
      </c>
      <c r="P175" s="17" t="s">
        <v>1201</v>
      </c>
      <c r="Q175" s="61"/>
      <c r="R175" s="2"/>
      <c r="S175" s="2"/>
      <c r="T175" s="2"/>
      <c r="U175" s="2"/>
      <c r="V175" s="2"/>
      <c r="W175" s="2"/>
      <c r="X175" s="2"/>
      <c r="Y175" s="2"/>
      <c r="Z175" s="2"/>
      <c r="AA175" s="2"/>
      <c r="AB175" s="2"/>
      <c r="AC175" s="2"/>
    </row>
    <row r="176" spans="1:29" ht="26">
      <c r="A176" s="5">
        <v>171</v>
      </c>
      <c r="B176" s="14" t="s">
        <v>1202</v>
      </c>
      <c r="C176" s="15">
        <v>3122420486</v>
      </c>
      <c r="D176" s="92" t="s">
        <v>1089</v>
      </c>
      <c r="E176" s="8" t="s">
        <v>1203</v>
      </c>
      <c r="F176" s="9" t="s">
        <v>1204</v>
      </c>
      <c r="G176" s="9"/>
      <c r="H176" s="14" t="s">
        <v>1205</v>
      </c>
      <c r="I176" s="14" t="s">
        <v>1206</v>
      </c>
      <c r="J176" s="14" t="s">
        <v>1207</v>
      </c>
      <c r="K176" s="14" t="s">
        <v>1208</v>
      </c>
      <c r="L176" s="14" t="s">
        <v>1209</v>
      </c>
      <c r="M176" s="16"/>
      <c r="N176" s="16" t="s">
        <v>28</v>
      </c>
      <c r="O176" s="17" t="s">
        <v>1210</v>
      </c>
      <c r="P176" s="17" t="s">
        <v>1211</v>
      </c>
      <c r="Q176" s="61"/>
      <c r="R176" s="2"/>
      <c r="S176" s="2"/>
      <c r="T176" s="2"/>
      <c r="U176" s="2"/>
      <c r="V176" s="2"/>
      <c r="W176" s="2"/>
      <c r="X176" s="2"/>
      <c r="Y176" s="2"/>
      <c r="Z176" s="2"/>
      <c r="AA176" s="2"/>
      <c r="AB176" s="2"/>
      <c r="AC176" s="2"/>
    </row>
    <row r="177" spans="1:29" ht="26">
      <c r="A177" s="5">
        <v>172</v>
      </c>
      <c r="B177" s="14" t="s">
        <v>1212</v>
      </c>
      <c r="C177" s="15">
        <v>3123420299</v>
      </c>
      <c r="D177" s="92" t="s">
        <v>1089</v>
      </c>
      <c r="E177" s="8">
        <f>VLOOKUP(C177,'Trang tính3'!$B$10:$H$377,7,0)</f>
        <v>89.5</v>
      </c>
      <c r="F177" s="9" t="str">
        <f>VLOOKUP(C177,'Trang tính2'!$B$1:$D$175,3,0)</f>
        <v>3.81</v>
      </c>
      <c r="G177" s="9"/>
      <c r="H177" s="14" t="s">
        <v>1213</v>
      </c>
      <c r="I177" s="14" t="s">
        <v>1134</v>
      </c>
      <c r="J177" s="14" t="s">
        <v>1214</v>
      </c>
      <c r="K177" s="14" t="s">
        <v>1215</v>
      </c>
      <c r="L177" s="14" t="s">
        <v>1216</v>
      </c>
      <c r="M177" s="16"/>
      <c r="N177" s="16" t="s">
        <v>28</v>
      </c>
      <c r="O177" s="17" t="s">
        <v>1217</v>
      </c>
      <c r="P177" s="17" t="s">
        <v>1218</v>
      </c>
      <c r="Q177" s="61"/>
      <c r="R177" s="2"/>
      <c r="S177" s="2"/>
      <c r="T177" s="2"/>
      <c r="U177" s="2"/>
      <c r="V177" s="2"/>
      <c r="W177" s="2"/>
      <c r="X177" s="2"/>
      <c r="Y177" s="2"/>
      <c r="Z177" s="2"/>
      <c r="AA177" s="2"/>
      <c r="AB177" s="2"/>
      <c r="AC177" s="2"/>
    </row>
    <row r="178" spans="1:29" ht="26">
      <c r="A178" s="5">
        <v>173</v>
      </c>
      <c r="B178" s="14" t="s">
        <v>1219</v>
      </c>
      <c r="C178" s="15">
        <v>3122320038</v>
      </c>
      <c r="D178" s="92" t="s">
        <v>1089</v>
      </c>
      <c r="E178" s="8" t="s">
        <v>1203</v>
      </c>
      <c r="F178" s="9" t="s">
        <v>904</v>
      </c>
      <c r="G178" s="9"/>
      <c r="H178" s="14" t="s">
        <v>1220</v>
      </c>
      <c r="I178" s="14" t="s">
        <v>1221</v>
      </c>
      <c r="J178" s="14" t="s">
        <v>1222</v>
      </c>
      <c r="K178" s="14" t="s">
        <v>1223</v>
      </c>
      <c r="L178" s="14" t="s">
        <v>1224</v>
      </c>
      <c r="M178" s="16"/>
      <c r="N178" s="16" t="s">
        <v>28</v>
      </c>
      <c r="O178" s="17" t="s">
        <v>1225</v>
      </c>
      <c r="P178" s="17" t="s">
        <v>1226</v>
      </c>
      <c r="Q178" s="61"/>
      <c r="R178" s="2"/>
      <c r="S178" s="2"/>
      <c r="T178" s="2"/>
      <c r="U178" s="2"/>
      <c r="V178" s="2"/>
      <c r="W178" s="2"/>
      <c r="X178" s="2"/>
      <c r="Y178" s="2"/>
      <c r="Z178" s="2"/>
      <c r="AA178" s="2"/>
      <c r="AB178" s="2"/>
      <c r="AC178" s="2"/>
    </row>
    <row r="179" spans="1:29" ht="26">
      <c r="A179" s="5">
        <v>174</v>
      </c>
      <c r="B179" s="14" t="s">
        <v>1227</v>
      </c>
      <c r="C179" s="15">
        <v>3123320266</v>
      </c>
      <c r="D179" s="92" t="s">
        <v>1089</v>
      </c>
      <c r="E179" s="8" t="s">
        <v>745</v>
      </c>
      <c r="F179" s="9" t="s">
        <v>1228</v>
      </c>
      <c r="G179" s="9"/>
      <c r="H179" s="14" t="s">
        <v>1229</v>
      </c>
      <c r="I179" s="14" t="s">
        <v>1134</v>
      </c>
      <c r="J179" s="14" t="s">
        <v>1230</v>
      </c>
      <c r="K179" s="14" t="s">
        <v>1231</v>
      </c>
      <c r="L179" s="14" t="s">
        <v>1232</v>
      </c>
      <c r="M179" s="16"/>
      <c r="N179" s="16" t="s">
        <v>28</v>
      </c>
      <c r="O179" s="17" t="s">
        <v>1233</v>
      </c>
      <c r="P179" s="17" t="s">
        <v>1234</v>
      </c>
      <c r="Q179" s="61"/>
      <c r="R179" s="2"/>
      <c r="S179" s="2"/>
      <c r="T179" s="2"/>
      <c r="U179" s="2"/>
      <c r="V179" s="2"/>
      <c r="W179" s="2"/>
      <c r="X179" s="2"/>
      <c r="Y179" s="2"/>
      <c r="Z179" s="2"/>
      <c r="AA179" s="2"/>
      <c r="AB179" s="2"/>
      <c r="AC179" s="2"/>
    </row>
    <row r="180" spans="1:29" ht="26">
      <c r="A180" s="5">
        <v>175</v>
      </c>
      <c r="B180" s="14" t="s">
        <v>1235</v>
      </c>
      <c r="C180" s="15">
        <v>3121320436</v>
      </c>
      <c r="D180" s="92" t="s">
        <v>1089</v>
      </c>
      <c r="E180" s="8">
        <f>VLOOKUP(C180,'Trang tính3'!$B$10:$H$377,7,0)</f>
        <v>98</v>
      </c>
      <c r="F180" s="9" t="str">
        <f>VLOOKUP(C180,'Trang tính2'!$B$1:$D$175,3,0)</f>
        <v>3.78</v>
      </c>
      <c r="G180" s="9"/>
      <c r="H180" s="14" t="s">
        <v>1236</v>
      </c>
      <c r="I180" s="14" t="s">
        <v>1237</v>
      </c>
      <c r="J180" s="14" t="s">
        <v>1238</v>
      </c>
      <c r="K180" s="14" t="s">
        <v>1239</v>
      </c>
      <c r="L180" s="14" t="s">
        <v>1240</v>
      </c>
      <c r="M180" s="16"/>
      <c r="N180" s="16" t="s">
        <v>28</v>
      </c>
      <c r="O180" s="17" t="s">
        <v>1241</v>
      </c>
      <c r="P180" s="17" t="s">
        <v>1242</v>
      </c>
      <c r="Q180" s="61"/>
      <c r="R180" s="2"/>
      <c r="S180" s="2"/>
      <c r="T180" s="2"/>
      <c r="U180" s="2"/>
      <c r="V180" s="2"/>
      <c r="W180" s="2"/>
      <c r="X180" s="2"/>
      <c r="Y180" s="2"/>
      <c r="Z180" s="2"/>
      <c r="AA180" s="2"/>
      <c r="AB180" s="2"/>
      <c r="AC180" s="2"/>
    </row>
    <row r="181" spans="1:29" ht="26">
      <c r="A181" s="5">
        <v>176</v>
      </c>
      <c r="B181" s="14" t="s">
        <v>1243</v>
      </c>
      <c r="C181" s="15">
        <v>3123320324</v>
      </c>
      <c r="D181" s="92" t="s">
        <v>1089</v>
      </c>
      <c r="E181" s="8" t="s">
        <v>1244</v>
      </c>
      <c r="F181" s="9" t="s">
        <v>1245</v>
      </c>
      <c r="G181" s="9"/>
      <c r="H181" s="14" t="s">
        <v>1246</v>
      </c>
      <c r="I181" s="14" t="s">
        <v>1134</v>
      </c>
      <c r="J181" s="14" t="s">
        <v>1247</v>
      </c>
      <c r="K181" s="14" t="s">
        <v>1248</v>
      </c>
      <c r="L181" s="14" t="s">
        <v>1249</v>
      </c>
      <c r="M181" s="16"/>
      <c r="N181" s="16" t="s">
        <v>28</v>
      </c>
      <c r="O181" s="17" t="s">
        <v>1250</v>
      </c>
      <c r="P181" s="17" t="s">
        <v>1250</v>
      </c>
      <c r="Q181" s="61"/>
      <c r="R181" s="2"/>
      <c r="S181" s="2"/>
      <c r="T181" s="2"/>
      <c r="U181" s="2"/>
      <c r="V181" s="2"/>
      <c r="W181" s="2"/>
      <c r="X181" s="2"/>
      <c r="Y181" s="2"/>
      <c r="Z181" s="2"/>
      <c r="AA181" s="2"/>
      <c r="AB181" s="2"/>
      <c r="AC181" s="2"/>
    </row>
    <row r="182" spans="1:29" ht="26">
      <c r="A182" s="5">
        <v>177</v>
      </c>
      <c r="B182" s="14" t="s">
        <v>1251</v>
      </c>
      <c r="C182" s="15">
        <v>3122420186</v>
      </c>
      <c r="D182" s="92" t="s">
        <v>1089</v>
      </c>
      <c r="E182" s="8" t="s">
        <v>1252</v>
      </c>
      <c r="F182" s="9" t="s">
        <v>1253</v>
      </c>
      <c r="G182" s="9"/>
      <c r="H182" s="14" t="s">
        <v>1254</v>
      </c>
      <c r="I182" s="14" t="s">
        <v>1255</v>
      </c>
      <c r="J182" s="14" t="s">
        <v>1222</v>
      </c>
      <c r="K182" s="14" t="s">
        <v>1256</v>
      </c>
      <c r="L182" s="14" t="s">
        <v>1257</v>
      </c>
      <c r="M182" s="16"/>
      <c r="N182" s="16" t="s">
        <v>28</v>
      </c>
      <c r="O182" s="17" t="s">
        <v>1258</v>
      </c>
      <c r="P182" s="17" t="s">
        <v>1259</v>
      </c>
      <c r="Q182" s="61"/>
      <c r="R182" s="2"/>
      <c r="S182" s="2"/>
      <c r="T182" s="2"/>
      <c r="U182" s="2"/>
      <c r="V182" s="2"/>
      <c r="W182" s="2"/>
      <c r="X182" s="2"/>
      <c r="Y182" s="2"/>
      <c r="Z182" s="2"/>
      <c r="AA182" s="2"/>
      <c r="AB182" s="2"/>
      <c r="AC182" s="2"/>
    </row>
    <row r="183" spans="1:29" ht="26">
      <c r="A183" s="5">
        <v>178</v>
      </c>
      <c r="B183" s="14" t="s">
        <v>1260</v>
      </c>
      <c r="C183" s="15">
        <v>3122420345</v>
      </c>
      <c r="D183" s="92" t="s">
        <v>1089</v>
      </c>
      <c r="E183" s="8" t="s">
        <v>1252</v>
      </c>
      <c r="F183" s="9" t="s">
        <v>1261</v>
      </c>
      <c r="G183" s="9"/>
      <c r="H183" s="14" t="s">
        <v>1262</v>
      </c>
      <c r="I183" s="14" t="s">
        <v>1134</v>
      </c>
      <c r="J183" s="14" t="s">
        <v>1263</v>
      </c>
      <c r="K183" s="14" t="s">
        <v>1264</v>
      </c>
      <c r="L183" s="14" t="s">
        <v>1265</v>
      </c>
      <c r="M183" s="16"/>
      <c r="N183" s="16" t="s">
        <v>28</v>
      </c>
      <c r="O183" s="17" t="s">
        <v>1266</v>
      </c>
      <c r="P183" s="17" t="s">
        <v>1267</v>
      </c>
      <c r="Q183" s="61"/>
      <c r="R183" s="2"/>
      <c r="S183" s="2"/>
      <c r="T183" s="2"/>
      <c r="U183" s="2"/>
      <c r="V183" s="2"/>
      <c r="W183" s="2"/>
      <c r="X183" s="2"/>
      <c r="Y183" s="2"/>
      <c r="Z183" s="2"/>
      <c r="AA183" s="2"/>
      <c r="AB183" s="2"/>
      <c r="AC183" s="2"/>
    </row>
    <row r="184" spans="1:29" ht="26">
      <c r="A184" s="5">
        <v>179</v>
      </c>
      <c r="B184" s="14" t="s">
        <v>1268</v>
      </c>
      <c r="C184" s="15">
        <v>3122420079</v>
      </c>
      <c r="D184" s="92" t="s">
        <v>1089</v>
      </c>
      <c r="E184" s="8">
        <f>VLOOKUP(C184,'Trang tính3'!$B$10:$H$377,7,0)</f>
        <v>100</v>
      </c>
      <c r="F184" s="9" t="str">
        <f>VLOOKUP(C184,'Trang tính2'!$B$1:$D$175,3,0)</f>
        <v>3.38</v>
      </c>
      <c r="G184" s="9"/>
      <c r="H184" s="14" t="s">
        <v>1269</v>
      </c>
      <c r="I184" s="14" t="s">
        <v>1270</v>
      </c>
      <c r="J184" s="14" t="s">
        <v>1271</v>
      </c>
      <c r="K184" s="14" t="s">
        <v>1272</v>
      </c>
      <c r="L184" s="14" t="s">
        <v>1273</v>
      </c>
      <c r="M184" s="16"/>
      <c r="N184" s="16" t="s">
        <v>28</v>
      </c>
      <c r="O184" s="17" t="s">
        <v>1274</v>
      </c>
      <c r="P184" s="17" t="s">
        <v>1275</v>
      </c>
      <c r="Q184" s="61"/>
      <c r="R184" s="2"/>
      <c r="S184" s="2"/>
      <c r="T184" s="2"/>
      <c r="U184" s="2"/>
      <c r="V184" s="2"/>
      <c r="W184" s="2"/>
      <c r="X184" s="2"/>
      <c r="Y184" s="2"/>
      <c r="Z184" s="2"/>
      <c r="AA184" s="2"/>
      <c r="AB184" s="2"/>
      <c r="AC184" s="2"/>
    </row>
    <row r="185" spans="1:29" ht="26">
      <c r="A185" s="5">
        <v>180</v>
      </c>
      <c r="B185" s="14" t="s">
        <v>1276</v>
      </c>
      <c r="C185" s="15">
        <v>3122320069</v>
      </c>
      <c r="D185" s="92" t="s">
        <v>1089</v>
      </c>
      <c r="E185" s="8">
        <f>VLOOKUP(C185,'Trang tính3'!$B$10:$H$377,7,0)</f>
        <v>99</v>
      </c>
      <c r="F185" s="9" t="str">
        <f>VLOOKUP(C185,'Trang tính2'!$B$1:$D$175,3,0)</f>
        <v>4.00</v>
      </c>
      <c r="G185" s="9"/>
      <c r="H185" s="14" t="s">
        <v>1277</v>
      </c>
      <c r="I185" s="14" t="s">
        <v>1278</v>
      </c>
      <c r="J185" s="14" t="s">
        <v>1279</v>
      </c>
      <c r="K185" s="14" t="s">
        <v>1280</v>
      </c>
      <c r="L185" s="14" t="s">
        <v>1281</v>
      </c>
      <c r="M185" s="16"/>
      <c r="N185" s="16" t="s">
        <v>28</v>
      </c>
      <c r="O185" s="17" t="s">
        <v>1282</v>
      </c>
      <c r="P185" s="17" t="s">
        <v>1283</v>
      </c>
      <c r="Q185" s="61"/>
      <c r="R185" s="2"/>
      <c r="S185" s="2"/>
      <c r="T185" s="2"/>
      <c r="U185" s="2"/>
      <c r="V185" s="2"/>
      <c r="W185" s="2"/>
      <c r="X185" s="2"/>
      <c r="Y185" s="2"/>
      <c r="Z185" s="2"/>
      <c r="AA185" s="2"/>
      <c r="AB185" s="2"/>
      <c r="AC185" s="2"/>
    </row>
    <row r="186" spans="1:29" ht="26">
      <c r="A186" s="5">
        <v>181</v>
      </c>
      <c r="B186" s="14" t="s">
        <v>1284</v>
      </c>
      <c r="C186" s="15">
        <v>3121420311</v>
      </c>
      <c r="D186" s="92" t="s">
        <v>1089</v>
      </c>
      <c r="E186" s="8">
        <f>VLOOKUP(C186,'Trang tính3'!$B$10:$H$377,7,0)</f>
        <v>91.5</v>
      </c>
      <c r="F186" s="9" t="str">
        <f>VLOOKUP(C186,'Trang tính2'!$B$1:$D$175,3,0)</f>
        <v>3.70</v>
      </c>
      <c r="G186" s="9"/>
      <c r="H186" s="14" t="s">
        <v>1285</v>
      </c>
      <c r="I186" s="14" t="s">
        <v>1286</v>
      </c>
      <c r="J186" s="14" t="s">
        <v>1287</v>
      </c>
      <c r="K186" s="14" t="s">
        <v>1288</v>
      </c>
      <c r="L186" s="14" t="s">
        <v>1289</v>
      </c>
      <c r="M186" s="16"/>
      <c r="N186" s="16" t="s">
        <v>28</v>
      </c>
      <c r="O186" s="17" t="s">
        <v>1290</v>
      </c>
      <c r="P186" s="17" t="s">
        <v>1291</v>
      </c>
      <c r="Q186" s="61"/>
      <c r="R186" s="2"/>
      <c r="S186" s="2"/>
      <c r="T186" s="2"/>
      <c r="U186" s="2"/>
      <c r="V186" s="2"/>
      <c r="W186" s="2"/>
      <c r="X186" s="2"/>
      <c r="Y186" s="2"/>
      <c r="Z186" s="2"/>
      <c r="AA186" s="2"/>
      <c r="AB186" s="2"/>
      <c r="AC186" s="2"/>
    </row>
    <row r="187" spans="1:29" ht="26">
      <c r="A187" s="5">
        <v>182</v>
      </c>
      <c r="B187" s="14" t="s">
        <v>1292</v>
      </c>
      <c r="C187" s="15">
        <v>3123420441</v>
      </c>
      <c r="D187" s="92" t="s">
        <v>1089</v>
      </c>
      <c r="E187" s="8" t="s">
        <v>195</v>
      </c>
      <c r="F187" s="9" t="s">
        <v>924</v>
      </c>
      <c r="G187" s="9"/>
      <c r="H187" s="14" t="s">
        <v>1293</v>
      </c>
      <c r="I187" s="14" t="s">
        <v>1294</v>
      </c>
      <c r="J187" s="14" t="s">
        <v>1295</v>
      </c>
      <c r="K187" s="14" t="s">
        <v>1296</v>
      </c>
      <c r="L187" s="14" t="s">
        <v>1297</v>
      </c>
      <c r="M187" s="16"/>
      <c r="N187" s="16" t="s">
        <v>28</v>
      </c>
      <c r="O187" s="17" t="s">
        <v>1298</v>
      </c>
      <c r="P187" s="17" t="s">
        <v>1299</v>
      </c>
      <c r="Q187" s="61"/>
      <c r="R187" s="2"/>
      <c r="S187" s="2"/>
      <c r="T187" s="2"/>
      <c r="U187" s="2"/>
      <c r="V187" s="2"/>
      <c r="W187" s="2"/>
      <c r="X187" s="2"/>
      <c r="Y187" s="2"/>
      <c r="Z187" s="2"/>
      <c r="AA187" s="2"/>
      <c r="AB187" s="2"/>
      <c r="AC187" s="2"/>
    </row>
    <row r="188" spans="1:29" ht="26">
      <c r="A188" s="5">
        <v>183</v>
      </c>
      <c r="B188" s="14" t="s">
        <v>1300</v>
      </c>
      <c r="C188" s="15">
        <v>3122420052</v>
      </c>
      <c r="D188" s="92" t="s">
        <v>1089</v>
      </c>
      <c r="E188" s="8" t="s">
        <v>1301</v>
      </c>
      <c r="F188" s="9" t="s">
        <v>957</v>
      </c>
      <c r="G188" s="9"/>
      <c r="H188" s="14" t="s">
        <v>1302</v>
      </c>
      <c r="I188" s="14" t="s">
        <v>1303</v>
      </c>
      <c r="J188" s="14" t="s">
        <v>1304</v>
      </c>
      <c r="K188" s="14" t="s">
        <v>1305</v>
      </c>
      <c r="L188" s="14" t="s">
        <v>1306</v>
      </c>
      <c r="M188" s="16"/>
      <c r="N188" s="16" t="s">
        <v>28</v>
      </c>
      <c r="O188" s="17" t="s">
        <v>1307</v>
      </c>
      <c r="P188" s="17" t="s">
        <v>1308</v>
      </c>
      <c r="Q188" s="61"/>
      <c r="R188" s="2"/>
      <c r="S188" s="2"/>
      <c r="T188" s="2"/>
      <c r="U188" s="2"/>
      <c r="V188" s="2"/>
      <c r="W188" s="2"/>
      <c r="X188" s="2"/>
      <c r="Y188" s="2"/>
      <c r="Z188" s="2"/>
      <c r="AA188" s="2"/>
      <c r="AB188" s="2"/>
      <c r="AC188" s="2"/>
    </row>
    <row r="189" spans="1:29" ht="26">
      <c r="A189" s="5">
        <v>184</v>
      </c>
      <c r="B189" s="14" t="s">
        <v>1309</v>
      </c>
      <c r="C189" s="15">
        <v>3121320168</v>
      </c>
      <c r="D189" s="92" t="s">
        <v>1089</v>
      </c>
      <c r="E189" s="8" t="s">
        <v>1310</v>
      </c>
      <c r="F189" s="9" t="s">
        <v>1311</v>
      </c>
      <c r="G189" s="9"/>
      <c r="H189" s="14" t="s">
        <v>1312</v>
      </c>
      <c r="I189" s="14" t="s">
        <v>1313</v>
      </c>
      <c r="J189" s="14" t="s">
        <v>1314</v>
      </c>
      <c r="K189" s="14" t="s">
        <v>1315</v>
      </c>
      <c r="L189" s="14" t="s">
        <v>1316</v>
      </c>
      <c r="M189" s="16" t="s">
        <v>60</v>
      </c>
      <c r="N189" s="16" t="s">
        <v>28</v>
      </c>
      <c r="O189" s="14"/>
      <c r="P189" s="14"/>
      <c r="Q189" s="61"/>
      <c r="R189" s="2"/>
      <c r="S189" s="2"/>
      <c r="T189" s="2"/>
      <c r="U189" s="2"/>
      <c r="V189" s="2"/>
      <c r="W189" s="2"/>
      <c r="X189" s="2"/>
      <c r="Y189" s="2"/>
      <c r="Z189" s="2"/>
      <c r="AA189" s="2"/>
      <c r="AB189" s="2"/>
      <c r="AC189" s="2"/>
    </row>
    <row r="190" spans="1:29" ht="26">
      <c r="A190" s="5">
        <v>185</v>
      </c>
      <c r="B190" s="14" t="s">
        <v>1317</v>
      </c>
      <c r="C190" s="15">
        <v>3121320196</v>
      </c>
      <c r="D190" s="92" t="s">
        <v>1089</v>
      </c>
      <c r="E190" s="8" t="s">
        <v>1310</v>
      </c>
      <c r="F190" s="9" t="s">
        <v>1311</v>
      </c>
      <c r="G190" s="9"/>
      <c r="H190" s="14" t="s">
        <v>1318</v>
      </c>
      <c r="I190" s="14" t="s">
        <v>1319</v>
      </c>
      <c r="J190" s="14" t="s">
        <v>1320</v>
      </c>
      <c r="K190" s="14" t="s">
        <v>1321</v>
      </c>
      <c r="L190" s="14" t="s">
        <v>1322</v>
      </c>
      <c r="M190" s="16" t="s">
        <v>60</v>
      </c>
      <c r="N190" s="16" t="s">
        <v>28</v>
      </c>
      <c r="O190" s="14"/>
      <c r="P190" s="14"/>
      <c r="Q190" s="61"/>
      <c r="R190" s="2"/>
      <c r="S190" s="2"/>
      <c r="T190" s="2"/>
      <c r="U190" s="2"/>
      <c r="V190" s="2"/>
      <c r="W190" s="2"/>
      <c r="X190" s="2"/>
      <c r="Y190" s="2"/>
      <c r="Z190" s="2"/>
      <c r="AA190" s="2"/>
      <c r="AB190" s="2"/>
      <c r="AC190" s="2"/>
    </row>
    <row r="191" spans="1:29" ht="26">
      <c r="A191" s="5">
        <v>186</v>
      </c>
      <c r="B191" s="14" t="s">
        <v>1323</v>
      </c>
      <c r="C191" s="15">
        <v>3121320376</v>
      </c>
      <c r="D191" s="92" t="s">
        <v>1089</v>
      </c>
      <c r="E191" s="8" t="s">
        <v>195</v>
      </c>
      <c r="F191" s="9" t="s">
        <v>431</v>
      </c>
      <c r="G191" s="9"/>
      <c r="H191" s="14" t="s">
        <v>1324</v>
      </c>
      <c r="I191" s="14" t="s">
        <v>1325</v>
      </c>
      <c r="J191" s="14" t="s">
        <v>1326</v>
      </c>
      <c r="K191" s="14" t="s">
        <v>1327</v>
      </c>
      <c r="L191" s="14" t="s">
        <v>1328</v>
      </c>
      <c r="M191" s="16" t="s">
        <v>60</v>
      </c>
      <c r="N191" s="16" t="s">
        <v>28</v>
      </c>
      <c r="O191" s="14"/>
      <c r="P191" s="14"/>
      <c r="Q191" s="61"/>
      <c r="R191" s="2"/>
      <c r="S191" s="2"/>
      <c r="T191" s="2"/>
      <c r="U191" s="2"/>
      <c r="V191" s="2"/>
      <c r="W191" s="2"/>
      <c r="X191" s="2"/>
      <c r="Y191" s="2"/>
      <c r="Z191" s="2"/>
      <c r="AA191" s="2"/>
      <c r="AB191" s="2"/>
      <c r="AC191" s="2"/>
    </row>
    <row r="192" spans="1:29" ht="26">
      <c r="A192" s="5">
        <v>187</v>
      </c>
      <c r="B192" s="14" t="s">
        <v>1329</v>
      </c>
      <c r="C192" s="15">
        <v>3121320353</v>
      </c>
      <c r="D192" s="92" t="s">
        <v>1089</v>
      </c>
      <c r="E192" s="8" t="s">
        <v>1301</v>
      </c>
      <c r="F192" s="9" t="s">
        <v>1311</v>
      </c>
      <c r="G192" s="9"/>
      <c r="H192" s="14" t="s">
        <v>1330</v>
      </c>
      <c r="I192" s="14" t="s">
        <v>1331</v>
      </c>
      <c r="J192" s="14" t="s">
        <v>1326</v>
      </c>
      <c r="K192" s="14" t="s">
        <v>1332</v>
      </c>
      <c r="L192" s="14" t="s">
        <v>1333</v>
      </c>
      <c r="M192" s="16" t="s">
        <v>60</v>
      </c>
      <c r="N192" s="16" t="s">
        <v>28</v>
      </c>
      <c r="O192" s="14"/>
      <c r="P192" s="14"/>
      <c r="Q192" s="62"/>
      <c r="R192" s="2"/>
      <c r="S192" s="2"/>
      <c r="T192" s="2"/>
      <c r="U192" s="2"/>
      <c r="V192" s="2"/>
      <c r="W192" s="2"/>
      <c r="X192" s="2"/>
      <c r="Y192" s="2"/>
      <c r="Z192" s="2"/>
      <c r="AA192" s="2"/>
      <c r="AB192" s="2"/>
      <c r="AC192" s="2"/>
    </row>
    <row r="193" spans="1:29" ht="13">
      <c r="A193" s="5">
        <v>188</v>
      </c>
      <c r="B193" s="6" t="s">
        <v>1334</v>
      </c>
      <c r="C193" s="5">
        <v>3122410001</v>
      </c>
      <c r="D193" s="93" t="s">
        <v>1335</v>
      </c>
      <c r="E193" s="8">
        <f>VLOOKUP(C193,'Trang tính3'!$B$10:$H$377,7,0)</f>
        <v>99</v>
      </c>
      <c r="F193" s="9" t="str">
        <f>VLOOKUP(C193,'Trang tính2'!$B$1:$D$175,3,0)</f>
        <v>3.62</v>
      </c>
      <c r="G193" s="8"/>
      <c r="H193" s="6" t="s">
        <v>1336</v>
      </c>
      <c r="I193" s="6" t="s">
        <v>1337</v>
      </c>
      <c r="J193" s="6" t="s">
        <v>1338</v>
      </c>
      <c r="K193" s="6" t="s">
        <v>1339</v>
      </c>
      <c r="L193" s="6" t="s">
        <v>1340</v>
      </c>
      <c r="M193" s="10"/>
      <c r="N193" s="10" t="s">
        <v>28</v>
      </c>
      <c r="O193" s="12" t="s">
        <v>1341</v>
      </c>
      <c r="P193" s="12" t="s">
        <v>1342</v>
      </c>
      <c r="Q193" s="60" t="s">
        <v>1343</v>
      </c>
      <c r="R193" s="2"/>
      <c r="S193" s="2"/>
      <c r="T193" s="2"/>
      <c r="U193" s="2"/>
      <c r="V193" s="2"/>
      <c r="W193" s="2"/>
      <c r="X193" s="2"/>
      <c r="Y193" s="2"/>
      <c r="Z193" s="2"/>
      <c r="AA193" s="2"/>
      <c r="AB193" s="2"/>
      <c r="AC193" s="2"/>
    </row>
    <row r="194" spans="1:29" ht="13">
      <c r="A194" s="5">
        <v>189</v>
      </c>
      <c r="B194" s="6" t="s">
        <v>1344</v>
      </c>
      <c r="C194" s="5">
        <v>3122411020</v>
      </c>
      <c r="D194" s="93" t="s">
        <v>1335</v>
      </c>
      <c r="E194" s="8">
        <f>VLOOKUP(C194,'Trang tính3'!$B$10:$H$377,7,0)</f>
        <v>96</v>
      </c>
      <c r="F194" s="9" t="str">
        <f>VLOOKUP(C194,'Trang tính2'!$B$1:$D$175,3,0)</f>
        <v>3.43</v>
      </c>
      <c r="G194" s="8"/>
      <c r="H194" s="6" t="s">
        <v>85</v>
      </c>
      <c r="I194" s="6" t="s">
        <v>85</v>
      </c>
      <c r="J194" s="6"/>
      <c r="K194" s="6"/>
      <c r="L194" s="6"/>
      <c r="M194" s="10"/>
      <c r="N194" s="10" t="s">
        <v>72</v>
      </c>
      <c r="O194" s="6"/>
      <c r="P194" s="12" t="s">
        <v>1345</v>
      </c>
      <c r="Q194" s="62"/>
      <c r="R194" s="2"/>
      <c r="S194" s="2"/>
      <c r="T194" s="2"/>
      <c r="U194" s="2"/>
      <c r="V194" s="2"/>
      <c r="W194" s="2"/>
      <c r="X194" s="2"/>
      <c r="Y194" s="2"/>
      <c r="Z194" s="2"/>
      <c r="AA194" s="2"/>
      <c r="AB194" s="2"/>
      <c r="AC194" s="2"/>
    </row>
    <row r="195" spans="1:29" ht="13" customHeight="1">
      <c r="A195" s="5">
        <v>190</v>
      </c>
      <c r="B195" s="14" t="s">
        <v>1346</v>
      </c>
      <c r="C195" s="15">
        <v>3122090011</v>
      </c>
      <c r="D195" s="92" t="s">
        <v>1347</v>
      </c>
      <c r="E195" s="8">
        <f>VLOOKUP(C195,'Trang tính3'!$B$10:$H$377,7,0)</f>
        <v>96</v>
      </c>
      <c r="F195" s="9" t="str">
        <f>VLOOKUP(C195,'Trang tính2'!$B$1:$D$175,3,0)</f>
        <v>3.27</v>
      </c>
      <c r="G195" s="9"/>
      <c r="H195" s="14" t="s">
        <v>1348</v>
      </c>
      <c r="I195" s="14" t="s">
        <v>1349</v>
      </c>
      <c r="J195" s="14" t="s">
        <v>1350</v>
      </c>
      <c r="K195" s="14" t="s">
        <v>1351</v>
      </c>
      <c r="L195" s="14" t="s">
        <v>1352</v>
      </c>
      <c r="M195" s="16"/>
      <c r="N195" s="16" t="s">
        <v>28</v>
      </c>
      <c r="O195" s="14"/>
      <c r="P195" s="14"/>
      <c r="Q195" s="63" t="s">
        <v>1353</v>
      </c>
      <c r="R195" s="2"/>
      <c r="S195" s="2"/>
      <c r="T195" s="2"/>
      <c r="U195" s="2"/>
      <c r="V195" s="2"/>
      <c r="W195" s="2"/>
      <c r="X195" s="2"/>
      <c r="Y195" s="2"/>
      <c r="Z195" s="2"/>
      <c r="AA195" s="2"/>
      <c r="AB195" s="2"/>
      <c r="AC195" s="2"/>
    </row>
    <row r="196" spans="1:29" ht="39">
      <c r="A196" s="5">
        <v>191</v>
      </c>
      <c r="B196" s="14" t="s">
        <v>1354</v>
      </c>
      <c r="C196" s="15">
        <v>3123090002</v>
      </c>
      <c r="D196" s="92" t="s">
        <v>1347</v>
      </c>
      <c r="E196" s="8">
        <f>VLOOKUP(C196,'Trang tính3'!$B$10:$H$377,7,0)</f>
        <v>94.5</v>
      </c>
      <c r="F196" s="9" t="str">
        <f>VLOOKUP(C196,'Trang tính2'!$B$1:$D$175,3,0)</f>
        <v>3.52</v>
      </c>
      <c r="G196" s="9"/>
      <c r="H196" s="14"/>
      <c r="I196" s="14"/>
      <c r="J196" s="14"/>
      <c r="K196" s="14"/>
      <c r="L196" s="14" t="s">
        <v>1355</v>
      </c>
      <c r="M196" s="16"/>
      <c r="N196" s="16" t="s">
        <v>72</v>
      </c>
      <c r="O196" s="14"/>
      <c r="P196" s="14"/>
      <c r="Q196" s="61"/>
      <c r="R196" s="2"/>
      <c r="S196" s="2"/>
      <c r="T196" s="2"/>
      <c r="U196" s="2"/>
      <c r="V196" s="2"/>
      <c r="W196" s="2"/>
      <c r="X196" s="2"/>
      <c r="Y196" s="2"/>
      <c r="Z196" s="2"/>
      <c r="AA196" s="2"/>
      <c r="AB196" s="2"/>
      <c r="AC196" s="2"/>
    </row>
    <row r="197" spans="1:29" ht="39">
      <c r="A197" s="5">
        <v>192</v>
      </c>
      <c r="B197" s="14" t="s">
        <v>1356</v>
      </c>
      <c r="C197" s="15">
        <v>3121160003</v>
      </c>
      <c r="D197" s="92" t="s">
        <v>1347</v>
      </c>
      <c r="E197" s="8">
        <f>VLOOKUP(C197,'Trang tính3'!$B$10:$H$377,7,0)</f>
        <v>95.5</v>
      </c>
      <c r="F197" s="9" t="str">
        <f>VLOOKUP(C197,'Trang tính2'!$B$1:$D$175,3,0)</f>
        <v>4.00</v>
      </c>
      <c r="G197" s="9"/>
      <c r="H197" s="14" t="s">
        <v>1357</v>
      </c>
      <c r="I197" s="14" t="s">
        <v>1358</v>
      </c>
      <c r="J197" s="14" t="s">
        <v>1359</v>
      </c>
      <c r="K197" s="14" t="s">
        <v>1360</v>
      </c>
      <c r="L197" s="14"/>
      <c r="M197" s="16"/>
      <c r="N197" s="16" t="s">
        <v>28</v>
      </c>
      <c r="O197" s="14"/>
      <c r="P197" s="14"/>
      <c r="Q197" s="61"/>
      <c r="R197" s="2"/>
      <c r="S197" s="2"/>
      <c r="T197" s="2"/>
      <c r="U197" s="2"/>
      <c r="V197" s="2"/>
      <c r="W197" s="2"/>
      <c r="X197" s="2"/>
      <c r="Y197" s="2"/>
      <c r="Z197" s="2"/>
      <c r="AA197" s="2"/>
      <c r="AB197" s="2"/>
      <c r="AC197" s="2"/>
    </row>
    <row r="198" spans="1:29" ht="39">
      <c r="A198" s="5">
        <v>193</v>
      </c>
      <c r="B198" s="14" t="s">
        <v>1361</v>
      </c>
      <c r="C198" s="15">
        <v>3122090004</v>
      </c>
      <c r="D198" s="92" t="s">
        <v>1347</v>
      </c>
      <c r="E198" s="8">
        <f>VLOOKUP(C198,'Trang tính3'!$B$10:$H$377,7,0)</f>
        <v>93.5</v>
      </c>
      <c r="F198" s="9" t="str">
        <f>VLOOKUP(C198,'Trang tính2'!$B$1:$D$175,3,0)</f>
        <v>3.26</v>
      </c>
      <c r="G198" s="9"/>
      <c r="H198" s="14" t="s">
        <v>1362</v>
      </c>
      <c r="I198" s="14" t="s">
        <v>1363</v>
      </c>
      <c r="J198" s="14" t="s">
        <v>1364</v>
      </c>
      <c r="K198" s="14" t="s">
        <v>1365</v>
      </c>
      <c r="L198" s="14" t="s">
        <v>1366</v>
      </c>
      <c r="M198" s="16"/>
      <c r="N198" s="16" t="s">
        <v>28</v>
      </c>
      <c r="O198" s="14"/>
      <c r="P198" s="14"/>
      <c r="Q198" s="61"/>
      <c r="R198" s="2"/>
      <c r="S198" s="2"/>
      <c r="T198" s="2"/>
      <c r="U198" s="2"/>
      <c r="V198" s="2"/>
      <c r="W198" s="2"/>
      <c r="X198" s="2"/>
      <c r="Y198" s="2"/>
      <c r="Z198" s="2"/>
      <c r="AA198" s="2"/>
      <c r="AB198" s="2"/>
      <c r="AC198" s="2"/>
    </row>
    <row r="199" spans="1:29" ht="39">
      <c r="A199" s="5">
        <v>194</v>
      </c>
      <c r="B199" s="14" t="s">
        <v>1367</v>
      </c>
      <c r="C199" s="15">
        <v>31221220044</v>
      </c>
      <c r="D199" s="92" t="s">
        <v>1347</v>
      </c>
      <c r="E199" s="8" t="s">
        <v>195</v>
      </c>
      <c r="F199" s="9" t="s">
        <v>1368</v>
      </c>
      <c r="G199" s="9"/>
      <c r="H199" s="14" t="s">
        <v>1369</v>
      </c>
      <c r="I199" s="14" t="s">
        <v>1370</v>
      </c>
      <c r="J199" s="14" t="s">
        <v>1371</v>
      </c>
      <c r="K199" s="14" t="s">
        <v>1372</v>
      </c>
      <c r="L199" s="14" t="s">
        <v>1373</v>
      </c>
      <c r="M199" s="16"/>
      <c r="N199" s="16" t="s">
        <v>28</v>
      </c>
      <c r="O199" s="14"/>
      <c r="P199" s="14"/>
      <c r="Q199" s="61"/>
      <c r="R199" s="2"/>
      <c r="S199" s="2"/>
      <c r="T199" s="2"/>
      <c r="U199" s="2"/>
      <c r="V199" s="2"/>
      <c r="W199" s="2"/>
      <c r="X199" s="2"/>
      <c r="Y199" s="2"/>
      <c r="Z199" s="2"/>
      <c r="AA199" s="2"/>
      <c r="AB199" s="2"/>
      <c r="AC199" s="2"/>
    </row>
    <row r="200" spans="1:29" ht="39">
      <c r="A200" s="5">
        <v>195</v>
      </c>
      <c r="B200" s="14" t="s">
        <v>1374</v>
      </c>
      <c r="C200" s="15">
        <v>3123090016</v>
      </c>
      <c r="D200" s="92" t="s">
        <v>1347</v>
      </c>
      <c r="E200" s="8">
        <f>VLOOKUP(C200,'Trang tính3'!$B$10:$H$377,7,0)</f>
        <v>96</v>
      </c>
      <c r="F200" s="9" t="str">
        <f>VLOOKUP(C200,'Trang tính2'!$B$1:$D$175,3,0)</f>
        <v>3.53</v>
      </c>
      <c r="G200" s="9"/>
      <c r="H200" s="14"/>
      <c r="I200" s="14"/>
      <c r="J200" s="14"/>
      <c r="K200" s="14" t="s">
        <v>1375</v>
      </c>
      <c r="L200" s="14" t="s">
        <v>1046</v>
      </c>
      <c r="M200" s="16"/>
      <c r="N200" s="16" t="s">
        <v>72</v>
      </c>
      <c r="O200" s="14"/>
      <c r="P200" s="14"/>
      <c r="Q200" s="61"/>
      <c r="R200" s="2"/>
      <c r="S200" s="2"/>
      <c r="T200" s="2"/>
      <c r="U200" s="2"/>
      <c r="V200" s="2"/>
      <c r="W200" s="2"/>
      <c r="X200" s="2"/>
      <c r="Y200" s="2"/>
      <c r="Z200" s="2"/>
      <c r="AA200" s="2"/>
      <c r="AB200" s="2"/>
      <c r="AC200" s="2"/>
    </row>
    <row r="201" spans="1:29" ht="39">
      <c r="A201" s="5">
        <v>196</v>
      </c>
      <c r="B201" s="14" t="s">
        <v>1376</v>
      </c>
      <c r="C201" s="15">
        <v>3122390067</v>
      </c>
      <c r="D201" s="92" t="s">
        <v>1347</v>
      </c>
      <c r="E201" s="8">
        <f>VLOOKUP(C201,'Trang tính3'!$B$10:$H$377,7,0)</f>
        <v>88.5</v>
      </c>
      <c r="F201" s="9" t="str">
        <f>VLOOKUP(C201,'Trang tính2'!$B$1:$D$175,3,0)</f>
        <v>2.97</v>
      </c>
      <c r="G201" s="9"/>
      <c r="H201" s="14" t="s">
        <v>1377</v>
      </c>
      <c r="I201" s="14" t="s">
        <v>1378</v>
      </c>
      <c r="J201" s="14" t="s">
        <v>1379</v>
      </c>
      <c r="K201" s="14" t="s">
        <v>1380</v>
      </c>
      <c r="L201" s="14" t="s">
        <v>1381</v>
      </c>
      <c r="M201" s="16"/>
      <c r="N201" s="16" t="s">
        <v>28</v>
      </c>
      <c r="O201" s="14"/>
      <c r="P201" s="14"/>
      <c r="Q201" s="61"/>
      <c r="R201" s="2"/>
      <c r="S201" s="2"/>
      <c r="T201" s="2"/>
      <c r="U201" s="2"/>
      <c r="V201" s="2"/>
      <c r="W201" s="2"/>
      <c r="X201" s="2"/>
      <c r="Y201" s="2"/>
      <c r="Z201" s="2"/>
      <c r="AA201" s="2"/>
      <c r="AB201" s="2"/>
      <c r="AC201" s="2"/>
    </row>
    <row r="202" spans="1:29" ht="39">
      <c r="A202" s="5">
        <v>197</v>
      </c>
      <c r="B202" s="14" t="s">
        <v>1382</v>
      </c>
      <c r="C202" s="15">
        <v>3122390043</v>
      </c>
      <c r="D202" s="92" t="s">
        <v>1347</v>
      </c>
      <c r="E202" s="8">
        <f>VLOOKUP(C202,'Trang tính3'!$B$10:$H$377,7,0)</f>
        <v>100</v>
      </c>
      <c r="F202" s="9" t="str">
        <f>VLOOKUP(C202,'Trang tính2'!$B$1:$D$175,3,0)</f>
        <v>3.50</v>
      </c>
      <c r="G202" s="9"/>
      <c r="H202" s="14" t="s">
        <v>1383</v>
      </c>
      <c r="I202" s="14" t="s">
        <v>1384</v>
      </c>
      <c r="J202" s="14" t="s">
        <v>1385</v>
      </c>
      <c r="K202" s="14" t="s">
        <v>1386</v>
      </c>
      <c r="L202" s="14" t="s">
        <v>1387</v>
      </c>
      <c r="M202" s="16"/>
      <c r="N202" s="16" t="s">
        <v>28</v>
      </c>
      <c r="O202" s="14"/>
      <c r="P202" s="14"/>
      <c r="Q202" s="61"/>
      <c r="R202" s="2"/>
      <c r="S202" s="2"/>
      <c r="T202" s="2"/>
      <c r="U202" s="2"/>
      <c r="V202" s="2"/>
      <c r="W202" s="2"/>
      <c r="X202" s="2"/>
      <c r="Y202" s="2"/>
      <c r="Z202" s="2"/>
      <c r="AA202" s="2"/>
      <c r="AB202" s="2"/>
      <c r="AC202" s="2"/>
    </row>
    <row r="203" spans="1:29" ht="39">
      <c r="A203" s="5">
        <v>198</v>
      </c>
      <c r="B203" s="14" t="s">
        <v>1388</v>
      </c>
      <c r="C203" s="15">
        <v>3123100002</v>
      </c>
      <c r="D203" s="92" t="s">
        <v>1347</v>
      </c>
      <c r="E203" s="8">
        <f>VLOOKUP(C203,'Trang tính3'!$B$10:$H$377,7,0)</f>
        <v>100</v>
      </c>
      <c r="F203" s="9" t="str">
        <f>VLOOKUP(C203,'Trang tính2'!$B$1:$D$175,3,0)</f>
        <v>3.80</v>
      </c>
      <c r="G203" s="9"/>
      <c r="H203" s="14" t="s">
        <v>1389</v>
      </c>
      <c r="I203" s="14" t="s">
        <v>1390</v>
      </c>
      <c r="J203" s="14" t="s">
        <v>1391</v>
      </c>
      <c r="K203" s="14" t="s">
        <v>1392</v>
      </c>
      <c r="L203" s="14" t="s">
        <v>1393</v>
      </c>
      <c r="M203" s="16"/>
      <c r="N203" s="16" t="s">
        <v>28</v>
      </c>
      <c r="O203" s="14"/>
      <c r="P203" s="14"/>
      <c r="Q203" s="61"/>
      <c r="R203" s="2"/>
      <c r="S203" s="2"/>
      <c r="T203" s="2"/>
      <c r="U203" s="2"/>
      <c r="V203" s="2"/>
      <c r="W203" s="2"/>
      <c r="X203" s="2"/>
      <c r="Y203" s="2"/>
      <c r="Z203" s="2"/>
      <c r="AA203" s="2"/>
      <c r="AB203" s="2"/>
      <c r="AC203" s="2"/>
    </row>
    <row r="204" spans="1:29" ht="39">
      <c r="A204" s="5">
        <v>199</v>
      </c>
      <c r="B204" s="14" t="s">
        <v>1394</v>
      </c>
      <c r="C204" s="15">
        <v>3123090048</v>
      </c>
      <c r="D204" s="92" t="s">
        <v>1347</v>
      </c>
      <c r="E204" s="8">
        <f>VLOOKUP(C204,'Trang tính3'!$B$10:$H$377,7,0)</f>
        <v>98.5</v>
      </c>
      <c r="F204" s="9" t="str">
        <f>VLOOKUP(C204,'Trang tính2'!$B$1:$D$175,3,0)</f>
        <v>3.68</v>
      </c>
      <c r="G204" s="9"/>
      <c r="H204" s="14"/>
      <c r="I204" s="14"/>
      <c r="J204" s="14"/>
      <c r="K204" s="14"/>
      <c r="L204" s="14" t="s">
        <v>346</v>
      </c>
      <c r="M204" s="16"/>
      <c r="N204" s="16" t="s">
        <v>72</v>
      </c>
      <c r="O204" s="14"/>
      <c r="P204" s="14"/>
      <c r="Q204" s="61"/>
      <c r="R204" s="2"/>
      <c r="S204" s="2"/>
      <c r="T204" s="2"/>
      <c r="U204" s="2"/>
      <c r="V204" s="2"/>
      <c r="W204" s="2"/>
      <c r="X204" s="2"/>
      <c r="Y204" s="2"/>
      <c r="Z204" s="2"/>
      <c r="AA204" s="2"/>
      <c r="AB204" s="2"/>
      <c r="AC204" s="2"/>
    </row>
    <row r="205" spans="1:29" ht="39">
      <c r="A205" s="5">
        <v>200</v>
      </c>
      <c r="B205" s="14" t="s">
        <v>1395</v>
      </c>
      <c r="C205" s="15">
        <v>3123090007</v>
      </c>
      <c r="D205" s="92" t="s">
        <v>1347</v>
      </c>
      <c r="E205" s="8">
        <f>VLOOKUP(C205,'Trang tính3'!$B$10:$H$377,7,0)</f>
        <v>100</v>
      </c>
      <c r="F205" s="9" t="str">
        <f>VLOOKUP(C205,'Trang tính2'!$B$1:$D$175,3,0)</f>
        <v>3.67</v>
      </c>
      <c r="G205" s="9"/>
      <c r="H205" s="14" t="s">
        <v>1396</v>
      </c>
      <c r="I205" s="14" t="s">
        <v>1397</v>
      </c>
      <c r="J205" s="14" t="s">
        <v>1398</v>
      </c>
      <c r="K205" s="14" t="s">
        <v>1399</v>
      </c>
      <c r="L205" s="14" t="s">
        <v>1400</v>
      </c>
      <c r="M205" s="16"/>
      <c r="N205" s="16" t="s">
        <v>28</v>
      </c>
      <c r="O205" s="14"/>
      <c r="P205" s="14"/>
      <c r="Q205" s="61"/>
      <c r="R205" s="2"/>
      <c r="S205" s="2"/>
      <c r="T205" s="2"/>
      <c r="U205" s="2"/>
      <c r="V205" s="2"/>
      <c r="W205" s="2"/>
      <c r="X205" s="2"/>
      <c r="Y205" s="2"/>
      <c r="Z205" s="2"/>
      <c r="AA205" s="2"/>
      <c r="AB205" s="2"/>
      <c r="AC205" s="2"/>
    </row>
    <row r="206" spans="1:29" ht="39">
      <c r="A206" s="5">
        <v>201</v>
      </c>
      <c r="B206" s="14" t="s">
        <v>1401</v>
      </c>
      <c r="C206" s="15">
        <v>3121220037</v>
      </c>
      <c r="D206" s="92" t="s">
        <v>1347</v>
      </c>
      <c r="E206" s="8">
        <f>VLOOKUP(C206,'Trang tính3'!$B$10:$H$377,7,0)</f>
        <v>100</v>
      </c>
      <c r="F206" s="9" t="str">
        <f>VLOOKUP(C206,'Trang tính2'!$B$1:$D$175,3,0)</f>
        <v>3.78</v>
      </c>
      <c r="G206" s="9"/>
      <c r="H206" s="14" t="s">
        <v>1402</v>
      </c>
      <c r="I206" s="14" t="s">
        <v>1403</v>
      </c>
      <c r="J206" s="14" t="s">
        <v>1404</v>
      </c>
      <c r="K206" s="14" t="s">
        <v>1405</v>
      </c>
      <c r="L206" s="14" t="s">
        <v>1406</v>
      </c>
      <c r="M206" s="16"/>
      <c r="N206" s="16" t="s">
        <v>28</v>
      </c>
      <c r="O206" s="14"/>
      <c r="P206" s="14"/>
      <c r="Q206" s="61"/>
      <c r="R206" s="2"/>
      <c r="S206" s="2"/>
      <c r="T206" s="2"/>
      <c r="U206" s="2"/>
      <c r="V206" s="2"/>
      <c r="W206" s="2"/>
      <c r="X206" s="2"/>
      <c r="Y206" s="2"/>
      <c r="Z206" s="2"/>
      <c r="AA206" s="2"/>
      <c r="AB206" s="2"/>
      <c r="AC206" s="2"/>
    </row>
    <row r="207" spans="1:29" ht="39">
      <c r="A207" s="5">
        <v>202</v>
      </c>
      <c r="B207" s="14" t="s">
        <v>1407</v>
      </c>
      <c r="C207" s="15">
        <v>3122100001</v>
      </c>
      <c r="D207" s="92" t="s">
        <v>1347</v>
      </c>
      <c r="E207" s="8">
        <f>VLOOKUP(C207,'Trang tính3'!$B$10:$H$377,7,0)</f>
        <v>100</v>
      </c>
      <c r="F207" s="9" t="str">
        <f>VLOOKUP(C207,'Trang tính2'!$B$1:$D$175,3,0)</f>
        <v>3.34</v>
      </c>
      <c r="G207" s="9"/>
      <c r="H207" s="14" t="s">
        <v>1408</v>
      </c>
      <c r="I207" s="14" t="s">
        <v>1409</v>
      </c>
      <c r="J207" s="14" t="s">
        <v>1410</v>
      </c>
      <c r="K207" s="14" t="s">
        <v>1411</v>
      </c>
      <c r="L207" s="14" t="s">
        <v>1412</v>
      </c>
      <c r="M207" s="16"/>
      <c r="N207" s="16" t="s">
        <v>28</v>
      </c>
      <c r="O207" s="14"/>
      <c r="P207" s="14"/>
      <c r="Q207" s="61"/>
      <c r="R207" s="2"/>
      <c r="S207" s="2"/>
      <c r="T207" s="2"/>
      <c r="U207" s="2"/>
      <c r="V207" s="2"/>
      <c r="W207" s="2"/>
      <c r="X207" s="2"/>
      <c r="Y207" s="2"/>
      <c r="Z207" s="2"/>
      <c r="AA207" s="2"/>
      <c r="AB207" s="2"/>
      <c r="AC207" s="2"/>
    </row>
    <row r="208" spans="1:29" ht="39">
      <c r="A208" s="5">
        <v>203</v>
      </c>
      <c r="B208" s="14" t="s">
        <v>1413</v>
      </c>
      <c r="C208" s="15">
        <v>3122090015</v>
      </c>
      <c r="D208" s="92" t="s">
        <v>1347</v>
      </c>
      <c r="E208" s="8">
        <f>VLOOKUP(C208,'Trang tính3'!$B$10:$H$377,7,0)</f>
        <v>100</v>
      </c>
      <c r="F208" s="9" t="str">
        <f>VLOOKUP(C208,'Trang tính2'!$B$1:$D$175,3,0)</f>
        <v>3.26</v>
      </c>
      <c r="G208" s="9"/>
      <c r="H208" s="14"/>
      <c r="I208" s="14"/>
      <c r="J208" s="14" t="s">
        <v>1414</v>
      </c>
      <c r="K208" s="14"/>
      <c r="L208" s="14"/>
      <c r="M208" s="16"/>
      <c r="N208" s="16" t="s">
        <v>72</v>
      </c>
      <c r="O208" s="14"/>
      <c r="P208" s="14"/>
      <c r="Q208" s="61"/>
      <c r="R208" s="2"/>
      <c r="S208" s="2"/>
      <c r="T208" s="2"/>
      <c r="U208" s="2"/>
      <c r="V208" s="2"/>
      <c r="W208" s="2"/>
      <c r="X208" s="2"/>
      <c r="Y208" s="2"/>
      <c r="Z208" s="2"/>
      <c r="AA208" s="2"/>
      <c r="AB208" s="2"/>
      <c r="AC208" s="2"/>
    </row>
    <row r="209" spans="1:29" ht="39">
      <c r="A209" s="5">
        <v>204</v>
      </c>
      <c r="B209" s="14" t="s">
        <v>1415</v>
      </c>
      <c r="C209" s="15">
        <v>3122090022</v>
      </c>
      <c r="D209" s="92" t="s">
        <v>1347</v>
      </c>
      <c r="E209" s="8">
        <f>VLOOKUP(C209,'Trang tính3'!$B$10:$H$377,7,0)</f>
        <v>100</v>
      </c>
      <c r="F209" s="9" t="str">
        <f>VLOOKUP(C209,'Trang tính2'!$B$1:$D$175,3,0)</f>
        <v>3.45</v>
      </c>
      <c r="G209" s="9"/>
      <c r="H209" s="14" t="s">
        <v>1416</v>
      </c>
      <c r="I209" s="14" t="s">
        <v>1417</v>
      </c>
      <c r="J209" s="14" t="s">
        <v>1418</v>
      </c>
      <c r="K209" s="14" t="s">
        <v>1419</v>
      </c>
      <c r="L209" s="14" t="s">
        <v>1420</v>
      </c>
      <c r="M209" s="16"/>
      <c r="N209" s="16" t="s">
        <v>28</v>
      </c>
      <c r="O209" s="14"/>
      <c r="P209" s="14"/>
      <c r="Q209" s="61"/>
      <c r="R209" s="2"/>
      <c r="S209" s="2"/>
      <c r="T209" s="2"/>
      <c r="U209" s="2"/>
      <c r="V209" s="2"/>
      <c r="W209" s="2"/>
      <c r="X209" s="2"/>
      <c r="Y209" s="2"/>
      <c r="Z209" s="2"/>
      <c r="AA209" s="2"/>
      <c r="AB209" s="2"/>
      <c r="AC209" s="2"/>
    </row>
    <row r="210" spans="1:29" ht="39">
      <c r="A210" s="5">
        <v>205</v>
      </c>
      <c r="B210" s="14" t="s">
        <v>1421</v>
      </c>
      <c r="C210" s="15">
        <v>3123100004</v>
      </c>
      <c r="D210" s="92" t="s">
        <v>1347</v>
      </c>
      <c r="E210" s="8" t="s">
        <v>195</v>
      </c>
      <c r="F210" s="9" t="str">
        <f>VLOOKUP(C210,'Trang tính2'!$B$1:$D$175,3,0)</f>
        <v>3.92</v>
      </c>
      <c r="G210" s="9"/>
      <c r="H210" s="14" t="s">
        <v>1422</v>
      </c>
      <c r="I210" s="14" t="s">
        <v>1423</v>
      </c>
      <c r="J210" s="14" t="s">
        <v>1424</v>
      </c>
      <c r="K210" s="14" t="s">
        <v>1425</v>
      </c>
      <c r="L210" s="14" t="s">
        <v>1426</v>
      </c>
      <c r="M210" s="16"/>
      <c r="N210" s="16" t="s">
        <v>28</v>
      </c>
      <c r="O210" s="14"/>
      <c r="P210" s="14"/>
      <c r="Q210" s="61"/>
      <c r="R210" s="2"/>
      <c r="S210" s="2"/>
      <c r="T210" s="2"/>
      <c r="U210" s="2"/>
      <c r="V210" s="2"/>
      <c r="W210" s="2"/>
      <c r="X210" s="2"/>
      <c r="Y210" s="2"/>
      <c r="Z210" s="2"/>
      <c r="AA210" s="2"/>
      <c r="AB210" s="2"/>
      <c r="AC210" s="2"/>
    </row>
    <row r="211" spans="1:29" ht="39">
      <c r="A211" s="5">
        <v>206</v>
      </c>
      <c r="B211" s="14" t="s">
        <v>1427</v>
      </c>
      <c r="C211" s="15">
        <v>3121100035</v>
      </c>
      <c r="D211" s="92" t="s">
        <v>1347</v>
      </c>
      <c r="E211" s="8" t="s">
        <v>720</v>
      </c>
      <c r="F211" s="9" t="s">
        <v>424</v>
      </c>
      <c r="G211" s="9"/>
      <c r="H211" s="14" t="s">
        <v>1428</v>
      </c>
      <c r="I211" s="14" t="s">
        <v>1429</v>
      </c>
      <c r="J211" s="14" t="s">
        <v>1326</v>
      </c>
      <c r="K211" s="14" t="s">
        <v>1430</v>
      </c>
      <c r="L211" s="14" t="s">
        <v>1431</v>
      </c>
      <c r="M211" s="16" t="s">
        <v>60</v>
      </c>
      <c r="N211" s="16" t="s">
        <v>28</v>
      </c>
      <c r="O211" s="14"/>
      <c r="P211" s="14"/>
      <c r="Q211" s="61"/>
      <c r="R211" s="2"/>
      <c r="S211" s="2"/>
      <c r="T211" s="2"/>
      <c r="U211" s="2"/>
      <c r="V211" s="2"/>
      <c r="W211" s="2"/>
      <c r="X211" s="2"/>
      <c r="Y211" s="2"/>
      <c r="Z211" s="2"/>
      <c r="AA211" s="2"/>
      <c r="AB211" s="2"/>
      <c r="AC211" s="2"/>
    </row>
    <row r="212" spans="1:29" ht="39">
      <c r="A212" s="5">
        <v>207</v>
      </c>
      <c r="B212" s="14" t="s">
        <v>1432</v>
      </c>
      <c r="C212" s="15">
        <v>3123090025</v>
      </c>
      <c r="D212" s="92" t="s">
        <v>1347</v>
      </c>
      <c r="E212" s="8" t="s">
        <v>175</v>
      </c>
      <c r="F212" s="9" t="s">
        <v>1433</v>
      </c>
      <c r="G212" s="9"/>
      <c r="H212" s="14" t="s">
        <v>1434</v>
      </c>
      <c r="I212" s="14" t="s">
        <v>1435</v>
      </c>
      <c r="J212" s="14" t="s">
        <v>1326</v>
      </c>
      <c r="K212" s="14" t="s">
        <v>1436</v>
      </c>
      <c r="L212" s="14" t="s">
        <v>1437</v>
      </c>
      <c r="M212" s="16" t="s">
        <v>60</v>
      </c>
      <c r="N212" s="16" t="s">
        <v>28</v>
      </c>
      <c r="O212" s="14"/>
      <c r="P212" s="14"/>
      <c r="Q212" s="61"/>
      <c r="R212" s="2"/>
      <c r="S212" s="2"/>
      <c r="T212" s="2"/>
      <c r="U212" s="2"/>
      <c r="V212" s="2"/>
      <c r="W212" s="2"/>
      <c r="X212" s="2"/>
      <c r="Y212" s="2"/>
      <c r="Z212" s="2"/>
      <c r="AA212" s="2"/>
      <c r="AB212" s="2"/>
      <c r="AC212" s="2"/>
    </row>
    <row r="213" spans="1:29" ht="39">
      <c r="A213" s="5">
        <v>208</v>
      </c>
      <c r="B213" s="14" t="s">
        <v>1438</v>
      </c>
      <c r="C213" s="15">
        <v>3121170017</v>
      </c>
      <c r="D213" s="92" t="s">
        <v>1347</v>
      </c>
      <c r="E213" s="8" t="s">
        <v>755</v>
      </c>
      <c r="F213" s="9" t="s">
        <v>756</v>
      </c>
      <c r="G213" s="9"/>
      <c r="H213" s="14" t="s">
        <v>1439</v>
      </c>
      <c r="I213" s="14" t="s">
        <v>1440</v>
      </c>
      <c r="J213" s="14" t="s">
        <v>1441</v>
      </c>
      <c r="K213" s="14" t="s">
        <v>1442</v>
      </c>
      <c r="L213" s="14" t="s">
        <v>1443</v>
      </c>
      <c r="M213" s="16" t="s">
        <v>60</v>
      </c>
      <c r="N213" s="16" t="s">
        <v>28</v>
      </c>
      <c r="O213" s="14"/>
      <c r="P213" s="14"/>
      <c r="Q213" s="61"/>
      <c r="R213" s="2"/>
      <c r="S213" s="2"/>
      <c r="T213" s="2"/>
      <c r="U213" s="2"/>
      <c r="V213" s="2"/>
      <c r="W213" s="2"/>
      <c r="X213" s="2"/>
      <c r="Y213" s="2"/>
      <c r="Z213" s="2"/>
      <c r="AA213" s="2"/>
      <c r="AB213" s="2"/>
      <c r="AC213" s="2"/>
    </row>
    <row r="214" spans="1:29" ht="39">
      <c r="A214" s="5">
        <v>209</v>
      </c>
      <c r="B214" s="14" t="s">
        <v>1444</v>
      </c>
      <c r="C214" s="15">
        <v>3121100030</v>
      </c>
      <c r="D214" s="92" t="s">
        <v>1347</v>
      </c>
      <c r="E214" s="8" t="s">
        <v>195</v>
      </c>
      <c r="F214" s="9" t="s">
        <v>1445</v>
      </c>
      <c r="G214" s="9"/>
      <c r="H214" s="14" t="s">
        <v>1446</v>
      </c>
      <c r="I214" s="14" t="s">
        <v>1447</v>
      </c>
      <c r="J214" s="14" t="s">
        <v>1448</v>
      </c>
      <c r="K214" s="14" t="s">
        <v>1449</v>
      </c>
      <c r="L214" s="14" t="s">
        <v>1450</v>
      </c>
      <c r="M214" s="16" t="s">
        <v>60</v>
      </c>
      <c r="N214" s="16" t="s">
        <v>28</v>
      </c>
      <c r="O214" s="14"/>
      <c r="P214" s="14"/>
      <c r="Q214" s="61"/>
      <c r="R214" s="2"/>
      <c r="S214" s="2"/>
      <c r="T214" s="2"/>
      <c r="U214" s="2"/>
      <c r="V214" s="2"/>
      <c r="W214" s="2"/>
      <c r="X214" s="2"/>
      <c r="Y214" s="2"/>
      <c r="Z214" s="2"/>
      <c r="AA214" s="2"/>
      <c r="AB214" s="2"/>
      <c r="AC214" s="2"/>
    </row>
    <row r="215" spans="1:29" ht="39">
      <c r="A215" s="5">
        <v>210</v>
      </c>
      <c r="B215" s="14" t="s">
        <v>1451</v>
      </c>
      <c r="C215" s="15">
        <v>3121090022</v>
      </c>
      <c r="D215" s="92" t="s">
        <v>1347</v>
      </c>
      <c r="E215" s="8" t="s">
        <v>195</v>
      </c>
      <c r="F215" s="9" t="s">
        <v>1261</v>
      </c>
      <c r="G215" s="9"/>
      <c r="H215" s="14" t="s">
        <v>1452</v>
      </c>
      <c r="I215" s="14" t="s">
        <v>1453</v>
      </c>
      <c r="J215" s="14" t="s">
        <v>1326</v>
      </c>
      <c r="K215" s="14" t="s">
        <v>1454</v>
      </c>
      <c r="L215" s="14" t="s">
        <v>1455</v>
      </c>
      <c r="M215" s="16" t="s">
        <v>60</v>
      </c>
      <c r="N215" s="16" t="s">
        <v>28</v>
      </c>
      <c r="O215" s="14"/>
      <c r="P215" s="14"/>
      <c r="Q215" s="61"/>
      <c r="R215" s="2"/>
      <c r="S215" s="2"/>
      <c r="T215" s="2"/>
      <c r="U215" s="2"/>
      <c r="V215" s="2"/>
      <c r="W215" s="2"/>
      <c r="X215" s="2"/>
      <c r="Y215" s="2"/>
      <c r="Z215" s="2"/>
      <c r="AA215" s="2"/>
      <c r="AB215" s="2"/>
      <c r="AC215" s="2"/>
    </row>
    <row r="216" spans="1:29" ht="39">
      <c r="A216" s="5">
        <v>211</v>
      </c>
      <c r="B216" s="14" t="s">
        <v>1456</v>
      </c>
      <c r="C216" s="15">
        <v>3123090039</v>
      </c>
      <c r="D216" s="92" t="s">
        <v>1347</v>
      </c>
      <c r="E216" s="8" t="s">
        <v>1301</v>
      </c>
      <c r="F216" s="9" t="s">
        <v>1457</v>
      </c>
      <c r="G216" s="9"/>
      <c r="H216" s="14" t="s">
        <v>1458</v>
      </c>
      <c r="I216" s="14" t="s">
        <v>1459</v>
      </c>
      <c r="J216" s="14" t="s">
        <v>1326</v>
      </c>
      <c r="K216" s="14" t="s">
        <v>1460</v>
      </c>
      <c r="L216" s="14" t="s">
        <v>1461</v>
      </c>
      <c r="M216" s="16" t="s">
        <v>60</v>
      </c>
      <c r="N216" s="16" t="s">
        <v>28</v>
      </c>
      <c r="O216" s="14"/>
      <c r="P216" s="14"/>
      <c r="Q216" s="62"/>
      <c r="R216" s="2"/>
      <c r="S216" s="2"/>
      <c r="T216" s="2"/>
      <c r="U216" s="2"/>
      <c r="V216" s="2"/>
      <c r="W216" s="2"/>
      <c r="X216" s="2"/>
      <c r="Y216" s="2"/>
      <c r="Z216" s="2"/>
      <c r="AA216" s="2"/>
      <c r="AB216" s="2"/>
      <c r="AC216" s="2"/>
    </row>
    <row r="217" spans="1:29" ht="13">
      <c r="A217" s="5">
        <v>212</v>
      </c>
      <c r="B217" s="6" t="s">
        <v>1462</v>
      </c>
      <c r="C217" s="5">
        <v>3124530108</v>
      </c>
      <c r="D217" s="93" t="s">
        <v>1463</v>
      </c>
      <c r="E217" s="8" t="s">
        <v>755</v>
      </c>
      <c r="F217" s="9" t="s">
        <v>1464</v>
      </c>
      <c r="G217" s="8"/>
      <c r="H217" s="6" t="s">
        <v>1465</v>
      </c>
      <c r="I217" s="6" t="s">
        <v>1466</v>
      </c>
      <c r="J217" s="6" t="s">
        <v>1467</v>
      </c>
      <c r="K217" s="6" t="s">
        <v>1468</v>
      </c>
      <c r="L217" s="6" t="s">
        <v>1469</v>
      </c>
      <c r="M217" s="10"/>
      <c r="N217" s="10" t="s">
        <v>28</v>
      </c>
      <c r="O217" s="6"/>
      <c r="P217" s="6"/>
      <c r="Q217" s="60" t="s">
        <v>1470</v>
      </c>
      <c r="R217" s="2"/>
      <c r="S217" s="2"/>
      <c r="T217" s="2"/>
      <c r="U217" s="2"/>
      <c r="V217" s="2"/>
      <c r="W217" s="2"/>
      <c r="X217" s="2"/>
      <c r="Y217" s="2"/>
      <c r="Z217" s="2"/>
      <c r="AA217" s="2"/>
      <c r="AB217" s="2"/>
      <c r="AC217" s="2"/>
    </row>
    <row r="218" spans="1:29" ht="13">
      <c r="A218" s="5">
        <v>213</v>
      </c>
      <c r="B218" s="6" t="s">
        <v>1471</v>
      </c>
      <c r="C218" s="5">
        <v>3122530098</v>
      </c>
      <c r="D218" s="93" t="s">
        <v>1463</v>
      </c>
      <c r="E218" s="8" t="s">
        <v>195</v>
      </c>
      <c r="F218" s="9" t="s">
        <v>1472</v>
      </c>
      <c r="G218" s="8"/>
      <c r="H218" s="6"/>
      <c r="I218" s="6"/>
      <c r="J218" s="6" t="s">
        <v>1473</v>
      </c>
      <c r="K218" s="6"/>
      <c r="L218" s="6"/>
      <c r="M218" s="10"/>
      <c r="N218" s="10" t="s">
        <v>72</v>
      </c>
      <c r="O218" s="6"/>
      <c r="P218" s="6"/>
      <c r="Q218" s="61"/>
      <c r="R218" s="2"/>
      <c r="S218" s="2"/>
      <c r="T218" s="2"/>
      <c r="U218" s="2"/>
      <c r="V218" s="2"/>
      <c r="W218" s="2"/>
      <c r="X218" s="2"/>
      <c r="Y218" s="2"/>
      <c r="Z218" s="2"/>
      <c r="AA218" s="2"/>
      <c r="AB218" s="2"/>
      <c r="AC218" s="2"/>
    </row>
    <row r="219" spans="1:29" ht="13">
      <c r="A219" s="5">
        <v>214</v>
      </c>
      <c r="B219" s="6" t="s">
        <v>1474</v>
      </c>
      <c r="C219" s="5">
        <v>3124460039</v>
      </c>
      <c r="D219" s="93" t="s">
        <v>1463</v>
      </c>
      <c r="E219" s="8" t="s">
        <v>745</v>
      </c>
      <c r="F219" s="9" t="s">
        <v>1475</v>
      </c>
      <c r="G219" s="8"/>
      <c r="H219" s="6" t="s">
        <v>1476</v>
      </c>
      <c r="I219" s="6" t="s">
        <v>1477</v>
      </c>
      <c r="J219" s="6" t="s">
        <v>1478</v>
      </c>
      <c r="K219" s="6" t="s">
        <v>1479</v>
      </c>
      <c r="L219" s="6" t="s">
        <v>1480</v>
      </c>
      <c r="M219" s="10"/>
      <c r="N219" s="10" t="s">
        <v>28</v>
      </c>
      <c r="O219" s="6"/>
      <c r="P219" s="6"/>
      <c r="Q219" s="61"/>
      <c r="R219" s="2"/>
      <c r="S219" s="2"/>
      <c r="T219" s="2"/>
      <c r="U219" s="2"/>
      <c r="V219" s="2"/>
      <c r="W219" s="2"/>
      <c r="X219" s="2"/>
      <c r="Y219" s="2"/>
      <c r="Z219" s="2"/>
      <c r="AA219" s="2"/>
      <c r="AB219" s="2"/>
      <c r="AC219" s="2"/>
    </row>
    <row r="220" spans="1:29" ht="13">
      <c r="A220" s="5">
        <v>215</v>
      </c>
      <c r="B220" s="6" t="s">
        <v>1481</v>
      </c>
      <c r="C220" s="5">
        <v>3123530099</v>
      </c>
      <c r="D220" s="93" t="s">
        <v>1463</v>
      </c>
      <c r="E220" s="8" t="s">
        <v>195</v>
      </c>
      <c r="F220" s="9" t="s">
        <v>1482</v>
      </c>
      <c r="G220" s="8"/>
      <c r="H220" s="6"/>
      <c r="I220" s="6"/>
      <c r="J220" s="6"/>
      <c r="K220" s="6"/>
      <c r="L220" s="6" t="s">
        <v>1483</v>
      </c>
      <c r="M220" s="10"/>
      <c r="N220" s="10" t="s">
        <v>72</v>
      </c>
      <c r="O220" s="6"/>
      <c r="P220" s="6"/>
      <c r="Q220" s="62"/>
      <c r="R220" s="2"/>
      <c r="S220" s="2"/>
      <c r="T220" s="2"/>
      <c r="U220" s="2"/>
      <c r="V220" s="2"/>
      <c r="W220" s="2"/>
      <c r="X220" s="2"/>
      <c r="Y220" s="2"/>
      <c r="Z220" s="2"/>
      <c r="AA220" s="2"/>
      <c r="AB220" s="2"/>
      <c r="AC220" s="2"/>
    </row>
    <row r="221" spans="1:29" ht="13">
      <c r="A221" s="5">
        <v>216</v>
      </c>
      <c r="B221" s="14" t="s">
        <v>1484</v>
      </c>
      <c r="C221" s="15">
        <v>3123330380</v>
      </c>
      <c r="D221" s="91" t="s">
        <v>1485</v>
      </c>
      <c r="E221" s="8">
        <f>VLOOKUP(C221,'Trang tính3'!$B$10:$H$377,7,0)</f>
        <v>99.5</v>
      </c>
      <c r="F221" s="9" t="str">
        <f>VLOOKUP(C221,'Trang tính2'!$B$1:$D$175,3,0)</f>
        <v>3.29</v>
      </c>
      <c r="G221" s="9"/>
      <c r="H221" s="14" t="s">
        <v>1486</v>
      </c>
      <c r="I221" s="14" t="s">
        <v>1487</v>
      </c>
      <c r="J221" s="14" t="s">
        <v>1488</v>
      </c>
      <c r="K221" s="14" t="s">
        <v>1489</v>
      </c>
      <c r="L221" s="14" t="s">
        <v>1490</v>
      </c>
      <c r="M221" s="16"/>
      <c r="N221" s="16" t="s">
        <v>28</v>
      </c>
      <c r="O221" s="14"/>
      <c r="P221" s="17" t="s">
        <v>1491</v>
      </c>
      <c r="Q221" s="63" t="s">
        <v>1492</v>
      </c>
      <c r="R221" s="2"/>
      <c r="S221" s="2"/>
      <c r="T221" s="2"/>
      <c r="U221" s="2"/>
      <c r="V221" s="2"/>
      <c r="W221" s="2"/>
      <c r="X221" s="2"/>
      <c r="Y221" s="2"/>
      <c r="Z221" s="2"/>
      <c r="AA221" s="2"/>
      <c r="AB221" s="2"/>
      <c r="AC221" s="2"/>
    </row>
    <row r="222" spans="1:29" ht="13">
      <c r="A222" s="5">
        <v>217</v>
      </c>
      <c r="B222" s="14" t="s">
        <v>1493</v>
      </c>
      <c r="C222" s="15">
        <v>3124550080</v>
      </c>
      <c r="D222" s="91" t="s">
        <v>1485</v>
      </c>
      <c r="E222" s="8">
        <f>VLOOKUP(C222,'Trang tính3'!$B$10:$H$377,7,0)</f>
        <v>85.7</v>
      </c>
      <c r="F222" s="9" t="str">
        <f>VLOOKUP(C222,'Trang tính2'!$B$1:$D$175,3,0)</f>
        <v>3.56</v>
      </c>
      <c r="G222" s="9"/>
      <c r="H222" s="14" t="s">
        <v>1494</v>
      </c>
      <c r="I222" s="14"/>
      <c r="J222" s="14"/>
      <c r="K222" s="14"/>
      <c r="L222" s="14"/>
      <c r="M222" s="16"/>
      <c r="N222" s="16" t="s">
        <v>72</v>
      </c>
      <c r="O222" s="17" t="s">
        <v>1495</v>
      </c>
      <c r="P222" s="17" t="s">
        <v>1496</v>
      </c>
      <c r="Q222" s="61"/>
      <c r="R222" s="2"/>
      <c r="S222" s="2"/>
      <c r="T222" s="2"/>
      <c r="U222" s="2"/>
      <c r="V222" s="2"/>
      <c r="W222" s="2"/>
      <c r="X222" s="2"/>
      <c r="Y222" s="2"/>
      <c r="Z222" s="2"/>
      <c r="AA222" s="2"/>
      <c r="AB222" s="2"/>
      <c r="AC222" s="2"/>
    </row>
    <row r="223" spans="1:29" ht="13">
      <c r="A223" s="5">
        <v>218</v>
      </c>
      <c r="B223" s="14" t="s">
        <v>1497</v>
      </c>
      <c r="C223" s="15">
        <v>3123550193</v>
      </c>
      <c r="D223" s="91" t="s">
        <v>1485</v>
      </c>
      <c r="E223" s="8">
        <f>VLOOKUP(C223,'Trang tính3'!$B$10:$H$377,7,0)</f>
        <v>100</v>
      </c>
      <c r="F223" s="9" t="str">
        <f>VLOOKUP(C223,'Trang tính2'!$B$1:$D$175,3,0)</f>
        <v>3.41</v>
      </c>
      <c r="G223" s="9"/>
      <c r="H223" s="14" t="s">
        <v>1498</v>
      </c>
      <c r="I223" s="14" t="s">
        <v>1499</v>
      </c>
      <c r="J223" s="14" t="s">
        <v>1500</v>
      </c>
      <c r="K223" s="14" t="s">
        <v>1501</v>
      </c>
      <c r="L223" s="14" t="s">
        <v>1502</v>
      </c>
      <c r="M223" s="16"/>
      <c r="N223" s="16" t="s">
        <v>28</v>
      </c>
      <c r="O223" s="14"/>
      <c r="P223" s="17" t="s">
        <v>1503</v>
      </c>
      <c r="Q223" s="61"/>
      <c r="R223" s="2"/>
      <c r="S223" s="2"/>
      <c r="T223" s="2"/>
      <c r="U223" s="2"/>
      <c r="V223" s="2"/>
      <c r="W223" s="2"/>
      <c r="X223" s="2"/>
      <c r="Y223" s="2"/>
      <c r="Z223" s="2"/>
      <c r="AA223" s="2"/>
      <c r="AB223" s="2"/>
      <c r="AC223" s="2"/>
    </row>
    <row r="224" spans="1:29" ht="13">
      <c r="A224" s="5">
        <v>219</v>
      </c>
      <c r="B224" s="14" t="s">
        <v>1504</v>
      </c>
      <c r="C224" s="15">
        <v>3123550192</v>
      </c>
      <c r="D224" s="91" t="s">
        <v>1485</v>
      </c>
      <c r="E224" s="8">
        <f>VLOOKUP(C224,'Trang tính3'!$B$10:$H$377,7,0)</f>
        <v>97.5</v>
      </c>
      <c r="F224" s="9" t="str">
        <f>VLOOKUP(C224,'Trang tính2'!$B$1:$D$175,3,0)</f>
        <v>3.69</v>
      </c>
      <c r="G224" s="9"/>
      <c r="H224" s="14" t="s">
        <v>1505</v>
      </c>
      <c r="I224" s="14" t="s">
        <v>1506</v>
      </c>
      <c r="J224" s="14" t="s">
        <v>1507</v>
      </c>
      <c r="K224" s="14" t="s">
        <v>1508</v>
      </c>
      <c r="L224" s="14" t="s">
        <v>1509</v>
      </c>
      <c r="M224" s="16"/>
      <c r="N224" s="16" t="s">
        <v>28</v>
      </c>
      <c r="O224" s="17" t="s">
        <v>1510</v>
      </c>
      <c r="P224" s="17" t="s">
        <v>1511</v>
      </c>
      <c r="Q224" s="61"/>
      <c r="R224" s="2"/>
      <c r="S224" s="2"/>
      <c r="T224" s="2"/>
      <c r="U224" s="2"/>
      <c r="V224" s="2"/>
      <c r="W224" s="2"/>
      <c r="X224" s="2"/>
      <c r="Y224" s="2"/>
      <c r="Z224" s="2"/>
      <c r="AA224" s="2"/>
      <c r="AB224" s="2"/>
      <c r="AC224" s="2"/>
    </row>
    <row r="225" spans="1:29" ht="13">
      <c r="A225" s="5">
        <v>220</v>
      </c>
      <c r="B225" s="14" t="s">
        <v>1512</v>
      </c>
      <c r="C225" s="15">
        <v>3122330422</v>
      </c>
      <c r="D225" s="91" t="s">
        <v>1485</v>
      </c>
      <c r="E225" s="8">
        <f>VLOOKUP(C225,'Trang tính3'!$B$10:$H$377,7,0)</f>
        <v>96.5</v>
      </c>
      <c r="F225" s="9" t="str">
        <f>VLOOKUP(C225,'Trang tính2'!$B$1:$D$175,3,0)</f>
        <v>3.68</v>
      </c>
      <c r="G225" s="9"/>
      <c r="H225" s="14"/>
      <c r="I225" s="14"/>
      <c r="J225" s="14"/>
      <c r="K225" s="14" t="s">
        <v>346</v>
      </c>
      <c r="L225" s="14"/>
      <c r="M225" s="16"/>
      <c r="N225" s="16" t="s">
        <v>72</v>
      </c>
      <c r="O225" s="14"/>
      <c r="P225" s="17" t="s">
        <v>1513</v>
      </c>
      <c r="Q225" s="61"/>
      <c r="R225" s="2"/>
      <c r="S225" s="2"/>
      <c r="T225" s="2"/>
      <c r="U225" s="2"/>
      <c r="V225" s="2"/>
      <c r="W225" s="2"/>
      <c r="X225" s="2"/>
      <c r="Y225" s="2"/>
      <c r="Z225" s="2"/>
      <c r="AA225" s="2"/>
      <c r="AB225" s="2"/>
      <c r="AC225" s="2"/>
    </row>
    <row r="226" spans="1:29" ht="13">
      <c r="A226" s="5">
        <v>221</v>
      </c>
      <c r="B226" s="14" t="s">
        <v>1514</v>
      </c>
      <c r="C226" s="15">
        <v>3122330360</v>
      </c>
      <c r="D226" s="91" t="s">
        <v>1485</v>
      </c>
      <c r="E226" s="8">
        <f>VLOOKUP(C226,'Trang tính3'!$B$10:$H$377,7,0)</f>
        <v>100</v>
      </c>
      <c r="F226" s="9" t="str">
        <f>VLOOKUP(C226,'Trang tính2'!$B$1:$D$175,3,0)</f>
        <v>3.24</v>
      </c>
      <c r="G226" s="9"/>
      <c r="H226" s="14" t="s">
        <v>1515</v>
      </c>
      <c r="I226" s="14" t="s">
        <v>1516</v>
      </c>
      <c r="J226" s="14" t="s">
        <v>1517</v>
      </c>
      <c r="K226" s="14" t="s">
        <v>1518</v>
      </c>
      <c r="L226" s="14" t="s">
        <v>1519</v>
      </c>
      <c r="M226" s="16"/>
      <c r="N226" s="16" t="s">
        <v>28</v>
      </c>
      <c r="O226" s="17" t="s">
        <v>1520</v>
      </c>
      <c r="P226" s="17" t="s">
        <v>1521</v>
      </c>
      <c r="Q226" s="61"/>
      <c r="R226" s="2"/>
      <c r="S226" s="2"/>
      <c r="T226" s="2"/>
      <c r="U226" s="2"/>
      <c r="V226" s="2"/>
      <c r="W226" s="2"/>
      <c r="X226" s="2"/>
      <c r="Y226" s="2"/>
      <c r="Z226" s="2"/>
      <c r="AA226" s="2"/>
      <c r="AB226" s="2"/>
      <c r="AC226" s="2"/>
    </row>
    <row r="227" spans="1:29" ht="13">
      <c r="A227" s="5">
        <v>222</v>
      </c>
      <c r="B227" s="14" t="s">
        <v>1522</v>
      </c>
      <c r="C227" s="15">
        <v>3124550143</v>
      </c>
      <c r="D227" s="91" t="s">
        <v>1485</v>
      </c>
      <c r="E227" s="8">
        <f>VLOOKUP(C227,'Trang tính3'!$B$10:$H$377,7,0)</f>
        <v>88.3</v>
      </c>
      <c r="F227" s="9" t="str">
        <f>VLOOKUP(C227,'Trang tính2'!$B$1:$D$175,3,0)</f>
        <v>3.68</v>
      </c>
      <c r="G227" s="9"/>
      <c r="H227" s="14"/>
      <c r="I227" s="14"/>
      <c r="J227" s="14"/>
      <c r="K227" s="14"/>
      <c r="L227" s="14" t="s">
        <v>1046</v>
      </c>
      <c r="M227" s="16"/>
      <c r="N227" s="16" t="s">
        <v>72</v>
      </c>
      <c r="O227" s="17" t="s">
        <v>1523</v>
      </c>
      <c r="P227" s="17" t="s">
        <v>1524</v>
      </c>
      <c r="Q227" s="61"/>
      <c r="R227" s="2"/>
      <c r="S227" s="2"/>
      <c r="T227" s="2"/>
      <c r="U227" s="2"/>
      <c r="V227" s="2"/>
      <c r="W227" s="2"/>
      <c r="X227" s="2"/>
      <c r="Y227" s="2"/>
      <c r="Z227" s="2"/>
      <c r="AA227" s="2"/>
      <c r="AB227" s="2"/>
      <c r="AC227" s="2"/>
    </row>
    <row r="228" spans="1:29" ht="13">
      <c r="A228" s="5">
        <v>223</v>
      </c>
      <c r="B228" s="14" t="s">
        <v>1525</v>
      </c>
      <c r="C228" s="15">
        <v>3122330281</v>
      </c>
      <c r="D228" s="91" t="s">
        <v>1485</v>
      </c>
      <c r="E228" s="8">
        <f>VLOOKUP(C228,'Trang tính3'!$B$10:$H$377,7,0)</f>
        <v>81.5</v>
      </c>
      <c r="F228" s="9" t="str">
        <f>VLOOKUP(C228,'Trang tính2'!$B$1:$D$175,3,0)</f>
        <v>3.50</v>
      </c>
      <c r="G228" s="9"/>
      <c r="H228" s="14"/>
      <c r="I228" s="14"/>
      <c r="J228" s="14" t="s">
        <v>1526</v>
      </c>
      <c r="K228" s="14"/>
      <c r="L228" s="14"/>
      <c r="M228" s="16"/>
      <c r="N228" s="16" t="s">
        <v>72</v>
      </c>
      <c r="O228" s="17" t="s">
        <v>1527</v>
      </c>
      <c r="P228" s="17" t="s">
        <v>1528</v>
      </c>
      <c r="Q228" s="61"/>
      <c r="R228" s="2"/>
      <c r="S228" s="2"/>
      <c r="T228" s="2"/>
      <c r="U228" s="2"/>
      <c r="V228" s="2"/>
      <c r="W228" s="2"/>
      <c r="X228" s="2"/>
      <c r="Y228" s="2"/>
      <c r="Z228" s="2"/>
      <c r="AA228" s="2"/>
      <c r="AB228" s="2"/>
      <c r="AC228" s="2"/>
    </row>
    <row r="229" spans="1:29" ht="13">
      <c r="A229" s="5">
        <v>224</v>
      </c>
      <c r="B229" s="14" t="s">
        <v>1529</v>
      </c>
      <c r="C229" s="15">
        <v>3123330144</v>
      </c>
      <c r="D229" s="91" t="s">
        <v>1485</v>
      </c>
      <c r="E229" s="8">
        <f>VLOOKUP(C229,'Trang tính3'!$B$10:$H$377,7,0)</f>
        <v>98</v>
      </c>
      <c r="F229" s="9" t="str">
        <f>VLOOKUP(C229,'Trang tính2'!$B$1:$D$175,3,0)</f>
        <v>3.85</v>
      </c>
      <c r="G229" s="9"/>
      <c r="H229" s="14" t="s">
        <v>1530</v>
      </c>
      <c r="I229" s="14" t="s">
        <v>1531</v>
      </c>
      <c r="J229" s="14" t="s">
        <v>1532</v>
      </c>
      <c r="K229" s="14" t="s">
        <v>1533</v>
      </c>
      <c r="L229" s="14" t="s">
        <v>1534</v>
      </c>
      <c r="M229" s="16"/>
      <c r="N229" s="16" t="s">
        <v>28</v>
      </c>
      <c r="O229" s="17" t="s">
        <v>1535</v>
      </c>
      <c r="P229" s="17" t="s">
        <v>1536</v>
      </c>
      <c r="Q229" s="61"/>
      <c r="R229" s="2"/>
      <c r="S229" s="2"/>
      <c r="T229" s="2"/>
      <c r="U229" s="2"/>
      <c r="V229" s="2"/>
      <c r="W229" s="2"/>
      <c r="X229" s="2"/>
      <c r="Y229" s="2"/>
      <c r="Z229" s="2"/>
      <c r="AA229" s="2"/>
      <c r="AB229" s="2"/>
      <c r="AC229" s="2"/>
    </row>
    <row r="230" spans="1:29" ht="13">
      <c r="A230" s="5">
        <v>225</v>
      </c>
      <c r="B230" s="14" t="s">
        <v>1537</v>
      </c>
      <c r="C230" s="15">
        <v>3123550024</v>
      </c>
      <c r="D230" s="91" t="s">
        <v>1485</v>
      </c>
      <c r="E230" s="8">
        <f>VLOOKUP(C230,'Trang tính3'!$B$10:$H$377,7,0)</f>
        <v>95</v>
      </c>
      <c r="F230" s="9" t="str">
        <f>VLOOKUP(C230,'Trang tính2'!$B$1:$D$175,3,0)</f>
        <v>3.47</v>
      </c>
      <c r="G230" s="9"/>
      <c r="H230" s="14" t="s">
        <v>1538</v>
      </c>
      <c r="I230" s="14" t="s">
        <v>1539</v>
      </c>
      <c r="J230" s="14" t="s">
        <v>1540</v>
      </c>
      <c r="K230" s="14" t="s">
        <v>1541</v>
      </c>
      <c r="L230" s="14" t="s">
        <v>1542</v>
      </c>
      <c r="M230" s="16"/>
      <c r="N230" s="16" t="s">
        <v>28</v>
      </c>
      <c r="O230" s="17" t="s">
        <v>1543</v>
      </c>
      <c r="P230" s="17" t="s">
        <v>1544</v>
      </c>
      <c r="Q230" s="62"/>
      <c r="R230" s="2"/>
      <c r="S230" s="2"/>
      <c r="T230" s="2"/>
      <c r="U230" s="2"/>
      <c r="V230" s="2"/>
      <c r="W230" s="2"/>
      <c r="X230" s="2"/>
      <c r="Y230" s="2"/>
      <c r="Z230" s="2"/>
      <c r="AA230" s="2"/>
      <c r="AB230" s="2"/>
      <c r="AC230" s="2"/>
    </row>
    <row r="231" spans="1:29" ht="16.5">
      <c r="A231" s="69" t="s">
        <v>1545</v>
      </c>
      <c r="B231" s="65"/>
      <c r="C231" s="65"/>
      <c r="D231" s="65"/>
      <c r="E231" s="65"/>
      <c r="F231" s="65"/>
      <c r="G231" s="65"/>
      <c r="H231" s="65"/>
      <c r="I231" s="65"/>
      <c r="J231" s="65"/>
      <c r="K231" s="65"/>
      <c r="L231" s="65"/>
      <c r="M231" s="66"/>
      <c r="N231" s="36">
        <f>COUNTIF(N6:N230,"ĐẠT")</f>
        <v>192</v>
      </c>
      <c r="O231" s="64"/>
      <c r="P231" s="65"/>
      <c r="Q231" s="66"/>
      <c r="R231" s="2"/>
      <c r="S231" s="2"/>
      <c r="T231" s="2"/>
      <c r="U231" s="2"/>
      <c r="V231" s="2"/>
      <c r="W231" s="2"/>
      <c r="X231" s="2"/>
      <c r="Y231" s="2"/>
      <c r="Z231" s="2"/>
      <c r="AA231" s="2"/>
      <c r="AB231" s="2"/>
      <c r="AC231" s="2"/>
    </row>
    <row r="232" spans="1:29" ht="13">
      <c r="A232" s="3"/>
      <c r="B232" s="2"/>
      <c r="C232" s="3"/>
      <c r="D232" s="3"/>
      <c r="E232" s="1"/>
      <c r="F232" s="1"/>
      <c r="G232" s="1"/>
      <c r="H232" s="2"/>
      <c r="I232" s="2"/>
      <c r="J232" s="2"/>
      <c r="K232" s="2"/>
      <c r="L232" s="2"/>
      <c r="M232" s="3"/>
      <c r="N232" s="3"/>
      <c r="O232" s="2"/>
      <c r="P232" s="2"/>
      <c r="Q232" s="2"/>
      <c r="R232" s="2"/>
      <c r="S232" s="2"/>
      <c r="T232" s="2"/>
      <c r="U232" s="2"/>
      <c r="V232" s="2"/>
      <c r="W232" s="2"/>
      <c r="X232" s="2"/>
      <c r="Y232" s="2"/>
      <c r="Z232" s="2"/>
      <c r="AA232" s="2"/>
      <c r="AB232" s="2"/>
      <c r="AC232" s="2"/>
    </row>
    <row r="233" spans="1:29" ht="13">
      <c r="A233" s="3"/>
      <c r="B233" s="2"/>
      <c r="C233" s="3"/>
      <c r="D233" s="3"/>
      <c r="E233" s="1"/>
      <c r="F233" s="1"/>
      <c r="G233" s="1"/>
      <c r="H233" s="2"/>
      <c r="I233" s="2"/>
      <c r="J233" s="2"/>
      <c r="K233" s="2"/>
      <c r="L233" s="2"/>
      <c r="M233" s="3"/>
      <c r="N233" s="3"/>
      <c r="O233" s="2"/>
      <c r="P233" s="2"/>
      <c r="Q233" s="2"/>
      <c r="R233" s="2"/>
      <c r="S233" s="2"/>
      <c r="T233" s="2"/>
      <c r="U233" s="2"/>
      <c r="V233" s="2"/>
      <c r="W233" s="2"/>
      <c r="X233" s="2"/>
      <c r="Y233" s="2"/>
      <c r="Z233" s="2"/>
      <c r="AA233" s="2"/>
      <c r="AB233" s="2"/>
      <c r="AC233" s="2"/>
    </row>
    <row r="234" spans="1:29" ht="13">
      <c r="A234" s="3"/>
      <c r="B234" s="2"/>
      <c r="C234" s="3"/>
      <c r="D234" s="3"/>
      <c r="E234" s="1"/>
      <c r="F234" s="1"/>
      <c r="G234" s="1"/>
      <c r="H234" s="2"/>
      <c r="I234" s="2"/>
      <c r="J234" s="2"/>
      <c r="K234" s="2"/>
      <c r="L234" s="2"/>
      <c r="M234" s="3"/>
      <c r="N234" s="3"/>
      <c r="O234" s="2"/>
      <c r="P234" s="2"/>
      <c r="Q234" s="2"/>
      <c r="R234" s="2"/>
      <c r="S234" s="2"/>
      <c r="T234" s="2"/>
      <c r="U234" s="2"/>
      <c r="V234" s="2"/>
      <c r="W234" s="2"/>
      <c r="X234" s="2"/>
      <c r="Y234" s="2"/>
      <c r="Z234" s="2"/>
      <c r="AA234" s="2"/>
      <c r="AB234" s="2"/>
      <c r="AC234" s="2"/>
    </row>
    <row r="235" spans="1:29" ht="13">
      <c r="A235" s="3"/>
      <c r="B235" s="2"/>
      <c r="C235" s="3"/>
      <c r="D235" s="3"/>
      <c r="E235" s="1"/>
      <c r="F235" s="1"/>
      <c r="G235" s="1"/>
      <c r="H235" s="2"/>
      <c r="I235" s="2"/>
      <c r="J235" s="2"/>
      <c r="K235" s="2"/>
      <c r="L235" s="2"/>
      <c r="M235" s="3"/>
      <c r="N235" s="3"/>
      <c r="O235" s="2"/>
      <c r="P235" s="2"/>
      <c r="Q235" s="2"/>
      <c r="R235" s="2"/>
      <c r="S235" s="2"/>
      <c r="T235" s="2"/>
      <c r="U235" s="2"/>
      <c r="V235" s="2"/>
      <c r="W235" s="2"/>
      <c r="X235" s="2"/>
      <c r="Y235" s="2"/>
      <c r="Z235" s="2"/>
      <c r="AA235" s="2"/>
      <c r="AB235" s="2"/>
      <c r="AC235" s="2"/>
    </row>
    <row r="236" spans="1:29" ht="13">
      <c r="A236" s="3"/>
      <c r="B236" s="2"/>
      <c r="C236" s="3"/>
      <c r="D236" s="3"/>
      <c r="E236" s="1"/>
      <c r="F236" s="1"/>
      <c r="G236" s="1"/>
      <c r="H236" s="2"/>
      <c r="I236" s="2"/>
      <c r="J236" s="2"/>
      <c r="K236" s="2"/>
      <c r="L236" s="2"/>
      <c r="M236" s="3"/>
      <c r="N236" s="3"/>
      <c r="O236" s="2"/>
      <c r="P236" s="2"/>
      <c r="Q236" s="2"/>
      <c r="R236" s="2"/>
      <c r="S236" s="2"/>
      <c r="T236" s="2"/>
      <c r="U236" s="2"/>
      <c r="V236" s="2"/>
      <c r="W236" s="2"/>
      <c r="X236" s="2"/>
      <c r="Y236" s="2"/>
      <c r="Z236" s="2"/>
      <c r="AA236" s="2"/>
      <c r="AB236" s="2"/>
      <c r="AC236" s="2"/>
    </row>
    <row r="237" spans="1:29" ht="13">
      <c r="A237" s="3"/>
      <c r="B237" s="2"/>
      <c r="C237" s="3"/>
      <c r="D237" s="3"/>
      <c r="E237" s="1"/>
      <c r="F237" s="1"/>
      <c r="G237" s="1"/>
      <c r="H237" s="2"/>
      <c r="I237" s="2"/>
      <c r="J237" s="2"/>
      <c r="K237" s="2"/>
      <c r="L237" s="2"/>
      <c r="M237" s="3"/>
      <c r="N237" s="3"/>
      <c r="O237" s="2"/>
      <c r="P237" s="2"/>
      <c r="Q237" s="2"/>
      <c r="R237" s="2"/>
      <c r="S237" s="2"/>
      <c r="T237" s="2"/>
      <c r="U237" s="2"/>
      <c r="V237" s="2"/>
      <c r="W237" s="2"/>
      <c r="X237" s="2"/>
      <c r="Y237" s="2"/>
      <c r="Z237" s="2"/>
      <c r="AA237" s="2"/>
      <c r="AB237" s="2"/>
      <c r="AC237" s="2"/>
    </row>
    <row r="238" spans="1:29" ht="13">
      <c r="A238" s="3"/>
      <c r="B238" s="2"/>
      <c r="C238" s="3"/>
      <c r="D238" s="3"/>
      <c r="E238" s="1"/>
      <c r="F238" s="1"/>
      <c r="G238" s="1"/>
      <c r="H238" s="2"/>
      <c r="I238" s="2"/>
      <c r="J238" s="2"/>
      <c r="K238" s="2"/>
      <c r="L238" s="2"/>
      <c r="M238" s="3"/>
      <c r="N238" s="3"/>
      <c r="O238" s="2"/>
      <c r="P238" s="2"/>
      <c r="Q238" s="2"/>
      <c r="R238" s="2"/>
      <c r="S238" s="2"/>
      <c r="T238" s="2"/>
      <c r="U238" s="2"/>
      <c r="V238" s="2"/>
      <c r="W238" s="2"/>
      <c r="X238" s="2"/>
      <c r="Y238" s="2"/>
      <c r="Z238" s="2"/>
      <c r="AA238" s="2"/>
      <c r="AB238" s="2"/>
      <c r="AC238" s="2"/>
    </row>
    <row r="239" spans="1:29" ht="13">
      <c r="A239" s="3"/>
      <c r="B239" s="2"/>
      <c r="C239" s="3"/>
      <c r="D239" s="3"/>
      <c r="E239" s="1"/>
      <c r="F239" s="1"/>
      <c r="G239" s="1"/>
      <c r="H239" s="2"/>
      <c r="I239" s="2"/>
      <c r="J239" s="2"/>
      <c r="K239" s="2"/>
      <c r="L239" s="2"/>
      <c r="M239" s="3"/>
      <c r="N239" s="3"/>
      <c r="O239" s="2"/>
      <c r="P239" s="2"/>
      <c r="Q239" s="2"/>
      <c r="R239" s="2"/>
      <c r="S239" s="2"/>
      <c r="T239" s="2"/>
      <c r="U239" s="2"/>
      <c r="V239" s="2"/>
      <c r="W239" s="2"/>
      <c r="X239" s="2"/>
      <c r="Y239" s="2"/>
      <c r="Z239" s="2"/>
      <c r="AA239" s="2"/>
      <c r="AB239" s="2"/>
      <c r="AC239" s="2"/>
    </row>
    <row r="240" spans="1:29" ht="13">
      <c r="A240" s="3"/>
      <c r="B240" s="2"/>
      <c r="C240" s="3"/>
      <c r="D240" s="3"/>
      <c r="E240" s="1"/>
      <c r="F240" s="1"/>
      <c r="G240" s="1"/>
      <c r="H240" s="2"/>
      <c r="I240" s="2"/>
      <c r="J240" s="2"/>
      <c r="K240" s="2"/>
      <c r="L240" s="2"/>
      <c r="M240" s="3"/>
      <c r="N240" s="3"/>
      <c r="O240" s="2"/>
      <c r="P240" s="2"/>
      <c r="Q240" s="2"/>
      <c r="R240" s="2"/>
      <c r="S240" s="2"/>
      <c r="T240" s="2"/>
      <c r="U240" s="2"/>
      <c r="V240" s="2"/>
      <c r="W240" s="2"/>
      <c r="X240" s="2"/>
      <c r="Y240" s="2"/>
      <c r="Z240" s="2"/>
      <c r="AA240" s="2"/>
      <c r="AB240" s="2"/>
      <c r="AC240" s="2"/>
    </row>
    <row r="241" spans="1:29" ht="13">
      <c r="A241" s="3"/>
      <c r="B241" s="2"/>
      <c r="C241" s="3"/>
      <c r="D241" s="3"/>
      <c r="E241" s="1"/>
      <c r="F241" s="1"/>
      <c r="G241" s="1"/>
      <c r="H241" s="2"/>
      <c r="I241" s="2"/>
      <c r="J241" s="2"/>
      <c r="K241" s="2"/>
      <c r="L241" s="2"/>
      <c r="M241" s="3"/>
      <c r="N241" s="3"/>
      <c r="O241" s="2"/>
      <c r="P241" s="2"/>
      <c r="Q241" s="2"/>
      <c r="R241" s="2"/>
      <c r="S241" s="2"/>
      <c r="T241" s="2"/>
      <c r="U241" s="2"/>
      <c r="V241" s="2"/>
      <c r="W241" s="2"/>
      <c r="X241" s="2"/>
      <c r="Y241" s="2"/>
      <c r="Z241" s="2"/>
      <c r="AA241" s="2"/>
      <c r="AB241" s="2"/>
      <c r="AC241" s="2"/>
    </row>
    <row r="242" spans="1:29" ht="13">
      <c r="A242" s="3"/>
      <c r="B242" s="2"/>
      <c r="C242" s="3"/>
      <c r="D242" s="3"/>
      <c r="E242" s="1"/>
      <c r="F242" s="1"/>
      <c r="G242" s="1"/>
      <c r="H242" s="2"/>
      <c r="I242" s="2"/>
      <c r="J242" s="2"/>
      <c r="K242" s="2"/>
      <c r="L242" s="2"/>
      <c r="M242" s="3"/>
      <c r="N242" s="3"/>
      <c r="O242" s="2"/>
      <c r="P242" s="2"/>
      <c r="Q242" s="2"/>
      <c r="R242" s="2"/>
      <c r="S242" s="2"/>
      <c r="T242" s="2"/>
      <c r="U242" s="2"/>
      <c r="V242" s="2"/>
      <c r="W242" s="2"/>
      <c r="X242" s="2"/>
      <c r="Y242" s="2"/>
      <c r="Z242" s="2"/>
      <c r="AA242" s="2"/>
      <c r="AB242" s="2"/>
      <c r="AC242" s="2"/>
    </row>
    <row r="243" spans="1:29" ht="13">
      <c r="A243" s="3"/>
      <c r="B243" s="2"/>
      <c r="C243" s="3"/>
      <c r="D243" s="3"/>
      <c r="E243" s="1"/>
      <c r="F243" s="1"/>
      <c r="G243" s="1"/>
      <c r="H243" s="2"/>
      <c r="I243" s="2"/>
      <c r="J243" s="2"/>
      <c r="K243" s="2"/>
      <c r="L243" s="2"/>
      <c r="M243" s="3"/>
      <c r="N243" s="3"/>
      <c r="O243" s="2"/>
      <c r="P243" s="2"/>
      <c r="Q243" s="2"/>
      <c r="R243" s="2"/>
      <c r="S243" s="2"/>
      <c r="T243" s="2"/>
      <c r="U243" s="2"/>
      <c r="V243" s="2"/>
      <c r="W243" s="2"/>
      <c r="X243" s="2"/>
      <c r="Y243" s="2"/>
      <c r="Z243" s="2"/>
      <c r="AA243" s="2"/>
      <c r="AB243" s="2"/>
      <c r="AC243" s="2"/>
    </row>
    <row r="244" spans="1:29" ht="13">
      <c r="A244" s="3"/>
      <c r="B244" s="2"/>
      <c r="C244" s="3"/>
      <c r="D244" s="3"/>
      <c r="E244" s="1"/>
      <c r="F244" s="1"/>
      <c r="G244" s="1"/>
      <c r="H244" s="2"/>
      <c r="I244" s="2"/>
      <c r="J244" s="2"/>
      <c r="K244" s="2"/>
      <c r="L244" s="2"/>
      <c r="M244" s="3"/>
      <c r="N244" s="3"/>
      <c r="O244" s="2"/>
      <c r="P244" s="2"/>
      <c r="Q244" s="2"/>
      <c r="R244" s="2"/>
      <c r="S244" s="2"/>
      <c r="T244" s="2"/>
      <c r="U244" s="2"/>
      <c r="V244" s="2"/>
      <c r="W244" s="2"/>
      <c r="X244" s="2"/>
      <c r="Y244" s="2"/>
      <c r="Z244" s="2"/>
      <c r="AA244" s="2"/>
      <c r="AB244" s="2"/>
      <c r="AC244" s="2"/>
    </row>
    <row r="245" spans="1:29" ht="13">
      <c r="A245" s="3"/>
      <c r="B245" s="2"/>
      <c r="C245" s="3"/>
      <c r="D245" s="3"/>
      <c r="E245" s="1"/>
      <c r="F245" s="1"/>
      <c r="G245" s="1"/>
      <c r="H245" s="2"/>
      <c r="I245" s="2"/>
      <c r="J245" s="2"/>
      <c r="K245" s="2"/>
      <c r="L245" s="2"/>
      <c r="M245" s="3"/>
      <c r="N245" s="3"/>
      <c r="O245" s="2"/>
      <c r="P245" s="2"/>
      <c r="Q245" s="2"/>
      <c r="R245" s="2"/>
      <c r="S245" s="2"/>
      <c r="T245" s="2"/>
      <c r="U245" s="2"/>
      <c r="V245" s="2"/>
      <c r="W245" s="2"/>
      <c r="X245" s="2"/>
      <c r="Y245" s="2"/>
      <c r="Z245" s="2"/>
      <c r="AA245" s="2"/>
      <c r="AB245" s="2"/>
      <c r="AC245" s="2"/>
    </row>
    <row r="246" spans="1:29" ht="13">
      <c r="A246" s="3"/>
      <c r="B246" s="2"/>
      <c r="C246" s="3"/>
      <c r="D246" s="3"/>
      <c r="E246" s="1"/>
      <c r="F246" s="1"/>
      <c r="G246" s="1"/>
      <c r="H246" s="2"/>
      <c r="I246" s="2"/>
      <c r="J246" s="2"/>
      <c r="K246" s="2"/>
      <c r="L246" s="2"/>
      <c r="M246" s="3"/>
      <c r="N246" s="3"/>
      <c r="O246" s="2"/>
      <c r="P246" s="2"/>
      <c r="Q246" s="2"/>
      <c r="R246" s="2"/>
      <c r="S246" s="2"/>
      <c r="T246" s="2"/>
      <c r="U246" s="2"/>
      <c r="V246" s="2"/>
      <c r="W246" s="2"/>
      <c r="X246" s="2"/>
      <c r="Y246" s="2"/>
      <c r="Z246" s="2"/>
      <c r="AA246" s="2"/>
      <c r="AB246" s="2"/>
      <c r="AC246" s="2"/>
    </row>
    <row r="247" spans="1:29" ht="13">
      <c r="A247" s="3"/>
      <c r="B247" s="2"/>
      <c r="C247" s="3"/>
      <c r="D247" s="3"/>
      <c r="E247" s="1"/>
      <c r="F247" s="1"/>
      <c r="G247" s="1"/>
      <c r="H247" s="2"/>
      <c r="I247" s="2"/>
      <c r="J247" s="2"/>
      <c r="K247" s="2"/>
      <c r="L247" s="2"/>
      <c r="M247" s="3"/>
      <c r="N247" s="3"/>
      <c r="O247" s="2"/>
      <c r="P247" s="2"/>
      <c r="Q247" s="2"/>
      <c r="R247" s="2"/>
      <c r="S247" s="2"/>
      <c r="T247" s="2"/>
      <c r="U247" s="2"/>
      <c r="V247" s="2"/>
      <c r="W247" s="2"/>
      <c r="X247" s="2"/>
      <c r="Y247" s="2"/>
      <c r="Z247" s="2"/>
      <c r="AA247" s="2"/>
      <c r="AB247" s="2"/>
      <c r="AC247" s="2"/>
    </row>
    <row r="248" spans="1:29" ht="13">
      <c r="A248" s="3"/>
      <c r="B248" s="2"/>
      <c r="C248" s="3"/>
      <c r="D248" s="3"/>
      <c r="E248" s="1"/>
      <c r="F248" s="1"/>
      <c r="G248" s="1"/>
      <c r="H248" s="2"/>
      <c r="I248" s="2"/>
      <c r="J248" s="2"/>
      <c r="K248" s="2"/>
      <c r="L248" s="2"/>
      <c r="M248" s="3"/>
      <c r="N248" s="3"/>
      <c r="O248" s="2"/>
      <c r="P248" s="2"/>
      <c r="Q248" s="2"/>
      <c r="R248" s="2"/>
      <c r="S248" s="2"/>
      <c r="T248" s="2"/>
      <c r="U248" s="2"/>
      <c r="V248" s="2"/>
      <c r="W248" s="2"/>
      <c r="X248" s="2"/>
      <c r="Y248" s="2"/>
      <c r="Z248" s="2"/>
      <c r="AA248" s="2"/>
      <c r="AB248" s="2"/>
      <c r="AC248" s="2"/>
    </row>
    <row r="249" spans="1:29" ht="13">
      <c r="A249" s="3"/>
      <c r="B249" s="2"/>
      <c r="C249" s="3"/>
      <c r="D249" s="3"/>
      <c r="E249" s="1"/>
      <c r="F249" s="1"/>
      <c r="G249" s="1"/>
      <c r="H249" s="2"/>
      <c r="I249" s="2"/>
      <c r="J249" s="2"/>
      <c r="K249" s="2"/>
      <c r="L249" s="2"/>
      <c r="M249" s="3"/>
      <c r="N249" s="3"/>
      <c r="O249" s="2"/>
      <c r="P249" s="2"/>
      <c r="Q249" s="2"/>
      <c r="R249" s="2"/>
      <c r="S249" s="2"/>
      <c r="T249" s="2"/>
      <c r="U249" s="2"/>
      <c r="V249" s="2"/>
      <c r="W249" s="2"/>
      <c r="X249" s="2"/>
      <c r="Y249" s="2"/>
      <c r="Z249" s="2"/>
      <c r="AA249" s="2"/>
      <c r="AB249" s="2"/>
      <c r="AC249" s="2"/>
    </row>
    <row r="250" spans="1:29" ht="13">
      <c r="A250" s="3"/>
      <c r="B250" s="2"/>
      <c r="C250" s="3"/>
      <c r="D250" s="3"/>
      <c r="E250" s="1"/>
      <c r="F250" s="1"/>
      <c r="G250" s="1"/>
      <c r="H250" s="2"/>
      <c r="I250" s="2"/>
      <c r="J250" s="2"/>
      <c r="K250" s="2"/>
      <c r="L250" s="2"/>
      <c r="M250" s="3"/>
      <c r="N250" s="3"/>
      <c r="O250" s="2"/>
      <c r="P250" s="2"/>
      <c r="Q250" s="2"/>
      <c r="R250" s="2"/>
      <c r="S250" s="2"/>
      <c r="T250" s="2"/>
      <c r="U250" s="2"/>
      <c r="V250" s="2"/>
      <c r="W250" s="2"/>
      <c r="X250" s="2"/>
      <c r="Y250" s="2"/>
      <c r="Z250" s="2"/>
      <c r="AA250" s="2"/>
      <c r="AB250" s="2"/>
      <c r="AC250" s="2"/>
    </row>
    <row r="251" spans="1:29" ht="13">
      <c r="A251" s="3"/>
      <c r="B251" s="2"/>
      <c r="C251" s="3"/>
      <c r="D251" s="3"/>
      <c r="E251" s="1"/>
      <c r="F251" s="1"/>
      <c r="G251" s="1"/>
      <c r="H251" s="2"/>
      <c r="I251" s="2"/>
      <c r="J251" s="2"/>
      <c r="K251" s="2"/>
      <c r="L251" s="2"/>
      <c r="M251" s="3"/>
      <c r="N251" s="3"/>
      <c r="O251" s="2"/>
      <c r="P251" s="2"/>
      <c r="Q251" s="2"/>
      <c r="R251" s="2"/>
      <c r="S251" s="2"/>
      <c r="T251" s="2"/>
      <c r="U251" s="2"/>
      <c r="V251" s="2"/>
      <c r="W251" s="2"/>
      <c r="X251" s="2"/>
      <c r="Y251" s="2"/>
      <c r="Z251" s="2"/>
      <c r="AA251" s="2"/>
      <c r="AB251" s="2"/>
      <c r="AC251" s="2"/>
    </row>
    <row r="252" spans="1:29" ht="13">
      <c r="A252" s="3"/>
      <c r="B252" s="2"/>
      <c r="C252" s="3"/>
      <c r="D252" s="3"/>
      <c r="E252" s="1"/>
      <c r="F252" s="1"/>
      <c r="G252" s="1"/>
      <c r="H252" s="2"/>
      <c r="I252" s="2"/>
      <c r="J252" s="2"/>
      <c r="K252" s="2"/>
      <c r="L252" s="2"/>
      <c r="M252" s="3"/>
      <c r="N252" s="3"/>
      <c r="O252" s="2"/>
      <c r="P252" s="2"/>
      <c r="Q252" s="2"/>
      <c r="R252" s="2"/>
      <c r="S252" s="2"/>
      <c r="T252" s="2"/>
      <c r="U252" s="2"/>
      <c r="V252" s="2"/>
      <c r="W252" s="2"/>
      <c r="X252" s="2"/>
      <c r="Y252" s="2"/>
      <c r="Z252" s="2"/>
      <c r="AA252" s="2"/>
      <c r="AB252" s="2"/>
      <c r="AC252" s="2"/>
    </row>
    <row r="253" spans="1:29" ht="13">
      <c r="A253" s="3"/>
      <c r="B253" s="2"/>
      <c r="C253" s="3"/>
      <c r="D253" s="3"/>
      <c r="E253" s="1"/>
      <c r="F253" s="1"/>
      <c r="G253" s="1"/>
      <c r="H253" s="2"/>
      <c r="I253" s="2"/>
      <c r="J253" s="2"/>
      <c r="K253" s="2"/>
      <c r="L253" s="2"/>
      <c r="M253" s="3"/>
      <c r="N253" s="3"/>
      <c r="O253" s="2"/>
      <c r="P253" s="2"/>
      <c r="Q253" s="2"/>
      <c r="R253" s="2"/>
      <c r="S253" s="2"/>
      <c r="T253" s="2"/>
      <c r="U253" s="2"/>
      <c r="V253" s="2"/>
      <c r="W253" s="2"/>
      <c r="X253" s="2"/>
      <c r="Y253" s="2"/>
      <c r="Z253" s="2"/>
      <c r="AA253" s="2"/>
      <c r="AB253" s="2"/>
      <c r="AC253" s="2"/>
    </row>
    <row r="254" spans="1:29" ht="13">
      <c r="A254" s="3"/>
      <c r="B254" s="2"/>
      <c r="C254" s="3"/>
      <c r="D254" s="3"/>
      <c r="E254" s="1"/>
      <c r="F254" s="1"/>
      <c r="G254" s="1"/>
      <c r="H254" s="2"/>
      <c r="I254" s="2"/>
      <c r="J254" s="2"/>
      <c r="K254" s="2"/>
      <c r="L254" s="2"/>
      <c r="M254" s="3"/>
      <c r="N254" s="3"/>
      <c r="O254" s="2"/>
      <c r="P254" s="2"/>
      <c r="Q254" s="2"/>
      <c r="R254" s="2"/>
      <c r="S254" s="2"/>
      <c r="T254" s="2"/>
      <c r="U254" s="2"/>
      <c r="V254" s="2"/>
      <c r="W254" s="2"/>
      <c r="X254" s="2"/>
      <c r="Y254" s="2"/>
      <c r="Z254" s="2"/>
      <c r="AA254" s="2"/>
      <c r="AB254" s="2"/>
      <c r="AC254" s="2"/>
    </row>
    <row r="255" spans="1:29" ht="13">
      <c r="A255" s="3"/>
      <c r="B255" s="2"/>
      <c r="C255" s="3"/>
      <c r="D255" s="3"/>
      <c r="E255" s="1"/>
      <c r="F255" s="1"/>
      <c r="G255" s="1"/>
      <c r="H255" s="2"/>
      <c r="I255" s="2"/>
      <c r="J255" s="2"/>
      <c r="K255" s="2"/>
      <c r="L255" s="2"/>
      <c r="M255" s="3"/>
      <c r="N255" s="3"/>
      <c r="O255" s="2"/>
      <c r="P255" s="2"/>
      <c r="Q255" s="2"/>
      <c r="R255" s="2"/>
      <c r="S255" s="2"/>
      <c r="T255" s="2"/>
      <c r="U255" s="2"/>
      <c r="V255" s="2"/>
      <c r="W255" s="2"/>
      <c r="X255" s="2"/>
      <c r="Y255" s="2"/>
      <c r="Z255" s="2"/>
      <c r="AA255" s="2"/>
      <c r="AB255" s="2"/>
      <c r="AC255" s="2"/>
    </row>
    <row r="256" spans="1:29" ht="13">
      <c r="A256" s="3"/>
      <c r="B256" s="2"/>
      <c r="C256" s="3"/>
      <c r="D256" s="3"/>
      <c r="E256" s="1"/>
      <c r="F256" s="1"/>
      <c r="G256" s="1"/>
      <c r="H256" s="2"/>
      <c r="I256" s="2"/>
      <c r="J256" s="2"/>
      <c r="K256" s="2"/>
      <c r="L256" s="2"/>
      <c r="M256" s="3"/>
      <c r="N256" s="3"/>
      <c r="O256" s="2"/>
      <c r="P256" s="2"/>
      <c r="Q256" s="2"/>
      <c r="R256" s="2"/>
      <c r="S256" s="2"/>
      <c r="T256" s="2"/>
      <c r="U256" s="2"/>
      <c r="V256" s="2"/>
      <c r="W256" s="2"/>
      <c r="X256" s="2"/>
      <c r="Y256" s="2"/>
      <c r="Z256" s="2"/>
      <c r="AA256" s="2"/>
      <c r="AB256" s="2"/>
      <c r="AC256" s="2"/>
    </row>
    <row r="257" spans="1:29" ht="13">
      <c r="A257" s="3"/>
      <c r="B257" s="2"/>
      <c r="C257" s="3"/>
      <c r="D257" s="3"/>
      <c r="E257" s="1"/>
      <c r="F257" s="1"/>
      <c r="G257" s="1"/>
      <c r="H257" s="2"/>
      <c r="I257" s="2"/>
      <c r="J257" s="2"/>
      <c r="K257" s="2"/>
      <c r="L257" s="2"/>
      <c r="M257" s="3"/>
      <c r="N257" s="3"/>
      <c r="O257" s="2"/>
      <c r="P257" s="2"/>
      <c r="Q257" s="2"/>
      <c r="R257" s="2"/>
      <c r="S257" s="2"/>
      <c r="T257" s="2"/>
      <c r="U257" s="2"/>
      <c r="V257" s="2"/>
      <c r="W257" s="2"/>
      <c r="X257" s="2"/>
      <c r="Y257" s="2"/>
      <c r="Z257" s="2"/>
      <c r="AA257" s="2"/>
      <c r="AB257" s="2"/>
      <c r="AC257" s="2"/>
    </row>
    <row r="258" spans="1:29" ht="13">
      <c r="A258" s="3"/>
      <c r="B258" s="2"/>
      <c r="C258" s="3"/>
      <c r="D258" s="3"/>
      <c r="E258" s="1"/>
      <c r="F258" s="1"/>
      <c r="G258" s="1"/>
      <c r="H258" s="2"/>
      <c r="I258" s="2"/>
      <c r="J258" s="2"/>
      <c r="K258" s="2"/>
      <c r="L258" s="2"/>
      <c r="M258" s="3"/>
      <c r="N258" s="3"/>
      <c r="O258" s="2"/>
      <c r="P258" s="2"/>
      <c r="Q258" s="2"/>
      <c r="R258" s="2"/>
      <c r="S258" s="2"/>
      <c r="T258" s="2"/>
      <c r="U258" s="2"/>
      <c r="V258" s="2"/>
      <c r="W258" s="2"/>
      <c r="X258" s="2"/>
      <c r="Y258" s="2"/>
      <c r="Z258" s="2"/>
      <c r="AA258" s="2"/>
      <c r="AB258" s="2"/>
      <c r="AC258" s="2"/>
    </row>
    <row r="259" spans="1:29" ht="13">
      <c r="A259" s="3"/>
      <c r="B259" s="2"/>
      <c r="C259" s="3"/>
      <c r="D259" s="3"/>
      <c r="E259" s="1"/>
      <c r="F259" s="1"/>
      <c r="G259" s="1"/>
      <c r="H259" s="2"/>
      <c r="I259" s="2"/>
      <c r="J259" s="2"/>
      <c r="K259" s="2"/>
      <c r="L259" s="2"/>
      <c r="M259" s="3"/>
      <c r="N259" s="3"/>
      <c r="O259" s="2"/>
      <c r="P259" s="2"/>
      <c r="Q259" s="2"/>
      <c r="R259" s="2"/>
      <c r="S259" s="2"/>
      <c r="T259" s="2"/>
      <c r="U259" s="2"/>
      <c r="V259" s="2"/>
      <c r="W259" s="2"/>
      <c r="X259" s="2"/>
      <c r="Y259" s="2"/>
      <c r="Z259" s="2"/>
      <c r="AA259" s="2"/>
      <c r="AB259" s="2"/>
      <c r="AC259" s="2"/>
    </row>
    <row r="260" spans="1:29" ht="13">
      <c r="A260" s="3"/>
      <c r="B260" s="2"/>
      <c r="C260" s="3"/>
      <c r="D260" s="3"/>
      <c r="E260" s="1"/>
      <c r="F260" s="1"/>
      <c r="G260" s="1"/>
      <c r="H260" s="2"/>
      <c r="I260" s="2"/>
      <c r="J260" s="2"/>
      <c r="K260" s="2"/>
      <c r="L260" s="2"/>
      <c r="M260" s="3"/>
      <c r="N260" s="3"/>
      <c r="O260" s="2"/>
      <c r="P260" s="2"/>
      <c r="Q260" s="2"/>
      <c r="R260" s="2"/>
      <c r="S260" s="2"/>
      <c r="T260" s="2"/>
      <c r="U260" s="2"/>
      <c r="V260" s="2"/>
      <c r="W260" s="2"/>
      <c r="X260" s="2"/>
      <c r="Y260" s="2"/>
      <c r="Z260" s="2"/>
      <c r="AA260" s="2"/>
      <c r="AB260" s="2"/>
      <c r="AC260" s="2"/>
    </row>
    <row r="261" spans="1:29" ht="13">
      <c r="A261" s="3"/>
      <c r="B261" s="2"/>
      <c r="C261" s="3"/>
      <c r="D261" s="3"/>
      <c r="E261" s="1"/>
      <c r="F261" s="1"/>
      <c r="G261" s="1"/>
      <c r="H261" s="2"/>
      <c r="I261" s="2"/>
      <c r="J261" s="2"/>
      <c r="K261" s="2"/>
      <c r="L261" s="2"/>
      <c r="M261" s="3"/>
      <c r="N261" s="3"/>
      <c r="O261" s="2"/>
      <c r="P261" s="2"/>
      <c r="Q261" s="2"/>
      <c r="R261" s="2"/>
      <c r="S261" s="2"/>
      <c r="T261" s="2"/>
      <c r="U261" s="2"/>
      <c r="V261" s="2"/>
      <c r="W261" s="2"/>
      <c r="X261" s="2"/>
      <c r="Y261" s="2"/>
      <c r="Z261" s="2"/>
      <c r="AA261" s="2"/>
      <c r="AB261" s="2"/>
      <c r="AC261" s="2"/>
    </row>
    <row r="262" spans="1:29" ht="13">
      <c r="A262" s="3"/>
      <c r="B262" s="2"/>
      <c r="C262" s="3"/>
      <c r="D262" s="3"/>
      <c r="E262" s="1"/>
      <c r="F262" s="1"/>
      <c r="G262" s="1"/>
      <c r="H262" s="2"/>
      <c r="I262" s="2"/>
      <c r="J262" s="2"/>
      <c r="K262" s="2"/>
      <c r="L262" s="2"/>
      <c r="M262" s="3"/>
      <c r="N262" s="3"/>
      <c r="O262" s="2"/>
      <c r="P262" s="2"/>
      <c r="Q262" s="2"/>
      <c r="R262" s="2"/>
      <c r="S262" s="2"/>
      <c r="T262" s="2"/>
      <c r="U262" s="2"/>
      <c r="V262" s="2"/>
      <c r="W262" s="2"/>
      <c r="X262" s="2"/>
      <c r="Y262" s="2"/>
      <c r="Z262" s="2"/>
      <c r="AA262" s="2"/>
      <c r="AB262" s="2"/>
      <c r="AC262" s="2"/>
    </row>
    <row r="263" spans="1:29" ht="13">
      <c r="A263" s="3"/>
      <c r="B263" s="2"/>
      <c r="C263" s="3"/>
      <c r="D263" s="3"/>
      <c r="E263" s="1"/>
      <c r="F263" s="1"/>
      <c r="G263" s="1"/>
      <c r="H263" s="2"/>
      <c r="I263" s="2"/>
      <c r="J263" s="2"/>
      <c r="K263" s="2"/>
      <c r="L263" s="2"/>
      <c r="M263" s="3"/>
      <c r="N263" s="3"/>
      <c r="O263" s="2"/>
      <c r="P263" s="2"/>
      <c r="Q263" s="2"/>
      <c r="R263" s="2"/>
      <c r="S263" s="2"/>
      <c r="T263" s="2"/>
      <c r="U263" s="2"/>
      <c r="V263" s="2"/>
      <c r="W263" s="2"/>
      <c r="X263" s="2"/>
      <c r="Y263" s="2"/>
      <c r="Z263" s="2"/>
      <c r="AA263" s="2"/>
      <c r="AB263" s="2"/>
      <c r="AC263" s="2"/>
    </row>
    <row r="264" spans="1:29" ht="13">
      <c r="A264" s="3"/>
      <c r="B264" s="2"/>
      <c r="C264" s="3"/>
      <c r="D264" s="3"/>
      <c r="E264" s="1"/>
      <c r="F264" s="1"/>
      <c r="G264" s="1"/>
      <c r="H264" s="2"/>
      <c r="I264" s="2"/>
      <c r="J264" s="2"/>
      <c r="K264" s="2"/>
      <c r="L264" s="2"/>
      <c r="M264" s="3"/>
      <c r="N264" s="3"/>
      <c r="O264" s="2"/>
      <c r="P264" s="2"/>
      <c r="Q264" s="2"/>
      <c r="R264" s="2"/>
      <c r="S264" s="2"/>
      <c r="T264" s="2"/>
      <c r="U264" s="2"/>
      <c r="V264" s="2"/>
      <c r="W264" s="2"/>
      <c r="X264" s="2"/>
      <c r="Y264" s="2"/>
      <c r="Z264" s="2"/>
      <c r="AA264" s="2"/>
      <c r="AB264" s="2"/>
      <c r="AC264" s="2"/>
    </row>
    <row r="265" spans="1:29" ht="13">
      <c r="A265" s="3"/>
      <c r="B265" s="2"/>
      <c r="C265" s="3"/>
      <c r="D265" s="3"/>
      <c r="E265" s="1"/>
      <c r="F265" s="1"/>
      <c r="G265" s="1"/>
      <c r="H265" s="2"/>
      <c r="I265" s="2"/>
      <c r="J265" s="2"/>
      <c r="K265" s="2"/>
      <c r="L265" s="2"/>
      <c r="M265" s="3"/>
      <c r="N265" s="3"/>
      <c r="O265" s="2"/>
      <c r="P265" s="2"/>
      <c r="Q265" s="2"/>
      <c r="R265" s="2"/>
      <c r="S265" s="2"/>
      <c r="T265" s="2"/>
      <c r="U265" s="2"/>
      <c r="V265" s="2"/>
      <c r="W265" s="2"/>
      <c r="X265" s="2"/>
      <c r="Y265" s="2"/>
      <c r="Z265" s="2"/>
      <c r="AA265" s="2"/>
      <c r="AB265" s="2"/>
      <c r="AC265" s="2"/>
    </row>
    <row r="266" spans="1:29" ht="13">
      <c r="A266" s="3"/>
      <c r="B266" s="2"/>
      <c r="C266" s="3"/>
      <c r="D266" s="3"/>
      <c r="E266" s="1"/>
      <c r="F266" s="1"/>
      <c r="G266" s="1"/>
      <c r="H266" s="2"/>
      <c r="I266" s="2"/>
      <c r="J266" s="2"/>
      <c r="K266" s="2"/>
      <c r="L266" s="2"/>
      <c r="M266" s="3"/>
      <c r="N266" s="3"/>
      <c r="O266" s="2"/>
      <c r="P266" s="2"/>
      <c r="Q266" s="2"/>
      <c r="R266" s="2"/>
      <c r="S266" s="2"/>
      <c r="T266" s="2"/>
      <c r="U266" s="2"/>
      <c r="V266" s="2"/>
      <c r="W266" s="2"/>
      <c r="X266" s="2"/>
      <c r="Y266" s="2"/>
      <c r="Z266" s="2"/>
      <c r="AA266" s="2"/>
      <c r="AB266" s="2"/>
      <c r="AC266" s="2"/>
    </row>
    <row r="267" spans="1:29" ht="13">
      <c r="A267" s="3"/>
      <c r="B267" s="2"/>
      <c r="C267" s="3"/>
      <c r="D267" s="3"/>
      <c r="E267" s="1"/>
      <c r="F267" s="1"/>
      <c r="G267" s="1"/>
      <c r="H267" s="2"/>
      <c r="I267" s="2"/>
      <c r="J267" s="2"/>
      <c r="K267" s="2"/>
      <c r="L267" s="2"/>
      <c r="M267" s="3"/>
      <c r="N267" s="3"/>
      <c r="O267" s="2"/>
      <c r="P267" s="2"/>
      <c r="Q267" s="2"/>
      <c r="R267" s="2"/>
      <c r="S267" s="2"/>
      <c r="T267" s="2"/>
      <c r="U267" s="2"/>
      <c r="V267" s="2"/>
      <c r="W267" s="2"/>
      <c r="X267" s="2"/>
      <c r="Y267" s="2"/>
      <c r="Z267" s="2"/>
      <c r="AA267" s="2"/>
      <c r="AB267" s="2"/>
      <c r="AC267" s="2"/>
    </row>
    <row r="268" spans="1:29" ht="13">
      <c r="A268" s="3"/>
      <c r="B268" s="2"/>
      <c r="C268" s="3"/>
      <c r="D268" s="3"/>
      <c r="E268" s="1"/>
      <c r="F268" s="1"/>
      <c r="G268" s="1"/>
      <c r="H268" s="2"/>
      <c r="I268" s="2"/>
      <c r="J268" s="2"/>
      <c r="K268" s="2"/>
      <c r="L268" s="2"/>
      <c r="M268" s="3"/>
      <c r="N268" s="3"/>
      <c r="O268" s="2"/>
      <c r="P268" s="2"/>
      <c r="Q268" s="2"/>
      <c r="R268" s="2"/>
      <c r="S268" s="2"/>
      <c r="T268" s="2"/>
      <c r="U268" s="2"/>
      <c r="V268" s="2"/>
      <c r="W268" s="2"/>
      <c r="X268" s="2"/>
      <c r="Y268" s="2"/>
      <c r="Z268" s="2"/>
      <c r="AA268" s="2"/>
      <c r="AB268" s="2"/>
      <c r="AC268" s="2"/>
    </row>
    <row r="269" spans="1:29" ht="13">
      <c r="A269" s="3"/>
      <c r="B269" s="2"/>
      <c r="C269" s="3"/>
      <c r="D269" s="3"/>
      <c r="E269" s="1"/>
      <c r="F269" s="1"/>
      <c r="G269" s="1"/>
      <c r="H269" s="2"/>
      <c r="I269" s="2"/>
      <c r="J269" s="2"/>
      <c r="K269" s="2"/>
      <c r="L269" s="2"/>
      <c r="M269" s="3"/>
      <c r="N269" s="3"/>
      <c r="O269" s="2"/>
      <c r="P269" s="2"/>
      <c r="Q269" s="2"/>
      <c r="R269" s="2"/>
      <c r="S269" s="2"/>
      <c r="T269" s="2"/>
      <c r="U269" s="2"/>
      <c r="V269" s="2"/>
      <c r="W269" s="2"/>
      <c r="X269" s="2"/>
      <c r="Y269" s="2"/>
      <c r="Z269" s="2"/>
      <c r="AA269" s="2"/>
      <c r="AB269" s="2"/>
      <c r="AC269" s="2"/>
    </row>
    <row r="270" spans="1:29" ht="13">
      <c r="A270" s="3"/>
      <c r="B270" s="2"/>
      <c r="C270" s="3"/>
      <c r="D270" s="3"/>
      <c r="E270" s="1"/>
      <c r="F270" s="1"/>
      <c r="G270" s="1"/>
      <c r="H270" s="2"/>
      <c r="I270" s="2"/>
      <c r="J270" s="2"/>
      <c r="K270" s="2"/>
      <c r="L270" s="2"/>
      <c r="M270" s="3"/>
      <c r="N270" s="3"/>
      <c r="O270" s="2"/>
      <c r="P270" s="2"/>
      <c r="Q270" s="2"/>
      <c r="R270" s="2"/>
      <c r="S270" s="2"/>
      <c r="T270" s="2"/>
      <c r="U270" s="2"/>
      <c r="V270" s="2"/>
      <c r="W270" s="2"/>
      <c r="X270" s="2"/>
      <c r="Y270" s="2"/>
      <c r="Z270" s="2"/>
      <c r="AA270" s="2"/>
      <c r="AB270" s="2"/>
      <c r="AC270" s="2"/>
    </row>
    <row r="271" spans="1:29" ht="13">
      <c r="A271" s="3"/>
      <c r="B271" s="2"/>
      <c r="C271" s="3"/>
      <c r="D271" s="3"/>
      <c r="E271" s="1"/>
      <c r="F271" s="1"/>
      <c r="G271" s="1"/>
      <c r="H271" s="2"/>
      <c r="I271" s="2"/>
      <c r="J271" s="2"/>
      <c r="K271" s="2"/>
      <c r="L271" s="2"/>
      <c r="M271" s="3"/>
      <c r="N271" s="3"/>
      <c r="O271" s="2"/>
      <c r="P271" s="2"/>
      <c r="Q271" s="2"/>
      <c r="R271" s="2"/>
      <c r="S271" s="2"/>
      <c r="T271" s="2"/>
      <c r="U271" s="2"/>
      <c r="V271" s="2"/>
      <c r="W271" s="2"/>
      <c r="X271" s="2"/>
      <c r="Y271" s="2"/>
      <c r="Z271" s="2"/>
      <c r="AA271" s="2"/>
      <c r="AB271" s="2"/>
      <c r="AC271" s="2"/>
    </row>
    <row r="272" spans="1:29" ht="13">
      <c r="A272" s="3"/>
      <c r="B272" s="2"/>
      <c r="C272" s="3"/>
      <c r="D272" s="3"/>
      <c r="E272" s="1"/>
      <c r="F272" s="1"/>
      <c r="G272" s="1"/>
      <c r="H272" s="2"/>
      <c r="I272" s="2"/>
      <c r="J272" s="2"/>
      <c r="K272" s="2"/>
      <c r="L272" s="2"/>
      <c r="M272" s="3"/>
      <c r="N272" s="3"/>
      <c r="O272" s="2"/>
      <c r="P272" s="2"/>
      <c r="Q272" s="2"/>
      <c r="R272" s="2"/>
      <c r="S272" s="2"/>
      <c r="T272" s="2"/>
      <c r="U272" s="2"/>
      <c r="V272" s="2"/>
      <c r="W272" s="2"/>
      <c r="X272" s="2"/>
      <c r="Y272" s="2"/>
      <c r="Z272" s="2"/>
      <c r="AA272" s="2"/>
      <c r="AB272" s="2"/>
      <c r="AC272" s="2"/>
    </row>
    <row r="273" spans="1:29" ht="13">
      <c r="A273" s="3"/>
      <c r="B273" s="2"/>
      <c r="C273" s="3"/>
      <c r="D273" s="3"/>
      <c r="E273" s="1"/>
      <c r="F273" s="1"/>
      <c r="G273" s="1"/>
      <c r="H273" s="2"/>
      <c r="I273" s="2"/>
      <c r="J273" s="2"/>
      <c r="K273" s="2"/>
      <c r="L273" s="2"/>
      <c r="M273" s="3"/>
      <c r="N273" s="3"/>
      <c r="O273" s="2"/>
      <c r="P273" s="2"/>
      <c r="Q273" s="2"/>
      <c r="R273" s="2"/>
      <c r="S273" s="2"/>
      <c r="T273" s="2"/>
      <c r="U273" s="2"/>
      <c r="V273" s="2"/>
      <c r="W273" s="2"/>
      <c r="X273" s="2"/>
      <c r="Y273" s="2"/>
      <c r="Z273" s="2"/>
      <c r="AA273" s="2"/>
      <c r="AB273" s="2"/>
      <c r="AC273" s="2"/>
    </row>
    <row r="274" spans="1:29" ht="13">
      <c r="A274" s="3"/>
      <c r="B274" s="2"/>
      <c r="C274" s="3"/>
      <c r="D274" s="3"/>
      <c r="E274" s="1"/>
      <c r="F274" s="1"/>
      <c r="G274" s="1"/>
      <c r="H274" s="2"/>
      <c r="I274" s="2"/>
      <c r="J274" s="2"/>
      <c r="K274" s="2"/>
      <c r="L274" s="2"/>
      <c r="M274" s="3"/>
      <c r="N274" s="3"/>
      <c r="O274" s="2"/>
      <c r="P274" s="2"/>
      <c r="Q274" s="2"/>
      <c r="R274" s="2"/>
      <c r="S274" s="2"/>
      <c r="T274" s="2"/>
      <c r="U274" s="2"/>
      <c r="V274" s="2"/>
      <c r="W274" s="2"/>
      <c r="X274" s="2"/>
      <c r="Y274" s="2"/>
      <c r="Z274" s="2"/>
      <c r="AA274" s="2"/>
      <c r="AB274" s="2"/>
      <c r="AC274" s="2"/>
    </row>
    <row r="275" spans="1:29" ht="13">
      <c r="A275" s="3"/>
      <c r="B275" s="2"/>
      <c r="C275" s="3"/>
      <c r="D275" s="3"/>
      <c r="E275" s="1"/>
      <c r="F275" s="1"/>
      <c r="G275" s="1"/>
      <c r="H275" s="2"/>
      <c r="I275" s="2"/>
      <c r="J275" s="2"/>
      <c r="K275" s="2"/>
      <c r="L275" s="2"/>
      <c r="M275" s="3"/>
      <c r="N275" s="3"/>
      <c r="O275" s="2"/>
      <c r="P275" s="2"/>
      <c r="Q275" s="2"/>
      <c r="R275" s="2"/>
      <c r="S275" s="2"/>
      <c r="T275" s="2"/>
      <c r="U275" s="2"/>
      <c r="V275" s="2"/>
      <c r="W275" s="2"/>
      <c r="X275" s="2"/>
      <c r="Y275" s="2"/>
      <c r="Z275" s="2"/>
      <c r="AA275" s="2"/>
      <c r="AB275" s="2"/>
      <c r="AC275" s="2"/>
    </row>
    <row r="276" spans="1:29" ht="13">
      <c r="A276" s="3"/>
      <c r="B276" s="2"/>
      <c r="C276" s="3"/>
      <c r="D276" s="3"/>
      <c r="E276" s="1"/>
      <c r="F276" s="1"/>
      <c r="G276" s="1"/>
      <c r="H276" s="2"/>
      <c r="I276" s="2"/>
      <c r="J276" s="2"/>
      <c r="K276" s="2"/>
      <c r="L276" s="2"/>
      <c r="M276" s="3"/>
      <c r="N276" s="3"/>
      <c r="O276" s="2"/>
      <c r="P276" s="2"/>
      <c r="Q276" s="2"/>
      <c r="R276" s="2"/>
      <c r="S276" s="2"/>
      <c r="T276" s="2"/>
      <c r="U276" s="2"/>
      <c r="V276" s="2"/>
      <c r="W276" s="2"/>
      <c r="X276" s="2"/>
      <c r="Y276" s="2"/>
      <c r="Z276" s="2"/>
      <c r="AA276" s="2"/>
      <c r="AB276" s="2"/>
      <c r="AC276" s="2"/>
    </row>
    <row r="277" spans="1:29" ht="13">
      <c r="A277" s="3"/>
      <c r="B277" s="2"/>
      <c r="C277" s="3"/>
      <c r="D277" s="3"/>
      <c r="E277" s="1"/>
      <c r="F277" s="1"/>
      <c r="G277" s="1"/>
      <c r="H277" s="2"/>
      <c r="I277" s="2"/>
      <c r="J277" s="2"/>
      <c r="K277" s="2"/>
      <c r="L277" s="2"/>
      <c r="M277" s="3"/>
      <c r="N277" s="3"/>
      <c r="O277" s="2"/>
      <c r="P277" s="2"/>
      <c r="Q277" s="2"/>
      <c r="R277" s="2"/>
      <c r="S277" s="2"/>
      <c r="T277" s="2"/>
      <c r="U277" s="2"/>
      <c r="V277" s="2"/>
      <c r="W277" s="2"/>
      <c r="X277" s="2"/>
      <c r="Y277" s="2"/>
      <c r="Z277" s="2"/>
      <c r="AA277" s="2"/>
      <c r="AB277" s="2"/>
      <c r="AC277" s="2"/>
    </row>
    <row r="278" spans="1:29" ht="13">
      <c r="A278" s="3"/>
      <c r="B278" s="2"/>
      <c r="C278" s="3"/>
      <c r="D278" s="3"/>
      <c r="E278" s="1"/>
      <c r="F278" s="1"/>
      <c r="G278" s="1"/>
      <c r="H278" s="2"/>
      <c r="I278" s="2"/>
      <c r="J278" s="2"/>
      <c r="K278" s="2"/>
      <c r="L278" s="2"/>
      <c r="M278" s="3"/>
      <c r="N278" s="3"/>
      <c r="O278" s="2"/>
      <c r="P278" s="2"/>
      <c r="Q278" s="2"/>
      <c r="R278" s="2"/>
      <c r="S278" s="2"/>
      <c r="T278" s="2"/>
      <c r="U278" s="2"/>
      <c r="V278" s="2"/>
      <c r="W278" s="2"/>
      <c r="X278" s="2"/>
      <c r="Y278" s="2"/>
      <c r="Z278" s="2"/>
      <c r="AA278" s="2"/>
      <c r="AB278" s="2"/>
      <c r="AC278" s="2"/>
    </row>
    <row r="279" spans="1:29" ht="13">
      <c r="A279" s="3"/>
      <c r="B279" s="2"/>
      <c r="C279" s="3"/>
      <c r="D279" s="3"/>
      <c r="E279" s="1"/>
      <c r="F279" s="1"/>
      <c r="G279" s="1"/>
      <c r="H279" s="2"/>
      <c r="I279" s="2"/>
      <c r="J279" s="2"/>
      <c r="K279" s="2"/>
      <c r="L279" s="2"/>
      <c r="M279" s="3"/>
      <c r="N279" s="3"/>
      <c r="O279" s="2"/>
      <c r="P279" s="2"/>
      <c r="Q279" s="2"/>
      <c r="R279" s="2"/>
      <c r="S279" s="2"/>
      <c r="T279" s="2"/>
      <c r="U279" s="2"/>
      <c r="V279" s="2"/>
      <c r="W279" s="2"/>
      <c r="X279" s="2"/>
      <c r="Y279" s="2"/>
      <c r="Z279" s="2"/>
      <c r="AA279" s="2"/>
      <c r="AB279" s="2"/>
      <c r="AC279" s="2"/>
    </row>
    <row r="280" spans="1:29" ht="13">
      <c r="A280" s="3"/>
      <c r="B280" s="2"/>
      <c r="C280" s="3"/>
      <c r="D280" s="3"/>
      <c r="E280" s="1"/>
      <c r="F280" s="1"/>
      <c r="G280" s="1"/>
      <c r="H280" s="2"/>
      <c r="I280" s="2"/>
      <c r="J280" s="2"/>
      <c r="K280" s="2"/>
      <c r="L280" s="2"/>
      <c r="M280" s="3"/>
      <c r="N280" s="3"/>
      <c r="O280" s="2"/>
      <c r="P280" s="2"/>
      <c r="Q280" s="2"/>
      <c r="R280" s="2"/>
      <c r="S280" s="2"/>
      <c r="T280" s="2"/>
      <c r="U280" s="2"/>
      <c r="V280" s="2"/>
      <c r="W280" s="2"/>
      <c r="X280" s="2"/>
      <c r="Y280" s="2"/>
      <c r="Z280" s="2"/>
      <c r="AA280" s="2"/>
      <c r="AB280" s="2"/>
      <c r="AC280" s="2"/>
    </row>
    <row r="281" spans="1:29" ht="13">
      <c r="A281" s="3"/>
      <c r="B281" s="2"/>
      <c r="C281" s="3"/>
      <c r="D281" s="3"/>
      <c r="E281" s="1"/>
      <c r="F281" s="1"/>
      <c r="G281" s="1"/>
      <c r="H281" s="2"/>
      <c r="I281" s="2"/>
      <c r="J281" s="2"/>
      <c r="K281" s="2"/>
      <c r="L281" s="2"/>
      <c r="M281" s="3"/>
      <c r="N281" s="3"/>
      <c r="O281" s="2"/>
      <c r="P281" s="2"/>
      <c r="Q281" s="2"/>
      <c r="R281" s="2"/>
      <c r="S281" s="2"/>
      <c r="T281" s="2"/>
      <c r="U281" s="2"/>
      <c r="V281" s="2"/>
      <c r="W281" s="2"/>
      <c r="X281" s="2"/>
      <c r="Y281" s="2"/>
      <c r="Z281" s="2"/>
      <c r="AA281" s="2"/>
      <c r="AB281" s="2"/>
      <c r="AC281" s="2"/>
    </row>
    <row r="282" spans="1:29" ht="13">
      <c r="A282" s="3"/>
      <c r="B282" s="2"/>
      <c r="C282" s="3"/>
      <c r="D282" s="3"/>
      <c r="E282" s="1"/>
      <c r="F282" s="1"/>
      <c r="G282" s="1"/>
      <c r="H282" s="2"/>
      <c r="I282" s="2"/>
      <c r="J282" s="2"/>
      <c r="K282" s="2"/>
      <c r="L282" s="2"/>
      <c r="M282" s="3"/>
      <c r="N282" s="3"/>
      <c r="O282" s="2"/>
      <c r="P282" s="2"/>
      <c r="Q282" s="2"/>
      <c r="R282" s="2"/>
      <c r="S282" s="2"/>
      <c r="T282" s="2"/>
      <c r="U282" s="2"/>
      <c r="V282" s="2"/>
      <c r="W282" s="2"/>
      <c r="X282" s="2"/>
      <c r="Y282" s="2"/>
      <c r="Z282" s="2"/>
      <c r="AA282" s="2"/>
      <c r="AB282" s="2"/>
      <c r="AC282" s="2"/>
    </row>
    <row r="283" spans="1:29" ht="13">
      <c r="A283" s="3"/>
      <c r="B283" s="2"/>
      <c r="C283" s="3"/>
      <c r="D283" s="3"/>
      <c r="E283" s="1"/>
      <c r="F283" s="1"/>
      <c r="G283" s="1"/>
      <c r="H283" s="2"/>
      <c r="I283" s="2"/>
      <c r="J283" s="2"/>
      <c r="K283" s="2"/>
      <c r="L283" s="2"/>
      <c r="M283" s="3"/>
      <c r="N283" s="3"/>
      <c r="O283" s="2"/>
      <c r="P283" s="2"/>
      <c r="Q283" s="2"/>
      <c r="R283" s="2"/>
      <c r="S283" s="2"/>
      <c r="T283" s="2"/>
      <c r="U283" s="2"/>
      <c r="V283" s="2"/>
      <c r="W283" s="2"/>
      <c r="X283" s="2"/>
      <c r="Y283" s="2"/>
      <c r="Z283" s="2"/>
      <c r="AA283" s="2"/>
      <c r="AB283" s="2"/>
      <c r="AC283" s="2"/>
    </row>
    <row r="284" spans="1:29" ht="13">
      <c r="A284" s="3"/>
      <c r="B284" s="2"/>
      <c r="C284" s="3"/>
      <c r="D284" s="3"/>
      <c r="E284" s="1"/>
      <c r="F284" s="1"/>
      <c r="G284" s="1"/>
      <c r="H284" s="2"/>
      <c r="I284" s="2"/>
      <c r="J284" s="2"/>
      <c r="K284" s="2"/>
      <c r="L284" s="2"/>
      <c r="M284" s="3"/>
      <c r="N284" s="3"/>
      <c r="O284" s="2"/>
      <c r="P284" s="2"/>
      <c r="Q284" s="2"/>
      <c r="R284" s="2"/>
      <c r="S284" s="2"/>
      <c r="T284" s="2"/>
      <c r="U284" s="2"/>
      <c r="V284" s="2"/>
      <c r="W284" s="2"/>
      <c r="X284" s="2"/>
      <c r="Y284" s="2"/>
      <c r="Z284" s="2"/>
      <c r="AA284" s="2"/>
      <c r="AB284" s="2"/>
      <c r="AC284" s="2"/>
    </row>
    <row r="285" spans="1:29" ht="13">
      <c r="A285" s="3"/>
      <c r="B285" s="2"/>
      <c r="C285" s="3"/>
      <c r="D285" s="3"/>
      <c r="E285" s="1"/>
      <c r="F285" s="1"/>
      <c r="G285" s="1"/>
      <c r="H285" s="2"/>
      <c r="I285" s="2"/>
      <c r="J285" s="2"/>
      <c r="K285" s="2"/>
      <c r="L285" s="2"/>
      <c r="M285" s="3"/>
      <c r="N285" s="3"/>
      <c r="O285" s="2"/>
      <c r="P285" s="2"/>
      <c r="Q285" s="2"/>
      <c r="R285" s="2"/>
      <c r="S285" s="2"/>
      <c r="T285" s="2"/>
      <c r="U285" s="2"/>
      <c r="V285" s="2"/>
      <c r="W285" s="2"/>
      <c r="X285" s="2"/>
      <c r="Y285" s="2"/>
      <c r="Z285" s="2"/>
      <c r="AA285" s="2"/>
      <c r="AB285" s="2"/>
      <c r="AC285" s="2"/>
    </row>
    <row r="286" spans="1:29" ht="13">
      <c r="A286" s="3"/>
      <c r="B286" s="2"/>
      <c r="C286" s="3"/>
      <c r="D286" s="3"/>
      <c r="E286" s="1"/>
      <c r="F286" s="1"/>
      <c r="G286" s="1"/>
      <c r="H286" s="2"/>
      <c r="I286" s="2"/>
      <c r="J286" s="2"/>
      <c r="K286" s="2"/>
      <c r="L286" s="2"/>
      <c r="M286" s="3"/>
      <c r="N286" s="3"/>
      <c r="O286" s="2"/>
      <c r="P286" s="2"/>
      <c r="Q286" s="2"/>
      <c r="R286" s="2"/>
      <c r="S286" s="2"/>
      <c r="T286" s="2"/>
      <c r="U286" s="2"/>
      <c r="V286" s="2"/>
      <c r="W286" s="2"/>
      <c r="X286" s="2"/>
      <c r="Y286" s="2"/>
      <c r="Z286" s="2"/>
      <c r="AA286" s="2"/>
      <c r="AB286" s="2"/>
      <c r="AC286" s="2"/>
    </row>
    <row r="287" spans="1:29" ht="13">
      <c r="A287" s="3"/>
      <c r="B287" s="2"/>
      <c r="C287" s="3"/>
      <c r="D287" s="3"/>
      <c r="E287" s="1"/>
      <c r="F287" s="1"/>
      <c r="G287" s="1"/>
      <c r="H287" s="2"/>
      <c r="I287" s="2"/>
      <c r="J287" s="2"/>
      <c r="K287" s="2"/>
      <c r="L287" s="2"/>
      <c r="M287" s="3"/>
      <c r="N287" s="3"/>
      <c r="O287" s="2"/>
      <c r="P287" s="2"/>
      <c r="Q287" s="2"/>
      <c r="R287" s="2"/>
      <c r="S287" s="2"/>
      <c r="T287" s="2"/>
      <c r="U287" s="2"/>
      <c r="V287" s="2"/>
      <c r="W287" s="2"/>
      <c r="X287" s="2"/>
      <c r="Y287" s="2"/>
      <c r="Z287" s="2"/>
      <c r="AA287" s="2"/>
      <c r="AB287" s="2"/>
      <c r="AC287" s="2"/>
    </row>
    <row r="288" spans="1:29" ht="13">
      <c r="A288" s="3"/>
      <c r="B288" s="2"/>
      <c r="C288" s="3"/>
      <c r="D288" s="3"/>
      <c r="E288" s="1"/>
      <c r="F288" s="1"/>
      <c r="G288" s="1"/>
      <c r="H288" s="2"/>
      <c r="I288" s="2"/>
      <c r="J288" s="2"/>
      <c r="K288" s="2"/>
      <c r="L288" s="2"/>
      <c r="M288" s="3"/>
      <c r="N288" s="3"/>
      <c r="O288" s="2"/>
      <c r="P288" s="2"/>
      <c r="Q288" s="2"/>
      <c r="R288" s="2"/>
      <c r="S288" s="2"/>
      <c r="T288" s="2"/>
      <c r="U288" s="2"/>
      <c r="V288" s="2"/>
      <c r="W288" s="2"/>
      <c r="X288" s="2"/>
      <c r="Y288" s="2"/>
      <c r="Z288" s="2"/>
      <c r="AA288" s="2"/>
      <c r="AB288" s="2"/>
      <c r="AC288" s="2"/>
    </row>
    <row r="289" spans="1:29" ht="13">
      <c r="A289" s="3"/>
      <c r="B289" s="2"/>
      <c r="C289" s="3"/>
      <c r="D289" s="3"/>
      <c r="E289" s="1"/>
      <c r="F289" s="1"/>
      <c r="G289" s="1"/>
      <c r="H289" s="2"/>
      <c r="I289" s="2"/>
      <c r="J289" s="2"/>
      <c r="K289" s="2"/>
      <c r="L289" s="2"/>
      <c r="M289" s="3"/>
      <c r="N289" s="3"/>
      <c r="O289" s="2"/>
      <c r="P289" s="2"/>
      <c r="Q289" s="2"/>
      <c r="R289" s="2"/>
      <c r="S289" s="2"/>
      <c r="T289" s="2"/>
      <c r="U289" s="2"/>
      <c r="V289" s="2"/>
      <c r="W289" s="2"/>
      <c r="X289" s="2"/>
      <c r="Y289" s="2"/>
      <c r="Z289" s="2"/>
      <c r="AA289" s="2"/>
      <c r="AB289" s="2"/>
      <c r="AC289" s="2"/>
    </row>
    <row r="290" spans="1:29" ht="13">
      <c r="A290" s="3"/>
      <c r="B290" s="2"/>
      <c r="C290" s="3"/>
      <c r="D290" s="3"/>
      <c r="E290" s="1"/>
      <c r="F290" s="1"/>
      <c r="G290" s="1"/>
      <c r="H290" s="2"/>
      <c r="I290" s="2"/>
      <c r="J290" s="2"/>
      <c r="K290" s="2"/>
      <c r="L290" s="2"/>
      <c r="M290" s="3"/>
      <c r="N290" s="3"/>
      <c r="O290" s="2"/>
      <c r="P290" s="2"/>
      <c r="Q290" s="2"/>
      <c r="R290" s="2"/>
      <c r="S290" s="2"/>
      <c r="T290" s="2"/>
      <c r="U290" s="2"/>
      <c r="V290" s="2"/>
      <c r="W290" s="2"/>
      <c r="X290" s="2"/>
      <c r="Y290" s="2"/>
      <c r="Z290" s="2"/>
      <c r="AA290" s="2"/>
      <c r="AB290" s="2"/>
      <c r="AC290" s="2"/>
    </row>
    <row r="291" spans="1:29" ht="13">
      <c r="A291" s="3"/>
      <c r="B291" s="2"/>
      <c r="C291" s="3"/>
      <c r="D291" s="3"/>
      <c r="E291" s="1"/>
      <c r="F291" s="1"/>
      <c r="G291" s="1"/>
      <c r="H291" s="2"/>
      <c r="I291" s="2"/>
      <c r="J291" s="2"/>
      <c r="K291" s="2"/>
      <c r="L291" s="2"/>
      <c r="M291" s="3"/>
      <c r="N291" s="3"/>
      <c r="O291" s="2"/>
      <c r="P291" s="2"/>
      <c r="Q291" s="2"/>
      <c r="R291" s="2"/>
      <c r="S291" s="2"/>
      <c r="T291" s="2"/>
      <c r="U291" s="2"/>
      <c r="V291" s="2"/>
      <c r="W291" s="2"/>
      <c r="X291" s="2"/>
      <c r="Y291" s="2"/>
      <c r="Z291" s="2"/>
      <c r="AA291" s="2"/>
      <c r="AB291" s="2"/>
      <c r="AC291" s="2"/>
    </row>
    <row r="292" spans="1:29" ht="13">
      <c r="A292" s="3"/>
      <c r="B292" s="2"/>
      <c r="C292" s="3"/>
      <c r="D292" s="3"/>
      <c r="E292" s="1"/>
      <c r="F292" s="1"/>
      <c r="G292" s="1"/>
      <c r="H292" s="2"/>
      <c r="I292" s="2"/>
      <c r="J292" s="2"/>
      <c r="K292" s="2"/>
      <c r="L292" s="2"/>
      <c r="M292" s="3"/>
      <c r="N292" s="3"/>
      <c r="O292" s="2"/>
      <c r="P292" s="2"/>
      <c r="Q292" s="2"/>
      <c r="R292" s="2"/>
      <c r="S292" s="2"/>
      <c r="T292" s="2"/>
      <c r="U292" s="2"/>
      <c r="V292" s="2"/>
      <c r="W292" s="2"/>
      <c r="X292" s="2"/>
      <c r="Y292" s="2"/>
      <c r="Z292" s="2"/>
      <c r="AA292" s="2"/>
      <c r="AB292" s="2"/>
      <c r="AC292" s="2"/>
    </row>
    <row r="293" spans="1:29" ht="13">
      <c r="A293" s="3"/>
      <c r="B293" s="2"/>
      <c r="C293" s="3"/>
      <c r="D293" s="3"/>
      <c r="E293" s="1"/>
      <c r="F293" s="1"/>
      <c r="G293" s="1"/>
      <c r="H293" s="2"/>
      <c r="I293" s="2"/>
      <c r="J293" s="2"/>
      <c r="K293" s="2"/>
      <c r="L293" s="2"/>
      <c r="M293" s="3"/>
      <c r="N293" s="3"/>
      <c r="O293" s="2"/>
      <c r="P293" s="2"/>
      <c r="Q293" s="2"/>
      <c r="R293" s="2"/>
      <c r="S293" s="2"/>
      <c r="T293" s="2"/>
      <c r="U293" s="2"/>
      <c r="V293" s="2"/>
      <c r="W293" s="2"/>
      <c r="X293" s="2"/>
      <c r="Y293" s="2"/>
      <c r="Z293" s="2"/>
      <c r="AA293" s="2"/>
      <c r="AB293" s="2"/>
      <c r="AC293" s="2"/>
    </row>
    <row r="294" spans="1:29" ht="13">
      <c r="A294" s="3"/>
      <c r="B294" s="2"/>
      <c r="C294" s="3"/>
      <c r="D294" s="3"/>
      <c r="E294" s="1"/>
      <c r="F294" s="1"/>
      <c r="G294" s="1"/>
      <c r="H294" s="2"/>
      <c r="I294" s="2"/>
      <c r="J294" s="2"/>
      <c r="K294" s="2"/>
      <c r="L294" s="2"/>
      <c r="M294" s="3"/>
      <c r="N294" s="3"/>
      <c r="O294" s="2"/>
      <c r="P294" s="2"/>
      <c r="Q294" s="2"/>
      <c r="R294" s="2"/>
      <c r="S294" s="2"/>
      <c r="T294" s="2"/>
      <c r="U294" s="2"/>
      <c r="V294" s="2"/>
      <c r="W294" s="2"/>
      <c r="X294" s="2"/>
      <c r="Y294" s="2"/>
      <c r="Z294" s="2"/>
      <c r="AA294" s="2"/>
      <c r="AB294" s="2"/>
      <c r="AC294" s="2"/>
    </row>
    <row r="295" spans="1:29" ht="13">
      <c r="A295" s="3"/>
      <c r="B295" s="2"/>
      <c r="C295" s="3"/>
      <c r="D295" s="3"/>
      <c r="E295" s="1"/>
      <c r="F295" s="1"/>
      <c r="G295" s="1"/>
      <c r="H295" s="2"/>
      <c r="I295" s="2"/>
      <c r="J295" s="2"/>
      <c r="K295" s="2"/>
      <c r="L295" s="2"/>
      <c r="M295" s="3"/>
      <c r="N295" s="3"/>
      <c r="O295" s="2"/>
      <c r="P295" s="2"/>
      <c r="Q295" s="2"/>
      <c r="R295" s="2"/>
      <c r="S295" s="2"/>
      <c r="T295" s="2"/>
      <c r="U295" s="2"/>
      <c r="V295" s="2"/>
      <c r="W295" s="2"/>
      <c r="X295" s="2"/>
      <c r="Y295" s="2"/>
      <c r="Z295" s="2"/>
      <c r="AA295" s="2"/>
      <c r="AB295" s="2"/>
      <c r="AC295" s="2"/>
    </row>
    <row r="296" spans="1:29" ht="13">
      <c r="A296" s="3"/>
      <c r="B296" s="2"/>
      <c r="C296" s="3"/>
      <c r="D296" s="3"/>
      <c r="E296" s="1"/>
      <c r="F296" s="1"/>
      <c r="G296" s="1"/>
      <c r="H296" s="2"/>
      <c r="I296" s="2"/>
      <c r="J296" s="2"/>
      <c r="K296" s="2"/>
      <c r="L296" s="2"/>
      <c r="M296" s="3"/>
      <c r="N296" s="3"/>
      <c r="O296" s="2"/>
      <c r="P296" s="2"/>
      <c r="Q296" s="2"/>
      <c r="R296" s="2"/>
      <c r="S296" s="2"/>
      <c r="T296" s="2"/>
      <c r="U296" s="2"/>
      <c r="V296" s="2"/>
      <c r="W296" s="2"/>
      <c r="X296" s="2"/>
      <c r="Y296" s="2"/>
      <c r="Z296" s="2"/>
      <c r="AA296" s="2"/>
      <c r="AB296" s="2"/>
      <c r="AC296" s="2"/>
    </row>
    <row r="297" spans="1:29" ht="13">
      <c r="A297" s="3"/>
      <c r="B297" s="2"/>
      <c r="C297" s="3"/>
      <c r="D297" s="3"/>
      <c r="E297" s="1"/>
      <c r="F297" s="1"/>
      <c r="G297" s="1"/>
      <c r="H297" s="2"/>
      <c r="I297" s="2"/>
      <c r="J297" s="2"/>
      <c r="K297" s="2"/>
      <c r="L297" s="2"/>
      <c r="M297" s="3"/>
      <c r="N297" s="3"/>
      <c r="O297" s="2"/>
      <c r="P297" s="2"/>
      <c r="Q297" s="2"/>
      <c r="R297" s="2"/>
      <c r="S297" s="2"/>
      <c r="T297" s="2"/>
      <c r="U297" s="2"/>
      <c r="V297" s="2"/>
      <c r="W297" s="2"/>
      <c r="X297" s="2"/>
      <c r="Y297" s="2"/>
      <c r="Z297" s="2"/>
      <c r="AA297" s="2"/>
      <c r="AB297" s="2"/>
      <c r="AC297" s="2"/>
    </row>
    <row r="298" spans="1:29" ht="13">
      <c r="A298" s="3"/>
      <c r="B298" s="2"/>
      <c r="C298" s="3"/>
      <c r="D298" s="3"/>
      <c r="E298" s="1"/>
      <c r="F298" s="1"/>
      <c r="G298" s="1"/>
      <c r="H298" s="2"/>
      <c r="I298" s="2"/>
      <c r="J298" s="2"/>
      <c r="K298" s="2"/>
      <c r="L298" s="2"/>
      <c r="M298" s="3"/>
      <c r="N298" s="3"/>
      <c r="O298" s="2"/>
      <c r="P298" s="2"/>
      <c r="Q298" s="2"/>
      <c r="R298" s="2"/>
      <c r="S298" s="2"/>
      <c r="T298" s="2"/>
      <c r="U298" s="2"/>
      <c r="V298" s="2"/>
      <c r="W298" s="2"/>
      <c r="X298" s="2"/>
      <c r="Y298" s="2"/>
      <c r="Z298" s="2"/>
      <c r="AA298" s="2"/>
      <c r="AB298" s="2"/>
      <c r="AC298" s="2"/>
    </row>
    <row r="299" spans="1:29" ht="13">
      <c r="A299" s="3"/>
      <c r="B299" s="2"/>
      <c r="C299" s="3"/>
      <c r="D299" s="3"/>
      <c r="E299" s="1"/>
      <c r="F299" s="1"/>
      <c r="G299" s="1"/>
      <c r="H299" s="2"/>
      <c r="I299" s="2"/>
      <c r="J299" s="2"/>
      <c r="K299" s="2"/>
      <c r="L299" s="2"/>
      <c r="M299" s="3"/>
      <c r="N299" s="3"/>
      <c r="O299" s="2"/>
      <c r="P299" s="2"/>
      <c r="Q299" s="2"/>
      <c r="R299" s="2"/>
      <c r="S299" s="2"/>
      <c r="T299" s="2"/>
      <c r="U299" s="2"/>
      <c r="V299" s="2"/>
      <c r="W299" s="2"/>
      <c r="X299" s="2"/>
      <c r="Y299" s="2"/>
      <c r="Z299" s="2"/>
      <c r="AA299" s="2"/>
      <c r="AB299" s="2"/>
      <c r="AC299" s="2"/>
    </row>
    <row r="300" spans="1:29" ht="13">
      <c r="A300" s="3"/>
      <c r="B300" s="2"/>
      <c r="C300" s="3"/>
      <c r="D300" s="3"/>
      <c r="E300" s="1"/>
      <c r="F300" s="1"/>
      <c r="G300" s="1"/>
      <c r="H300" s="2"/>
      <c r="I300" s="2"/>
      <c r="J300" s="2"/>
      <c r="K300" s="2"/>
      <c r="L300" s="2"/>
      <c r="M300" s="3"/>
      <c r="N300" s="3"/>
      <c r="O300" s="2"/>
      <c r="P300" s="2"/>
      <c r="Q300" s="2"/>
      <c r="R300" s="2"/>
      <c r="S300" s="2"/>
      <c r="T300" s="2"/>
      <c r="U300" s="2"/>
      <c r="V300" s="2"/>
      <c r="W300" s="2"/>
      <c r="X300" s="2"/>
      <c r="Y300" s="2"/>
      <c r="Z300" s="2"/>
      <c r="AA300" s="2"/>
      <c r="AB300" s="2"/>
      <c r="AC300" s="2"/>
    </row>
    <row r="301" spans="1:29" ht="13">
      <c r="A301" s="3"/>
      <c r="B301" s="2"/>
      <c r="C301" s="3"/>
      <c r="D301" s="3"/>
      <c r="E301" s="1"/>
      <c r="F301" s="1"/>
      <c r="G301" s="1"/>
      <c r="H301" s="2"/>
      <c r="I301" s="2"/>
      <c r="J301" s="2"/>
      <c r="K301" s="2"/>
      <c r="L301" s="2"/>
      <c r="M301" s="3"/>
      <c r="N301" s="3"/>
      <c r="O301" s="2"/>
      <c r="P301" s="2"/>
      <c r="Q301" s="2"/>
      <c r="R301" s="2"/>
      <c r="S301" s="2"/>
      <c r="T301" s="2"/>
      <c r="U301" s="2"/>
      <c r="V301" s="2"/>
      <c r="W301" s="2"/>
      <c r="X301" s="2"/>
      <c r="Y301" s="2"/>
      <c r="Z301" s="2"/>
      <c r="AA301" s="2"/>
      <c r="AB301" s="2"/>
      <c r="AC301" s="2"/>
    </row>
    <row r="302" spans="1:29" ht="13">
      <c r="A302" s="3"/>
      <c r="B302" s="2"/>
      <c r="C302" s="3"/>
      <c r="D302" s="3"/>
      <c r="E302" s="1"/>
      <c r="F302" s="1"/>
      <c r="G302" s="1"/>
      <c r="H302" s="2"/>
      <c r="I302" s="2"/>
      <c r="J302" s="2"/>
      <c r="K302" s="2"/>
      <c r="L302" s="2"/>
      <c r="M302" s="3"/>
      <c r="N302" s="3"/>
      <c r="O302" s="2"/>
      <c r="P302" s="2"/>
      <c r="Q302" s="2"/>
      <c r="R302" s="2"/>
      <c r="S302" s="2"/>
      <c r="T302" s="2"/>
      <c r="U302" s="2"/>
      <c r="V302" s="2"/>
      <c r="W302" s="2"/>
      <c r="X302" s="2"/>
      <c r="Y302" s="2"/>
      <c r="Z302" s="2"/>
      <c r="AA302" s="2"/>
      <c r="AB302" s="2"/>
      <c r="AC302" s="2"/>
    </row>
    <row r="303" spans="1:29" ht="13">
      <c r="A303" s="3"/>
      <c r="B303" s="2"/>
      <c r="C303" s="3"/>
      <c r="D303" s="3"/>
      <c r="E303" s="1"/>
      <c r="F303" s="1"/>
      <c r="G303" s="1"/>
      <c r="H303" s="2"/>
      <c r="I303" s="2"/>
      <c r="J303" s="2"/>
      <c r="K303" s="2"/>
      <c r="L303" s="2"/>
      <c r="M303" s="3"/>
      <c r="N303" s="3"/>
      <c r="O303" s="2"/>
      <c r="P303" s="2"/>
      <c r="Q303" s="2"/>
      <c r="R303" s="2"/>
      <c r="S303" s="2"/>
      <c r="T303" s="2"/>
      <c r="U303" s="2"/>
      <c r="V303" s="2"/>
      <c r="W303" s="2"/>
      <c r="X303" s="2"/>
      <c r="Y303" s="2"/>
      <c r="Z303" s="2"/>
      <c r="AA303" s="2"/>
      <c r="AB303" s="2"/>
      <c r="AC303" s="2"/>
    </row>
    <row r="304" spans="1:29" ht="13">
      <c r="A304" s="3"/>
      <c r="B304" s="2"/>
      <c r="C304" s="3"/>
      <c r="D304" s="3"/>
      <c r="E304" s="1"/>
      <c r="F304" s="1"/>
      <c r="G304" s="1"/>
      <c r="H304" s="2"/>
      <c r="I304" s="2"/>
      <c r="J304" s="2"/>
      <c r="K304" s="2"/>
      <c r="L304" s="2"/>
      <c r="M304" s="3"/>
      <c r="N304" s="3"/>
      <c r="O304" s="2"/>
      <c r="P304" s="2"/>
      <c r="Q304" s="2"/>
      <c r="R304" s="2"/>
      <c r="S304" s="2"/>
      <c r="T304" s="2"/>
      <c r="U304" s="2"/>
      <c r="V304" s="2"/>
      <c r="W304" s="2"/>
      <c r="X304" s="2"/>
      <c r="Y304" s="2"/>
      <c r="Z304" s="2"/>
      <c r="AA304" s="2"/>
      <c r="AB304" s="2"/>
      <c r="AC304" s="2"/>
    </row>
    <row r="305" spans="1:29" ht="13">
      <c r="A305" s="3"/>
      <c r="B305" s="2"/>
      <c r="C305" s="3"/>
      <c r="D305" s="3"/>
      <c r="E305" s="1"/>
      <c r="F305" s="1"/>
      <c r="G305" s="1"/>
      <c r="H305" s="2"/>
      <c r="I305" s="2"/>
      <c r="J305" s="2"/>
      <c r="K305" s="2"/>
      <c r="L305" s="2"/>
      <c r="M305" s="3"/>
      <c r="N305" s="3"/>
      <c r="O305" s="2"/>
      <c r="P305" s="2"/>
      <c r="Q305" s="2"/>
      <c r="R305" s="2"/>
      <c r="S305" s="2"/>
      <c r="T305" s="2"/>
      <c r="U305" s="2"/>
      <c r="V305" s="2"/>
      <c r="W305" s="2"/>
      <c r="X305" s="2"/>
      <c r="Y305" s="2"/>
      <c r="Z305" s="2"/>
      <c r="AA305" s="2"/>
      <c r="AB305" s="2"/>
      <c r="AC305" s="2"/>
    </row>
    <row r="306" spans="1:29" ht="13">
      <c r="A306" s="3"/>
      <c r="B306" s="2"/>
      <c r="C306" s="3"/>
      <c r="D306" s="3"/>
      <c r="E306" s="1"/>
      <c r="F306" s="1"/>
      <c r="G306" s="1"/>
      <c r="H306" s="2"/>
      <c r="I306" s="2"/>
      <c r="J306" s="2"/>
      <c r="K306" s="2"/>
      <c r="L306" s="2"/>
      <c r="M306" s="3"/>
      <c r="N306" s="3"/>
      <c r="O306" s="2"/>
      <c r="P306" s="2"/>
      <c r="Q306" s="2"/>
      <c r="R306" s="2"/>
      <c r="S306" s="2"/>
      <c r="T306" s="2"/>
      <c r="U306" s="2"/>
      <c r="V306" s="2"/>
      <c r="W306" s="2"/>
      <c r="X306" s="2"/>
      <c r="Y306" s="2"/>
      <c r="Z306" s="2"/>
      <c r="AA306" s="2"/>
      <c r="AB306" s="2"/>
      <c r="AC306" s="2"/>
    </row>
    <row r="307" spans="1:29" ht="13">
      <c r="A307" s="3"/>
      <c r="B307" s="2"/>
      <c r="C307" s="3"/>
      <c r="D307" s="3"/>
      <c r="E307" s="1"/>
      <c r="F307" s="1"/>
      <c r="G307" s="1"/>
      <c r="H307" s="2"/>
      <c r="I307" s="2"/>
      <c r="J307" s="2"/>
      <c r="K307" s="2"/>
      <c r="L307" s="2"/>
      <c r="M307" s="3"/>
      <c r="N307" s="3"/>
      <c r="O307" s="2"/>
      <c r="P307" s="2"/>
      <c r="Q307" s="2"/>
      <c r="R307" s="2"/>
      <c r="S307" s="2"/>
      <c r="T307" s="2"/>
      <c r="U307" s="2"/>
      <c r="V307" s="2"/>
      <c r="W307" s="2"/>
      <c r="X307" s="2"/>
      <c r="Y307" s="2"/>
      <c r="Z307" s="2"/>
      <c r="AA307" s="2"/>
      <c r="AB307" s="2"/>
      <c r="AC307" s="2"/>
    </row>
    <row r="308" spans="1:29" ht="13">
      <c r="A308" s="3"/>
      <c r="B308" s="2"/>
      <c r="C308" s="3"/>
      <c r="D308" s="3"/>
      <c r="E308" s="1"/>
      <c r="F308" s="1"/>
      <c r="G308" s="1"/>
      <c r="H308" s="2"/>
      <c r="I308" s="2"/>
      <c r="J308" s="2"/>
      <c r="K308" s="2"/>
      <c r="L308" s="2"/>
      <c r="M308" s="3"/>
      <c r="N308" s="3"/>
      <c r="O308" s="2"/>
      <c r="P308" s="2"/>
      <c r="Q308" s="2"/>
      <c r="R308" s="2"/>
      <c r="S308" s="2"/>
      <c r="T308" s="2"/>
      <c r="U308" s="2"/>
      <c r="V308" s="2"/>
      <c r="W308" s="2"/>
      <c r="X308" s="2"/>
      <c r="Y308" s="2"/>
      <c r="Z308" s="2"/>
      <c r="AA308" s="2"/>
      <c r="AB308" s="2"/>
      <c r="AC308" s="2"/>
    </row>
    <row r="309" spans="1:29" ht="13">
      <c r="A309" s="3"/>
      <c r="B309" s="2"/>
      <c r="C309" s="3"/>
      <c r="D309" s="3"/>
      <c r="E309" s="1"/>
      <c r="F309" s="1"/>
      <c r="G309" s="1"/>
      <c r="H309" s="2"/>
      <c r="I309" s="2"/>
      <c r="J309" s="2"/>
      <c r="K309" s="2"/>
      <c r="L309" s="2"/>
      <c r="M309" s="3"/>
      <c r="N309" s="3"/>
      <c r="O309" s="2"/>
      <c r="P309" s="2"/>
      <c r="Q309" s="2"/>
      <c r="R309" s="2"/>
      <c r="S309" s="2"/>
      <c r="T309" s="2"/>
      <c r="U309" s="2"/>
      <c r="V309" s="2"/>
      <c r="W309" s="2"/>
      <c r="X309" s="2"/>
      <c r="Y309" s="2"/>
      <c r="Z309" s="2"/>
      <c r="AA309" s="2"/>
      <c r="AB309" s="2"/>
      <c r="AC309" s="2"/>
    </row>
    <row r="310" spans="1:29" ht="13">
      <c r="A310" s="3"/>
      <c r="B310" s="2"/>
      <c r="C310" s="3"/>
      <c r="D310" s="3"/>
      <c r="E310" s="1"/>
      <c r="F310" s="1"/>
      <c r="G310" s="1"/>
      <c r="H310" s="2"/>
      <c r="I310" s="2"/>
      <c r="J310" s="2"/>
      <c r="K310" s="2"/>
      <c r="L310" s="2"/>
      <c r="M310" s="3"/>
      <c r="N310" s="3"/>
      <c r="O310" s="2"/>
      <c r="P310" s="2"/>
      <c r="Q310" s="2"/>
      <c r="R310" s="2"/>
      <c r="S310" s="2"/>
      <c r="T310" s="2"/>
      <c r="U310" s="2"/>
      <c r="V310" s="2"/>
      <c r="W310" s="2"/>
      <c r="X310" s="2"/>
      <c r="Y310" s="2"/>
      <c r="Z310" s="2"/>
      <c r="AA310" s="2"/>
      <c r="AB310" s="2"/>
      <c r="AC310" s="2"/>
    </row>
    <row r="311" spans="1:29" ht="13">
      <c r="A311" s="3"/>
      <c r="B311" s="2"/>
      <c r="C311" s="3"/>
      <c r="D311" s="3"/>
      <c r="E311" s="1"/>
      <c r="F311" s="1"/>
      <c r="G311" s="1"/>
      <c r="H311" s="2"/>
      <c r="I311" s="2"/>
      <c r="J311" s="2"/>
      <c r="K311" s="2"/>
      <c r="L311" s="2"/>
      <c r="M311" s="3"/>
      <c r="N311" s="3"/>
      <c r="O311" s="2"/>
      <c r="P311" s="2"/>
      <c r="Q311" s="2"/>
      <c r="R311" s="2"/>
      <c r="S311" s="2"/>
      <c r="T311" s="2"/>
      <c r="U311" s="2"/>
      <c r="V311" s="2"/>
      <c r="W311" s="2"/>
      <c r="X311" s="2"/>
      <c r="Y311" s="2"/>
      <c r="Z311" s="2"/>
      <c r="AA311" s="2"/>
      <c r="AB311" s="2"/>
      <c r="AC311" s="2"/>
    </row>
    <row r="312" spans="1:29" ht="13">
      <c r="A312" s="3"/>
      <c r="B312" s="2"/>
      <c r="C312" s="3"/>
      <c r="D312" s="3"/>
      <c r="E312" s="1"/>
      <c r="F312" s="1"/>
      <c r="G312" s="1"/>
      <c r="H312" s="2"/>
      <c r="I312" s="2"/>
      <c r="J312" s="2"/>
      <c r="K312" s="2"/>
      <c r="L312" s="2"/>
      <c r="M312" s="3"/>
      <c r="N312" s="3"/>
      <c r="O312" s="2"/>
      <c r="P312" s="2"/>
      <c r="Q312" s="2"/>
      <c r="R312" s="2"/>
      <c r="S312" s="2"/>
      <c r="T312" s="2"/>
      <c r="U312" s="2"/>
      <c r="V312" s="2"/>
      <c r="W312" s="2"/>
      <c r="X312" s="2"/>
      <c r="Y312" s="2"/>
      <c r="Z312" s="2"/>
      <c r="AA312" s="2"/>
      <c r="AB312" s="2"/>
      <c r="AC312" s="2"/>
    </row>
    <row r="313" spans="1:29" ht="13">
      <c r="A313" s="3"/>
      <c r="B313" s="2"/>
      <c r="C313" s="3"/>
      <c r="D313" s="3"/>
      <c r="E313" s="1"/>
      <c r="F313" s="1"/>
      <c r="G313" s="1"/>
      <c r="H313" s="2"/>
      <c r="I313" s="2"/>
      <c r="J313" s="2"/>
      <c r="K313" s="2"/>
      <c r="L313" s="2"/>
      <c r="M313" s="3"/>
      <c r="N313" s="3"/>
      <c r="O313" s="2"/>
      <c r="P313" s="2"/>
      <c r="Q313" s="2"/>
      <c r="R313" s="2"/>
      <c r="S313" s="2"/>
      <c r="T313" s="2"/>
      <c r="U313" s="2"/>
      <c r="V313" s="2"/>
      <c r="W313" s="2"/>
      <c r="X313" s="2"/>
      <c r="Y313" s="2"/>
      <c r="Z313" s="2"/>
      <c r="AA313" s="2"/>
      <c r="AB313" s="2"/>
      <c r="AC313" s="2"/>
    </row>
    <row r="314" spans="1:29" ht="13">
      <c r="A314" s="3"/>
      <c r="B314" s="2"/>
      <c r="C314" s="3"/>
      <c r="D314" s="3"/>
      <c r="E314" s="1"/>
      <c r="F314" s="1"/>
      <c r="G314" s="1"/>
      <c r="H314" s="2"/>
      <c r="I314" s="2"/>
      <c r="J314" s="2"/>
      <c r="K314" s="2"/>
      <c r="L314" s="2"/>
      <c r="M314" s="3"/>
      <c r="N314" s="3"/>
      <c r="O314" s="2"/>
      <c r="P314" s="2"/>
      <c r="Q314" s="2"/>
      <c r="R314" s="2"/>
      <c r="S314" s="2"/>
      <c r="T314" s="2"/>
      <c r="U314" s="2"/>
      <c r="V314" s="2"/>
      <c r="W314" s="2"/>
      <c r="X314" s="2"/>
      <c r="Y314" s="2"/>
      <c r="Z314" s="2"/>
      <c r="AA314" s="2"/>
      <c r="AB314" s="2"/>
      <c r="AC314" s="2"/>
    </row>
    <row r="315" spans="1:29" ht="13">
      <c r="A315" s="3"/>
      <c r="B315" s="2"/>
      <c r="C315" s="3"/>
      <c r="D315" s="3"/>
      <c r="E315" s="1"/>
      <c r="F315" s="1"/>
      <c r="G315" s="1"/>
      <c r="H315" s="2"/>
      <c r="I315" s="2"/>
      <c r="J315" s="2"/>
      <c r="K315" s="2"/>
      <c r="L315" s="2"/>
      <c r="M315" s="3"/>
      <c r="N315" s="3"/>
      <c r="O315" s="2"/>
      <c r="P315" s="2"/>
      <c r="Q315" s="2"/>
      <c r="R315" s="2"/>
      <c r="S315" s="2"/>
      <c r="T315" s="2"/>
      <c r="U315" s="2"/>
      <c r="V315" s="2"/>
      <c r="W315" s="2"/>
      <c r="X315" s="2"/>
      <c r="Y315" s="2"/>
      <c r="Z315" s="2"/>
      <c r="AA315" s="2"/>
      <c r="AB315" s="2"/>
      <c r="AC315" s="2"/>
    </row>
    <row r="316" spans="1:29" ht="13">
      <c r="A316" s="3"/>
      <c r="B316" s="2"/>
      <c r="C316" s="3"/>
      <c r="D316" s="3"/>
      <c r="E316" s="1"/>
      <c r="F316" s="1"/>
      <c r="G316" s="1"/>
      <c r="H316" s="2"/>
      <c r="I316" s="2"/>
      <c r="J316" s="2"/>
      <c r="K316" s="2"/>
      <c r="L316" s="2"/>
      <c r="M316" s="3"/>
      <c r="N316" s="3"/>
      <c r="O316" s="2"/>
      <c r="P316" s="2"/>
      <c r="Q316" s="2"/>
      <c r="R316" s="2"/>
      <c r="S316" s="2"/>
      <c r="T316" s="2"/>
      <c r="U316" s="2"/>
      <c r="V316" s="2"/>
      <c r="W316" s="2"/>
      <c r="X316" s="2"/>
      <c r="Y316" s="2"/>
      <c r="Z316" s="2"/>
      <c r="AA316" s="2"/>
      <c r="AB316" s="2"/>
      <c r="AC316" s="2"/>
    </row>
    <row r="317" spans="1:29" ht="13">
      <c r="A317" s="3"/>
      <c r="B317" s="2"/>
      <c r="C317" s="3"/>
      <c r="D317" s="3"/>
      <c r="E317" s="1"/>
      <c r="F317" s="1"/>
      <c r="G317" s="1"/>
      <c r="H317" s="2"/>
      <c r="I317" s="2"/>
      <c r="J317" s="2"/>
      <c r="K317" s="2"/>
      <c r="L317" s="2"/>
      <c r="M317" s="3"/>
      <c r="N317" s="3"/>
      <c r="O317" s="2"/>
      <c r="P317" s="2"/>
      <c r="Q317" s="2"/>
      <c r="R317" s="2"/>
      <c r="S317" s="2"/>
      <c r="T317" s="2"/>
      <c r="U317" s="2"/>
      <c r="V317" s="2"/>
      <c r="W317" s="2"/>
      <c r="X317" s="2"/>
      <c r="Y317" s="2"/>
      <c r="Z317" s="2"/>
      <c r="AA317" s="2"/>
      <c r="AB317" s="2"/>
      <c r="AC317" s="2"/>
    </row>
    <row r="318" spans="1:29" ht="13">
      <c r="A318" s="3"/>
      <c r="B318" s="2"/>
      <c r="C318" s="3"/>
      <c r="D318" s="3"/>
      <c r="E318" s="1"/>
      <c r="F318" s="1"/>
      <c r="G318" s="1"/>
      <c r="H318" s="2"/>
      <c r="I318" s="2"/>
      <c r="J318" s="2"/>
      <c r="K318" s="2"/>
      <c r="L318" s="2"/>
      <c r="M318" s="3"/>
      <c r="N318" s="3"/>
      <c r="O318" s="2"/>
      <c r="P318" s="2"/>
      <c r="Q318" s="2"/>
      <c r="R318" s="2"/>
      <c r="S318" s="2"/>
      <c r="T318" s="2"/>
      <c r="U318" s="2"/>
      <c r="V318" s="2"/>
      <c r="W318" s="2"/>
      <c r="X318" s="2"/>
      <c r="Y318" s="2"/>
      <c r="Z318" s="2"/>
      <c r="AA318" s="2"/>
      <c r="AB318" s="2"/>
      <c r="AC318" s="2"/>
    </row>
    <row r="319" spans="1:29" ht="13">
      <c r="A319" s="3"/>
      <c r="B319" s="2"/>
      <c r="C319" s="3"/>
      <c r="D319" s="3"/>
      <c r="E319" s="1"/>
      <c r="F319" s="1"/>
      <c r="G319" s="1"/>
      <c r="H319" s="2"/>
      <c r="I319" s="2"/>
      <c r="J319" s="2"/>
      <c r="K319" s="2"/>
      <c r="L319" s="2"/>
      <c r="M319" s="3"/>
      <c r="N319" s="3"/>
      <c r="O319" s="2"/>
      <c r="P319" s="2"/>
      <c r="Q319" s="2"/>
      <c r="R319" s="2"/>
      <c r="S319" s="2"/>
      <c r="T319" s="2"/>
      <c r="U319" s="2"/>
      <c r="V319" s="2"/>
      <c r="W319" s="2"/>
      <c r="X319" s="2"/>
      <c r="Y319" s="2"/>
      <c r="Z319" s="2"/>
      <c r="AA319" s="2"/>
      <c r="AB319" s="2"/>
      <c r="AC319" s="2"/>
    </row>
    <row r="320" spans="1:29" ht="13">
      <c r="A320" s="3"/>
      <c r="B320" s="2"/>
      <c r="C320" s="3"/>
      <c r="D320" s="3"/>
      <c r="E320" s="1"/>
      <c r="F320" s="1"/>
      <c r="G320" s="1"/>
      <c r="H320" s="2"/>
      <c r="I320" s="2"/>
      <c r="J320" s="2"/>
      <c r="K320" s="2"/>
      <c r="L320" s="2"/>
      <c r="M320" s="3"/>
      <c r="N320" s="3"/>
      <c r="O320" s="2"/>
      <c r="P320" s="2"/>
      <c r="Q320" s="2"/>
      <c r="R320" s="2"/>
      <c r="S320" s="2"/>
      <c r="T320" s="2"/>
      <c r="U320" s="2"/>
      <c r="V320" s="2"/>
      <c r="W320" s="2"/>
      <c r="X320" s="2"/>
      <c r="Y320" s="2"/>
      <c r="Z320" s="2"/>
      <c r="AA320" s="2"/>
      <c r="AB320" s="2"/>
      <c r="AC320" s="2"/>
    </row>
    <row r="321" spans="1:29" ht="13">
      <c r="A321" s="3"/>
      <c r="B321" s="2"/>
      <c r="C321" s="3"/>
      <c r="D321" s="3"/>
      <c r="E321" s="1"/>
      <c r="F321" s="1"/>
      <c r="G321" s="1"/>
      <c r="H321" s="2"/>
      <c r="I321" s="2"/>
      <c r="J321" s="2"/>
      <c r="K321" s="2"/>
      <c r="L321" s="2"/>
      <c r="M321" s="3"/>
      <c r="N321" s="3"/>
      <c r="O321" s="2"/>
      <c r="P321" s="2"/>
      <c r="Q321" s="2"/>
      <c r="R321" s="2"/>
      <c r="S321" s="2"/>
      <c r="T321" s="2"/>
      <c r="U321" s="2"/>
      <c r="V321" s="2"/>
      <c r="W321" s="2"/>
      <c r="X321" s="2"/>
      <c r="Y321" s="2"/>
      <c r="Z321" s="2"/>
      <c r="AA321" s="2"/>
      <c r="AB321" s="2"/>
      <c r="AC321" s="2"/>
    </row>
    <row r="322" spans="1:29" ht="13">
      <c r="A322" s="3"/>
      <c r="B322" s="2"/>
      <c r="C322" s="3"/>
      <c r="D322" s="3"/>
      <c r="E322" s="1"/>
      <c r="F322" s="1"/>
      <c r="G322" s="1"/>
      <c r="H322" s="2"/>
      <c r="I322" s="2"/>
      <c r="J322" s="2"/>
      <c r="K322" s="2"/>
      <c r="L322" s="2"/>
      <c r="M322" s="3"/>
      <c r="N322" s="3"/>
      <c r="O322" s="2"/>
      <c r="P322" s="2"/>
      <c r="Q322" s="2"/>
      <c r="R322" s="2"/>
      <c r="S322" s="2"/>
      <c r="T322" s="2"/>
      <c r="U322" s="2"/>
      <c r="V322" s="2"/>
      <c r="W322" s="2"/>
      <c r="X322" s="2"/>
      <c r="Y322" s="2"/>
      <c r="Z322" s="2"/>
      <c r="AA322" s="2"/>
      <c r="AB322" s="2"/>
      <c r="AC322" s="2"/>
    </row>
    <row r="323" spans="1:29" ht="13">
      <c r="A323" s="3"/>
      <c r="B323" s="2"/>
      <c r="C323" s="3"/>
      <c r="D323" s="3"/>
      <c r="E323" s="1"/>
      <c r="F323" s="1"/>
      <c r="G323" s="1"/>
      <c r="H323" s="2"/>
      <c r="I323" s="2"/>
      <c r="J323" s="2"/>
      <c r="K323" s="2"/>
      <c r="L323" s="2"/>
      <c r="M323" s="3"/>
      <c r="N323" s="3"/>
      <c r="O323" s="2"/>
      <c r="P323" s="2"/>
      <c r="Q323" s="2"/>
      <c r="R323" s="2"/>
      <c r="S323" s="2"/>
      <c r="T323" s="2"/>
      <c r="U323" s="2"/>
      <c r="V323" s="2"/>
      <c r="W323" s="2"/>
      <c r="X323" s="2"/>
      <c r="Y323" s="2"/>
      <c r="Z323" s="2"/>
      <c r="AA323" s="2"/>
      <c r="AB323" s="2"/>
      <c r="AC323" s="2"/>
    </row>
    <row r="324" spans="1:29" ht="13">
      <c r="A324" s="3"/>
      <c r="B324" s="2"/>
      <c r="C324" s="3"/>
      <c r="D324" s="3"/>
      <c r="E324" s="1"/>
      <c r="F324" s="1"/>
      <c r="G324" s="1"/>
      <c r="H324" s="2"/>
      <c r="I324" s="2"/>
      <c r="J324" s="2"/>
      <c r="K324" s="2"/>
      <c r="L324" s="2"/>
      <c r="M324" s="3"/>
      <c r="N324" s="3"/>
      <c r="O324" s="2"/>
      <c r="P324" s="2"/>
      <c r="Q324" s="2"/>
      <c r="R324" s="2"/>
      <c r="S324" s="2"/>
      <c r="T324" s="2"/>
      <c r="U324" s="2"/>
      <c r="V324" s="2"/>
      <c r="W324" s="2"/>
      <c r="X324" s="2"/>
      <c r="Y324" s="2"/>
      <c r="Z324" s="2"/>
      <c r="AA324" s="2"/>
      <c r="AB324" s="2"/>
      <c r="AC324" s="2"/>
    </row>
    <row r="325" spans="1:29" ht="13">
      <c r="A325" s="3"/>
      <c r="B325" s="2"/>
      <c r="C325" s="3"/>
      <c r="D325" s="3"/>
      <c r="E325" s="1"/>
      <c r="F325" s="1"/>
      <c r="G325" s="1"/>
      <c r="H325" s="2"/>
      <c r="I325" s="2"/>
      <c r="J325" s="2"/>
      <c r="K325" s="2"/>
      <c r="L325" s="2"/>
      <c r="M325" s="3"/>
      <c r="N325" s="3"/>
      <c r="O325" s="2"/>
      <c r="P325" s="2"/>
      <c r="Q325" s="2"/>
      <c r="R325" s="2"/>
      <c r="S325" s="2"/>
      <c r="T325" s="2"/>
      <c r="U325" s="2"/>
      <c r="V325" s="2"/>
      <c r="W325" s="2"/>
      <c r="X325" s="2"/>
      <c r="Y325" s="2"/>
      <c r="Z325" s="2"/>
      <c r="AA325" s="2"/>
      <c r="AB325" s="2"/>
      <c r="AC325" s="2"/>
    </row>
    <row r="326" spans="1:29" ht="13">
      <c r="A326" s="3"/>
      <c r="B326" s="2"/>
      <c r="C326" s="3"/>
      <c r="D326" s="3"/>
      <c r="E326" s="1"/>
      <c r="F326" s="1"/>
      <c r="G326" s="1"/>
      <c r="H326" s="2"/>
      <c r="I326" s="2"/>
      <c r="J326" s="2"/>
      <c r="K326" s="2"/>
      <c r="L326" s="2"/>
      <c r="M326" s="3"/>
      <c r="N326" s="3"/>
      <c r="O326" s="2"/>
      <c r="P326" s="2"/>
      <c r="Q326" s="2"/>
      <c r="R326" s="2"/>
      <c r="S326" s="2"/>
      <c r="T326" s="2"/>
      <c r="U326" s="2"/>
      <c r="V326" s="2"/>
      <c r="W326" s="2"/>
      <c r="X326" s="2"/>
      <c r="Y326" s="2"/>
      <c r="Z326" s="2"/>
      <c r="AA326" s="2"/>
      <c r="AB326" s="2"/>
      <c r="AC326" s="2"/>
    </row>
    <row r="327" spans="1:29" ht="13">
      <c r="A327" s="3"/>
      <c r="B327" s="2"/>
      <c r="C327" s="3"/>
      <c r="D327" s="3"/>
      <c r="E327" s="1"/>
      <c r="F327" s="1"/>
      <c r="G327" s="1"/>
      <c r="H327" s="2"/>
      <c r="I327" s="2"/>
      <c r="J327" s="2"/>
      <c r="K327" s="2"/>
      <c r="L327" s="2"/>
      <c r="M327" s="3"/>
      <c r="N327" s="3"/>
      <c r="O327" s="2"/>
      <c r="P327" s="2"/>
      <c r="Q327" s="2"/>
      <c r="R327" s="2"/>
      <c r="S327" s="2"/>
      <c r="T327" s="2"/>
      <c r="U327" s="2"/>
      <c r="V327" s="2"/>
      <c r="W327" s="2"/>
      <c r="X327" s="2"/>
      <c r="Y327" s="2"/>
      <c r="Z327" s="2"/>
      <c r="AA327" s="2"/>
      <c r="AB327" s="2"/>
      <c r="AC327" s="2"/>
    </row>
    <row r="328" spans="1:29" ht="13">
      <c r="A328" s="3"/>
      <c r="B328" s="2"/>
      <c r="C328" s="3"/>
      <c r="D328" s="3"/>
      <c r="E328" s="1"/>
      <c r="F328" s="1"/>
      <c r="G328" s="1"/>
      <c r="H328" s="2"/>
      <c r="I328" s="2"/>
      <c r="J328" s="2"/>
      <c r="K328" s="2"/>
      <c r="L328" s="2"/>
      <c r="M328" s="3"/>
      <c r="N328" s="3"/>
      <c r="O328" s="2"/>
      <c r="P328" s="2"/>
      <c r="Q328" s="2"/>
      <c r="R328" s="2"/>
      <c r="S328" s="2"/>
      <c r="T328" s="2"/>
      <c r="U328" s="2"/>
      <c r="V328" s="2"/>
      <c r="W328" s="2"/>
      <c r="X328" s="2"/>
      <c r="Y328" s="2"/>
      <c r="Z328" s="2"/>
      <c r="AA328" s="2"/>
      <c r="AB328" s="2"/>
      <c r="AC328" s="2"/>
    </row>
    <row r="329" spans="1:29" ht="13">
      <c r="A329" s="3"/>
      <c r="B329" s="2"/>
      <c r="C329" s="3"/>
      <c r="D329" s="3"/>
      <c r="E329" s="1"/>
      <c r="F329" s="1"/>
      <c r="G329" s="1"/>
      <c r="H329" s="2"/>
      <c r="I329" s="2"/>
      <c r="J329" s="2"/>
      <c r="K329" s="2"/>
      <c r="L329" s="2"/>
      <c r="M329" s="3"/>
      <c r="N329" s="3"/>
      <c r="O329" s="2"/>
      <c r="P329" s="2"/>
      <c r="Q329" s="2"/>
      <c r="R329" s="2"/>
      <c r="S329" s="2"/>
      <c r="T329" s="2"/>
      <c r="U329" s="2"/>
      <c r="V329" s="2"/>
      <c r="W329" s="2"/>
      <c r="X329" s="2"/>
      <c r="Y329" s="2"/>
      <c r="Z329" s="2"/>
      <c r="AA329" s="2"/>
      <c r="AB329" s="2"/>
      <c r="AC329" s="2"/>
    </row>
    <row r="330" spans="1:29" ht="13">
      <c r="A330" s="3"/>
      <c r="B330" s="2"/>
      <c r="C330" s="3"/>
      <c r="D330" s="3"/>
      <c r="E330" s="1"/>
      <c r="F330" s="1"/>
      <c r="G330" s="1"/>
      <c r="H330" s="2"/>
      <c r="I330" s="2"/>
      <c r="J330" s="2"/>
      <c r="K330" s="2"/>
      <c r="L330" s="2"/>
      <c r="M330" s="3"/>
      <c r="N330" s="3"/>
      <c r="O330" s="2"/>
      <c r="P330" s="2"/>
      <c r="Q330" s="2"/>
      <c r="R330" s="2"/>
      <c r="S330" s="2"/>
      <c r="T330" s="2"/>
      <c r="U330" s="2"/>
      <c r="V330" s="2"/>
      <c r="W330" s="2"/>
      <c r="X330" s="2"/>
      <c r="Y330" s="2"/>
      <c r="Z330" s="2"/>
      <c r="AA330" s="2"/>
      <c r="AB330" s="2"/>
      <c r="AC330" s="2"/>
    </row>
    <row r="331" spans="1:29" ht="13">
      <c r="A331" s="3"/>
      <c r="B331" s="2"/>
      <c r="C331" s="3"/>
      <c r="D331" s="3"/>
      <c r="E331" s="1"/>
      <c r="F331" s="1"/>
      <c r="G331" s="1"/>
      <c r="H331" s="2"/>
      <c r="I331" s="2"/>
      <c r="J331" s="2"/>
      <c r="K331" s="2"/>
      <c r="L331" s="2"/>
      <c r="M331" s="3"/>
      <c r="N331" s="3"/>
      <c r="O331" s="2"/>
      <c r="P331" s="2"/>
      <c r="Q331" s="2"/>
      <c r="R331" s="2"/>
      <c r="S331" s="2"/>
      <c r="T331" s="2"/>
      <c r="U331" s="2"/>
      <c r="V331" s="2"/>
      <c r="W331" s="2"/>
      <c r="X331" s="2"/>
      <c r="Y331" s="2"/>
      <c r="Z331" s="2"/>
      <c r="AA331" s="2"/>
      <c r="AB331" s="2"/>
      <c r="AC331" s="2"/>
    </row>
    <row r="332" spans="1:29" ht="13">
      <c r="A332" s="3"/>
      <c r="B332" s="2"/>
      <c r="C332" s="3"/>
      <c r="D332" s="3"/>
      <c r="E332" s="1"/>
      <c r="F332" s="1"/>
      <c r="G332" s="1"/>
      <c r="H332" s="2"/>
      <c r="I332" s="2"/>
      <c r="J332" s="2"/>
      <c r="K332" s="2"/>
      <c r="L332" s="2"/>
      <c r="M332" s="3"/>
      <c r="N332" s="3"/>
      <c r="O332" s="2"/>
      <c r="P332" s="2"/>
      <c r="Q332" s="2"/>
      <c r="R332" s="2"/>
      <c r="S332" s="2"/>
      <c r="T332" s="2"/>
      <c r="U332" s="2"/>
      <c r="V332" s="2"/>
      <c r="W332" s="2"/>
      <c r="X332" s="2"/>
      <c r="Y332" s="2"/>
      <c r="Z332" s="2"/>
      <c r="AA332" s="2"/>
      <c r="AB332" s="2"/>
      <c r="AC332" s="2"/>
    </row>
    <row r="333" spans="1:29" ht="13">
      <c r="A333" s="3"/>
      <c r="B333" s="2"/>
      <c r="C333" s="3"/>
      <c r="D333" s="3"/>
      <c r="E333" s="1"/>
      <c r="F333" s="1"/>
      <c r="G333" s="1"/>
      <c r="H333" s="2"/>
      <c r="I333" s="2"/>
      <c r="J333" s="2"/>
      <c r="K333" s="2"/>
      <c r="L333" s="2"/>
      <c r="M333" s="3"/>
      <c r="N333" s="3"/>
      <c r="O333" s="2"/>
      <c r="P333" s="2"/>
      <c r="Q333" s="2"/>
      <c r="R333" s="2"/>
      <c r="S333" s="2"/>
      <c r="T333" s="2"/>
      <c r="U333" s="2"/>
      <c r="V333" s="2"/>
      <c r="W333" s="2"/>
      <c r="X333" s="2"/>
      <c r="Y333" s="2"/>
      <c r="Z333" s="2"/>
      <c r="AA333" s="2"/>
      <c r="AB333" s="2"/>
      <c r="AC333" s="2"/>
    </row>
    <row r="334" spans="1:29" ht="13">
      <c r="A334" s="3"/>
      <c r="B334" s="2"/>
      <c r="C334" s="3"/>
      <c r="D334" s="3"/>
      <c r="E334" s="1"/>
      <c r="F334" s="1"/>
      <c r="G334" s="1"/>
      <c r="H334" s="2"/>
      <c r="I334" s="2"/>
      <c r="J334" s="2"/>
      <c r="K334" s="2"/>
      <c r="L334" s="2"/>
      <c r="M334" s="3"/>
      <c r="N334" s="3"/>
      <c r="O334" s="2"/>
      <c r="P334" s="2"/>
      <c r="Q334" s="2"/>
      <c r="R334" s="2"/>
      <c r="S334" s="2"/>
      <c r="T334" s="2"/>
      <c r="U334" s="2"/>
      <c r="V334" s="2"/>
      <c r="W334" s="2"/>
      <c r="X334" s="2"/>
      <c r="Y334" s="2"/>
      <c r="Z334" s="2"/>
      <c r="AA334" s="2"/>
      <c r="AB334" s="2"/>
      <c r="AC334" s="2"/>
    </row>
    <row r="335" spans="1:29" ht="13">
      <c r="A335" s="3"/>
      <c r="B335" s="2"/>
      <c r="C335" s="3"/>
      <c r="D335" s="3"/>
      <c r="E335" s="1"/>
      <c r="F335" s="1"/>
      <c r="G335" s="1"/>
      <c r="H335" s="2"/>
      <c r="I335" s="2"/>
      <c r="J335" s="2"/>
      <c r="K335" s="2"/>
      <c r="L335" s="2"/>
      <c r="M335" s="3"/>
      <c r="N335" s="3"/>
      <c r="O335" s="2"/>
      <c r="P335" s="2"/>
      <c r="Q335" s="2"/>
      <c r="R335" s="2"/>
      <c r="S335" s="2"/>
      <c r="T335" s="2"/>
      <c r="U335" s="2"/>
      <c r="V335" s="2"/>
      <c r="W335" s="2"/>
      <c r="X335" s="2"/>
      <c r="Y335" s="2"/>
      <c r="Z335" s="2"/>
      <c r="AA335" s="2"/>
      <c r="AB335" s="2"/>
      <c r="AC335" s="2"/>
    </row>
    <row r="336" spans="1:29" ht="13">
      <c r="A336" s="3"/>
      <c r="B336" s="2"/>
      <c r="C336" s="3"/>
      <c r="D336" s="3"/>
      <c r="E336" s="1"/>
      <c r="F336" s="1"/>
      <c r="G336" s="1"/>
      <c r="H336" s="2"/>
      <c r="I336" s="2"/>
      <c r="J336" s="2"/>
      <c r="K336" s="2"/>
      <c r="L336" s="2"/>
      <c r="M336" s="3"/>
      <c r="N336" s="3"/>
      <c r="O336" s="2"/>
      <c r="P336" s="2"/>
      <c r="Q336" s="2"/>
      <c r="R336" s="2"/>
      <c r="S336" s="2"/>
      <c r="T336" s="2"/>
      <c r="U336" s="2"/>
      <c r="V336" s="2"/>
      <c r="W336" s="2"/>
      <c r="X336" s="2"/>
      <c r="Y336" s="2"/>
      <c r="Z336" s="2"/>
      <c r="AA336" s="2"/>
      <c r="AB336" s="2"/>
      <c r="AC336" s="2"/>
    </row>
    <row r="337" spans="1:29" ht="13">
      <c r="A337" s="3"/>
      <c r="B337" s="2"/>
      <c r="C337" s="3"/>
      <c r="D337" s="3"/>
      <c r="E337" s="1"/>
      <c r="F337" s="1"/>
      <c r="G337" s="1"/>
      <c r="H337" s="2"/>
      <c r="I337" s="2"/>
      <c r="J337" s="2"/>
      <c r="K337" s="2"/>
      <c r="L337" s="2"/>
      <c r="M337" s="3"/>
      <c r="N337" s="3"/>
      <c r="O337" s="2"/>
      <c r="P337" s="2"/>
      <c r="Q337" s="2"/>
      <c r="R337" s="2"/>
      <c r="S337" s="2"/>
      <c r="T337" s="2"/>
      <c r="U337" s="2"/>
      <c r="V337" s="2"/>
      <c r="W337" s="2"/>
      <c r="X337" s="2"/>
      <c r="Y337" s="2"/>
      <c r="Z337" s="2"/>
      <c r="AA337" s="2"/>
      <c r="AB337" s="2"/>
      <c r="AC337" s="2"/>
    </row>
    <row r="338" spans="1:29" ht="13">
      <c r="A338" s="3"/>
      <c r="B338" s="2"/>
      <c r="C338" s="3"/>
      <c r="D338" s="3"/>
      <c r="E338" s="1"/>
      <c r="F338" s="1"/>
      <c r="G338" s="1"/>
      <c r="H338" s="2"/>
      <c r="I338" s="2"/>
      <c r="J338" s="2"/>
      <c r="K338" s="2"/>
      <c r="L338" s="2"/>
      <c r="M338" s="3"/>
      <c r="N338" s="3"/>
      <c r="O338" s="2"/>
      <c r="P338" s="2"/>
      <c r="Q338" s="2"/>
      <c r="R338" s="2"/>
      <c r="S338" s="2"/>
      <c r="T338" s="2"/>
      <c r="U338" s="2"/>
      <c r="V338" s="2"/>
      <c r="W338" s="2"/>
      <c r="X338" s="2"/>
      <c r="Y338" s="2"/>
      <c r="Z338" s="2"/>
      <c r="AA338" s="2"/>
      <c r="AB338" s="2"/>
      <c r="AC338" s="2"/>
    </row>
    <row r="339" spans="1:29" ht="13">
      <c r="A339" s="3"/>
      <c r="B339" s="2"/>
      <c r="C339" s="3"/>
      <c r="D339" s="3"/>
      <c r="E339" s="1"/>
      <c r="F339" s="1"/>
      <c r="G339" s="1"/>
      <c r="H339" s="2"/>
      <c r="I339" s="2"/>
      <c r="J339" s="2"/>
      <c r="K339" s="2"/>
      <c r="L339" s="2"/>
      <c r="M339" s="3"/>
      <c r="N339" s="3"/>
      <c r="O339" s="2"/>
      <c r="P339" s="2"/>
      <c r="Q339" s="2"/>
      <c r="R339" s="2"/>
      <c r="S339" s="2"/>
      <c r="T339" s="2"/>
      <c r="U339" s="2"/>
      <c r="V339" s="2"/>
      <c r="W339" s="2"/>
      <c r="X339" s="2"/>
      <c r="Y339" s="2"/>
      <c r="Z339" s="2"/>
      <c r="AA339" s="2"/>
      <c r="AB339" s="2"/>
      <c r="AC339" s="2"/>
    </row>
    <row r="340" spans="1:29" ht="13">
      <c r="A340" s="3"/>
      <c r="B340" s="2"/>
      <c r="C340" s="3"/>
      <c r="D340" s="3"/>
      <c r="E340" s="1"/>
      <c r="F340" s="1"/>
      <c r="G340" s="1"/>
      <c r="H340" s="2"/>
      <c r="I340" s="2"/>
      <c r="J340" s="2"/>
      <c r="K340" s="2"/>
      <c r="L340" s="2"/>
      <c r="M340" s="3"/>
      <c r="N340" s="3"/>
      <c r="O340" s="2"/>
      <c r="P340" s="2"/>
      <c r="Q340" s="2"/>
      <c r="R340" s="2"/>
      <c r="S340" s="2"/>
      <c r="T340" s="2"/>
      <c r="U340" s="2"/>
      <c r="V340" s="2"/>
      <c r="W340" s="2"/>
      <c r="X340" s="2"/>
      <c r="Y340" s="2"/>
      <c r="Z340" s="2"/>
      <c r="AA340" s="2"/>
      <c r="AB340" s="2"/>
      <c r="AC340" s="2"/>
    </row>
    <row r="341" spans="1:29" ht="13">
      <c r="A341" s="3"/>
      <c r="B341" s="2"/>
      <c r="C341" s="3"/>
      <c r="D341" s="3"/>
      <c r="E341" s="1"/>
      <c r="F341" s="1"/>
      <c r="G341" s="1"/>
      <c r="H341" s="2"/>
      <c r="I341" s="2"/>
      <c r="J341" s="2"/>
      <c r="K341" s="2"/>
      <c r="L341" s="2"/>
      <c r="M341" s="3"/>
      <c r="N341" s="3"/>
      <c r="O341" s="2"/>
      <c r="P341" s="2"/>
      <c r="Q341" s="2"/>
      <c r="R341" s="2"/>
      <c r="S341" s="2"/>
      <c r="T341" s="2"/>
      <c r="U341" s="2"/>
      <c r="V341" s="2"/>
      <c r="W341" s="2"/>
      <c r="X341" s="2"/>
      <c r="Y341" s="2"/>
      <c r="Z341" s="2"/>
      <c r="AA341" s="2"/>
      <c r="AB341" s="2"/>
      <c r="AC341" s="2"/>
    </row>
    <row r="342" spans="1:29" ht="13">
      <c r="A342" s="3"/>
      <c r="B342" s="2"/>
      <c r="C342" s="3"/>
      <c r="D342" s="3"/>
      <c r="E342" s="1"/>
      <c r="F342" s="1"/>
      <c r="G342" s="1"/>
      <c r="H342" s="2"/>
      <c r="I342" s="2"/>
      <c r="J342" s="2"/>
      <c r="K342" s="2"/>
      <c r="L342" s="2"/>
      <c r="M342" s="3"/>
      <c r="N342" s="3"/>
      <c r="O342" s="2"/>
      <c r="P342" s="2"/>
      <c r="Q342" s="2"/>
      <c r="R342" s="2"/>
      <c r="S342" s="2"/>
      <c r="T342" s="2"/>
      <c r="U342" s="2"/>
      <c r="V342" s="2"/>
      <c r="W342" s="2"/>
      <c r="X342" s="2"/>
      <c r="Y342" s="2"/>
      <c r="Z342" s="2"/>
      <c r="AA342" s="2"/>
      <c r="AB342" s="2"/>
      <c r="AC342" s="2"/>
    </row>
    <row r="343" spans="1:29" ht="13">
      <c r="A343" s="3"/>
      <c r="B343" s="2"/>
      <c r="C343" s="3"/>
      <c r="D343" s="3"/>
      <c r="E343" s="1"/>
      <c r="F343" s="1"/>
      <c r="G343" s="1"/>
      <c r="H343" s="2"/>
      <c r="I343" s="2"/>
      <c r="J343" s="2"/>
      <c r="K343" s="2"/>
      <c r="L343" s="2"/>
      <c r="M343" s="3"/>
      <c r="N343" s="3"/>
      <c r="O343" s="2"/>
      <c r="P343" s="2"/>
      <c r="Q343" s="2"/>
      <c r="R343" s="2"/>
      <c r="S343" s="2"/>
      <c r="T343" s="2"/>
      <c r="U343" s="2"/>
      <c r="V343" s="2"/>
      <c r="W343" s="2"/>
      <c r="X343" s="2"/>
      <c r="Y343" s="2"/>
      <c r="Z343" s="2"/>
      <c r="AA343" s="2"/>
      <c r="AB343" s="2"/>
      <c r="AC343" s="2"/>
    </row>
    <row r="344" spans="1:29" ht="13">
      <c r="A344" s="3"/>
      <c r="B344" s="2"/>
      <c r="C344" s="3"/>
      <c r="D344" s="3"/>
      <c r="E344" s="1"/>
      <c r="F344" s="1"/>
      <c r="G344" s="1"/>
      <c r="H344" s="2"/>
      <c r="I344" s="2"/>
      <c r="J344" s="2"/>
      <c r="K344" s="2"/>
      <c r="L344" s="2"/>
      <c r="M344" s="3"/>
      <c r="N344" s="3"/>
      <c r="O344" s="2"/>
      <c r="P344" s="2"/>
      <c r="Q344" s="2"/>
      <c r="R344" s="2"/>
      <c r="S344" s="2"/>
      <c r="T344" s="2"/>
      <c r="U344" s="2"/>
      <c r="V344" s="2"/>
      <c r="W344" s="2"/>
      <c r="X344" s="2"/>
      <c r="Y344" s="2"/>
      <c r="Z344" s="2"/>
      <c r="AA344" s="2"/>
      <c r="AB344" s="2"/>
      <c r="AC344" s="2"/>
    </row>
    <row r="345" spans="1:29" ht="13">
      <c r="A345" s="3"/>
      <c r="B345" s="2"/>
      <c r="C345" s="3"/>
      <c r="D345" s="3"/>
      <c r="E345" s="1"/>
      <c r="F345" s="1"/>
      <c r="G345" s="1"/>
      <c r="H345" s="2"/>
      <c r="I345" s="2"/>
      <c r="J345" s="2"/>
      <c r="K345" s="2"/>
      <c r="L345" s="2"/>
      <c r="M345" s="3"/>
      <c r="N345" s="3"/>
      <c r="O345" s="2"/>
      <c r="P345" s="2"/>
      <c r="Q345" s="2"/>
      <c r="R345" s="2"/>
      <c r="S345" s="2"/>
      <c r="T345" s="2"/>
      <c r="U345" s="2"/>
      <c r="V345" s="2"/>
      <c r="W345" s="2"/>
      <c r="X345" s="2"/>
      <c r="Y345" s="2"/>
      <c r="Z345" s="2"/>
      <c r="AA345" s="2"/>
      <c r="AB345" s="2"/>
      <c r="AC345" s="2"/>
    </row>
    <row r="346" spans="1:29" ht="13">
      <c r="A346" s="3"/>
      <c r="B346" s="2"/>
      <c r="C346" s="3"/>
      <c r="D346" s="3"/>
      <c r="E346" s="1"/>
      <c r="F346" s="1"/>
      <c r="G346" s="1"/>
      <c r="H346" s="2"/>
      <c r="I346" s="2"/>
      <c r="J346" s="2"/>
      <c r="K346" s="2"/>
      <c r="L346" s="2"/>
      <c r="M346" s="3"/>
      <c r="N346" s="3"/>
      <c r="O346" s="2"/>
      <c r="P346" s="2"/>
      <c r="Q346" s="2"/>
      <c r="R346" s="2"/>
      <c r="S346" s="2"/>
      <c r="T346" s="2"/>
      <c r="U346" s="2"/>
      <c r="V346" s="2"/>
      <c r="W346" s="2"/>
      <c r="X346" s="2"/>
      <c r="Y346" s="2"/>
      <c r="Z346" s="2"/>
      <c r="AA346" s="2"/>
      <c r="AB346" s="2"/>
      <c r="AC346" s="2"/>
    </row>
    <row r="347" spans="1:29" ht="13">
      <c r="A347" s="3"/>
      <c r="B347" s="2"/>
      <c r="C347" s="3"/>
      <c r="D347" s="3"/>
      <c r="E347" s="1"/>
      <c r="F347" s="1"/>
      <c r="G347" s="1"/>
      <c r="H347" s="2"/>
      <c r="I347" s="2"/>
      <c r="J347" s="2"/>
      <c r="K347" s="2"/>
      <c r="L347" s="2"/>
      <c r="M347" s="3"/>
      <c r="N347" s="3"/>
      <c r="O347" s="2"/>
      <c r="P347" s="2"/>
      <c r="Q347" s="2"/>
      <c r="R347" s="2"/>
      <c r="S347" s="2"/>
      <c r="T347" s="2"/>
      <c r="U347" s="2"/>
      <c r="V347" s="2"/>
      <c r="W347" s="2"/>
      <c r="X347" s="2"/>
      <c r="Y347" s="2"/>
      <c r="Z347" s="2"/>
      <c r="AA347" s="2"/>
      <c r="AB347" s="2"/>
      <c r="AC347" s="2"/>
    </row>
    <row r="348" spans="1:29" ht="13">
      <c r="A348" s="3"/>
      <c r="B348" s="2"/>
      <c r="C348" s="3"/>
      <c r="D348" s="3"/>
      <c r="E348" s="1"/>
      <c r="F348" s="1"/>
      <c r="G348" s="1"/>
      <c r="H348" s="2"/>
      <c r="I348" s="2"/>
      <c r="J348" s="2"/>
      <c r="K348" s="2"/>
      <c r="L348" s="2"/>
      <c r="M348" s="3"/>
      <c r="N348" s="3"/>
      <c r="O348" s="2"/>
      <c r="P348" s="2"/>
      <c r="Q348" s="2"/>
      <c r="R348" s="2"/>
      <c r="S348" s="2"/>
      <c r="T348" s="2"/>
      <c r="U348" s="2"/>
      <c r="V348" s="2"/>
      <c r="W348" s="2"/>
      <c r="X348" s="2"/>
      <c r="Y348" s="2"/>
      <c r="Z348" s="2"/>
      <c r="AA348" s="2"/>
      <c r="AB348" s="2"/>
      <c r="AC348" s="2"/>
    </row>
    <row r="349" spans="1:29" ht="13">
      <c r="A349" s="3"/>
      <c r="B349" s="2"/>
      <c r="C349" s="3"/>
      <c r="D349" s="3"/>
      <c r="E349" s="1"/>
      <c r="F349" s="1"/>
      <c r="G349" s="1"/>
      <c r="H349" s="2"/>
      <c r="I349" s="2"/>
      <c r="J349" s="2"/>
      <c r="K349" s="2"/>
      <c r="L349" s="2"/>
      <c r="M349" s="3"/>
      <c r="N349" s="3"/>
      <c r="O349" s="2"/>
      <c r="P349" s="2"/>
      <c r="Q349" s="2"/>
      <c r="R349" s="2"/>
      <c r="S349" s="2"/>
      <c r="T349" s="2"/>
      <c r="U349" s="2"/>
      <c r="V349" s="2"/>
      <c r="W349" s="2"/>
      <c r="X349" s="2"/>
      <c r="Y349" s="2"/>
      <c r="Z349" s="2"/>
      <c r="AA349" s="2"/>
      <c r="AB349" s="2"/>
      <c r="AC349" s="2"/>
    </row>
    <row r="350" spans="1:29" ht="13">
      <c r="A350" s="3"/>
      <c r="B350" s="2"/>
      <c r="C350" s="3"/>
      <c r="D350" s="3"/>
      <c r="E350" s="1"/>
      <c r="F350" s="1"/>
      <c r="G350" s="1"/>
      <c r="H350" s="2"/>
      <c r="I350" s="2"/>
      <c r="J350" s="2"/>
      <c r="K350" s="2"/>
      <c r="L350" s="2"/>
      <c r="M350" s="3"/>
      <c r="N350" s="3"/>
      <c r="O350" s="2"/>
      <c r="P350" s="2"/>
      <c r="Q350" s="2"/>
      <c r="R350" s="2"/>
      <c r="S350" s="2"/>
      <c r="T350" s="2"/>
      <c r="U350" s="2"/>
      <c r="V350" s="2"/>
      <c r="W350" s="2"/>
      <c r="X350" s="2"/>
      <c r="Y350" s="2"/>
      <c r="Z350" s="2"/>
      <c r="AA350" s="2"/>
      <c r="AB350" s="2"/>
      <c r="AC350" s="2"/>
    </row>
    <row r="351" spans="1:29" ht="13">
      <c r="A351" s="3"/>
      <c r="B351" s="2"/>
      <c r="C351" s="3"/>
      <c r="D351" s="3"/>
      <c r="E351" s="1"/>
      <c r="F351" s="1"/>
      <c r="G351" s="1"/>
      <c r="H351" s="2"/>
      <c r="I351" s="2"/>
      <c r="J351" s="2"/>
      <c r="K351" s="2"/>
      <c r="L351" s="2"/>
      <c r="M351" s="3"/>
      <c r="N351" s="3"/>
      <c r="O351" s="2"/>
      <c r="P351" s="2"/>
      <c r="Q351" s="2"/>
      <c r="R351" s="2"/>
      <c r="S351" s="2"/>
      <c r="T351" s="2"/>
      <c r="U351" s="2"/>
      <c r="V351" s="2"/>
      <c r="W351" s="2"/>
      <c r="X351" s="2"/>
      <c r="Y351" s="2"/>
      <c r="Z351" s="2"/>
      <c r="AA351" s="2"/>
      <c r="AB351" s="2"/>
      <c r="AC351" s="2"/>
    </row>
    <row r="352" spans="1:29" ht="13">
      <c r="A352" s="3"/>
      <c r="B352" s="2"/>
      <c r="C352" s="3"/>
      <c r="D352" s="3"/>
      <c r="E352" s="1"/>
      <c r="F352" s="1"/>
      <c r="G352" s="1"/>
      <c r="H352" s="2"/>
      <c r="I352" s="2"/>
      <c r="J352" s="2"/>
      <c r="K352" s="2"/>
      <c r="L352" s="2"/>
      <c r="M352" s="3"/>
      <c r="N352" s="3"/>
      <c r="O352" s="2"/>
      <c r="P352" s="2"/>
      <c r="Q352" s="2"/>
      <c r="R352" s="2"/>
      <c r="S352" s="2"/>
      <c r="T352" s="2"/>
      <c r="U352" s="2"/>
      <c r="V352" s="2"/>
      <c r="W352" s="2"/>
      <c r="X352" s="2"/>
      <c r="Y352" s="2"/>
      <c r="Z352" s="2"/>
      <c r="AA352" s="2"/>
      <c r="AB352" s="2"/>
      <c r="AC352" s="2"/>
    </row>
    <row r="353" spans="1:29" ht="13">
      <c r="A353" s="3"/>
      <c r="B353" s="2"/>
      <c r="C353" s="3"/>
      <c r="D353" s="3"/>
      <c r="E353" s="1"/>
      <c r="F353" s="1"/>
      <c r="G353" s="1"/>
      <c r="H353" s="2"/>
      <c r="I353" s="2"/>
      <c r="J353" s="2"/>
      <c r="K353" s="2"/>
      <c r="L353" s="2"/>
      <c r="M353" s="3"/>
      <c r="N353" s="3"/>
      <c r="O353" s="2"/>
      <c r="P353" s="2"/>
      <c r="Q353" s="2"/>
      <c r="R353" s="2"/>
      <c r="S353" s="2"/>
      <c r="T353" s="2"/>
      <c r="U353" s="2"/>
      <c r="V353" s="2"/>
      <c r="W353" s="2"/>
      <c r="X353" s="2"/>
      <c r="Y353" s="2"/>
      <c r="Z353" s="2"/>
      <c r="AA353" s="2"/>
      <c r="AB353" s="2"/>
      <c r="AC353" s="2"/>
    </row>
    <row r="354" spans="1:29" ht="13">
      <c r="A354" s="3"/>
      <c r="B354" s="2"/>
      <c r="C354" s="3"/>
      <c r="D354" s="3"/>
      <c r="E354" s="1"/>
      <c r="F354" s="1"/>
      <c r="G354" s="1"/>
      <c r="H354" s="2"/>
      <c r="I354" s="2"/>
      <c r="J354" s="2"/>
      <c r="K354" s="2"/>
      <c r="L354" s="2"/>
      <c r="M354" s="3"/>
      <c r="N354" s="3"/>
      <c r="O354" s="2"/>
      <c r="P354" s="2"/>
      <c r="Q354" s="2"/>
      <c r="R354" s="2"/>
      <c r="S354" s="2"/>
      <c r="T354" s="2"/>
      <c r="U354" s="2"/>
      <c r="V354" s="2"/>
      <c r="W354" s="2"/>
      <c r="X354" s="2"/>
      <c r="Y354" s="2"/>
      <c r="Z354" s="2"/>
      <c r="AA354" s="2"/>
      <c r="AB354" s="2"/>
      <c r="AC354" s="2"/>
    </row>
    <row r="355" spans="1:29" ht="13">
      <c r="A355" s="3"/>
      <c r="B355" s="2"/>
      <c r="C355" s="3"/>
      <c r="D355" s="3"/>
      <c r="E355" s="1"/>
      <c r="F355" s="1"/>
      <c r="G355" s="1"/>
      <c r="H355" s="2"/>
      <c r="I355" s="2"/>
      <c r="J355" s="2"/>
      <c r="K355" s="2"/>
      <c r="L355" s="2"/>
      <c r="M355" s="3"/>
      <c r="N355" s="3"/>
      <c r="O355" s="2"/>
      <c r="P355" s="2"/>
      <c r="Q355" s="2"/>
      <c r="R355" s="2"/>
      <c r="S355" s="2"/>
      <c r="T355" s="2"/>
      <c r="U355" s="2"/>
      <c r="V355" s="2"/>
      <c r="W355" s="2"/>
      <c r="X355" s="2"/>
      <c r="Y355" s="2"/>
      <c r="Z355" s="2"/>
      <c r="AA355" s="2"/>
      <c r="AB355" s="2"/>
      <c r="AC355" s="2"/>
    </row>
    <row r="356" spans="1:29" ht="13">
      <c r="A356" s="3"/>
      <c r="B356" s="2"/>
      <c r="C356" s="3"/>
      <c r="D356" s="3"/>
      <c r="E356" s="1"/>
      <c r="F356" s="1"/>
      <c r="G356" s="1"/>
      <c r="H356" s="2"/>
      <c r="I356" s="2"/>
      <c r="J356" s="2"/>
      <c r="K356" s="2"/>
      <c r="L356" s="2"/>
      <c r="M356" s="3"/>
      <c r="N356" s="3"/>
      <c r="O356" s="2"/>
      <c r="P356" s="2"/>
      <c r="Q356" s="2"/>
      <c r="R356" s="2"/>
      <c r="S356" s="2"/>
      <c r="T356" s="2"/>
      <c r="U356" s="2"/>
      <c r="V356" s="2"/>
      <c r="W356" s="2"/>
      <c r="X356" s="2"/>
      <c r="Y356" s="2"/>
      <c r="Z356" s="2"/>
      <c r="AA356" s="2"/>
      <c r="AB356" s="2"/>
      <c r="AC356" s="2"/>
    </row>
    <row r="357" spans="1:29" ht="13">
      <c r="A357" s="3"/>
      <c r="B357" s="2"/>
      <c r="C357" s="3"/>
      <c r="D357" s="3"/>
      <c r="E357" s="1"/>
      <c r="F357" s="1"/>
      <c r="G357" s="1"/>
      <c r="H357" s="2"/>
      <c r="I357" s="2"/>
      <c r="J357" s="2"/>
      <c r="K357" s="2"/>
      <c r="L357" s="2"/>
      <c r="M357" s="3"/>
      <c r="N357" s="3"/>
      <c r="O357" s="2"/>
      <c r="P357" s="2"/>
      <c r="Q357" s="2"/>
      <c r="R357" s="2"/>
      <c r="S357" s="2"/>
      <c r="T357" s="2"/>
      <c r="U357" s="2"/>
      <c r="V357" s="2"/>
      <c r="W357" s="2"/>
      <c r="X357" s="2"/>
      <c r="Y357" s="2"/>
      <c r="Z357" s="2"/>
      <c r="AA357" s="2"/>
      <c r="AB357" s="2"/>
      <c r="AC357" s="2"/>
    </row>
    <row r="358" spans="1:29" ht="13">
      <c r="A358" s="3"/>
      <c r="B358" s="2"/>
      <c r="C358" s="3"/>
      <c r="D358" s="3"/>
      <c r="E358" s="1"/>
      <c r="F358" s="1"/>
      <c r="G358" s="1"/>
      <c r="H358" s="2"/>
      <c r="I358" s="2"/>
      <c r="J358" s="2"/>
      <c r="K358" s="2"/>
      <c r="L358" s="2"/>
      <c r="M358" s="3"/>
      <c r="N358" s="3"/>
      <c r="O358" s="2"/>
      <c r="P358" s="2"/>
      <c r="Q358" s="2"/>
      <c r="R358" s="2"/>
      <c r="S358" s="2"/>
      <c r="T358" s="2"/>
      <c r="U358" s="2"/>
      <c r="V358" s="2"/>
      <c r="W358" s="2"/>
      <c r="X358" s="2"/>
      <c r="Y358" s="2"/>
      <c r="Z358" s="2"/>
      <c r="AA358" s="2"/>
      <c r="AB358" s="2"/>
      <c r="AC358" s="2"/>
    </row>
    <row r="359" spans="1:29" ht="13">
      <c r="A359" s="3"/>
      <c r="B359" s="2"/>
      <c r="C359" s="3"/>
      <c r="D359" s="3"/>
      <c r="E359" s="1"/>
      <c r="F359" s="1"/>
      <c r="G359" s="1"/>
      <c r="H359" s="2"/>
      <c r="I359" s="2"/>
      <c r="J359" s="2"/>
      <c r="K359" s="2"/>
      <c r="L359" s="2"/>
      <c r="M359" s="3"/>
      <c r="N359" s="3"/>
      <c r="O359" s="2"/>
      <c r="P359" s="2"/>
      <c r="Q359" s="2"/>
      <c r="R359" s="2"/>
      <c r="S359" s="2"/>
      <c r="T359" s="2"/>
      <c r="U359" s="2"/>
      <c r="V359" s="2"/>
      <c r="W359" s="2"/>
      <c r="X359" s="2"/>
      <c r="Y359" s="2"/>
      <c r="Z359" s="2"/>
      <c r="AA359" s="2"/>
      <c r="AB359" s="2"/>
      <c r="AC359" s="2"/>
    </row>
    <row r="360" spans="1:29" ht="13">
      <c r="A360" s="3"/>
      <c r="B360" s="2"/>
      <c r="C360" s="3"/>
      <c r="D360" s="3"/>
      <c r="E360" s="1"/>
      <c r="F360" s="1"/>
      <c r="G360" s="1"/>
      <c r="H360" s="2"/>
      <c r="I360" s="2"/>
      <c r="J360" s="2"/>
      <c r="K360" s="2"/>
      <c r="L360" s="2"/>
      <c r="M360" s="3"/>
      <c r="N360" s="3"/>
      <c r="O360" s="2"/>
      <c r="P360" s="2"/>
      <c r="Q360" s="2"/>
      <c r="R360" s="2"/>
      <c r="S360" s="2"/>
      <c r="T360" s="2"/>
      <c r="U360" s="2"/>
      <c r="V360" s="2"/>
      <c r="W360" s="2"/>
      <c r="X360" s="2"/>
      <c r="Y360" s="2"/>
      <c r="Z360" s="2"/>
      <c r="AA360" s="2"/>
      <c r="AB360" s="2"/>
      <c r="AC360" s="2"/>
    </row>
    <row r="361" spans="1:29" ht="13">
      <c r="A361" s="3"/>
      <c r="B361" s="2"/>
      <c r="C361" s="3"/>
      <c r="D361" s="3"/>
      <c r="E361" s="1"/>
      <c r="F361" s="1"/>
      <c r="G361" s="1"/>
      <c r="H361" s="2"/>
      <c r="I361" s="2"/>
      <c r="J361" s="2"/>
      <c r="K361" s="2"/>
      <c r="L361" s="2"/>
      <c r="M361" s="3"/>
      <c r="N361" s="3"/>
      <c r="O361" s="2"/>
      <c r="P361" s="2"/>
      <c r="Q361" s="2"/>
      <c r="R361" s="2"/>
      <c r="S361" s="2"/>
      <c r="T361" s="2"/>
      <c r="U361" s="2"/>
      <c r="V361" s="2"/>
      <c r="W361" s="2"/>
      <c r="X361" s="2"/>
      <c r="Y361" s="2"/>
      <c r="Z361" s="2"/>
      <c r="AA361" s="2"/>
      <c r="AB361" s="2"/>
      <c r="AC361" s="2"/>
    </row>
    <row r="362" spans="1:29" ht="13">
      <c r="A362" s="3"/>
      <c r="B362" s="2"/>
      <c r="C362" s="3"/>
      <c r="D362" s="3"/>
      <c r="E362" s="1"/>
      <c r="F362" s="1"/>
      <c r="G362" s="1"/>
      <c r="H362" s="2"/>
      <c r="I362" s="2"/>
      <c r="J362" s="2"/>
      <c r="K362" s="2"/>
      <c r="L362" s="2"/>
      <c r="M362" s="3"/>
      <c r="N362" s="3"/>
      <c r="O362" s="2"/>
      <c r="P362" s="2"/>
      <c r="Q362" s="2"/>
      <c r="R362" s="2"/>
      <c r="S362" s="2"/>
      <c r="T362" s="2"/>
      <c r="U362" s="2"/>
      <c r="V362" s="2"/>
      <c r="W362" s="2"/>
      <c r="X362" s="2"/>
      <c r="Y362" s="2"/>
      <c r="Z362" s="2"/>
      <c r="AA362" s="2"/>
      <c r="AB362" s="2"/>
      <c r="AC362" s="2"/>
    </row>
    <row r="363" spans="1:29" ht="13">
      <c r="A363" s="3"/>
      <c r="B363" s="2"/>
      <c r="C363" s="3"/>
      <c r="D363" s="3"/>
      <c r="E363" s="1"/>
      <c r="F363" s="1"/>
      <c r="G363" s="1"/>
      <c r="H363" s="2"/>
      <c r="I363" s="2"/>
      <c r="J363" s="2"/>
      <c r="K363" s="2"/>
      <c r="L363" s="2"/>
      <c r="M363" s="3"/>
      <c r="N363" s="3"/>
      <c r="O363" s="2"/>
      <c r="P363" s="2"/>
      <c r="Q363" s="2"/>
      <c r="R363" s="2"/>
      <c r="S363" s="2"/>
      <c r="T363" s="2"/>
      <c r="U363" s="2"/>
      <c r="V363" s="2"/>
      <c r="W363" s="2"/>
      <c r="X363" s="2"/>
      <c r="Y363" s="2"/>
      <c r="Z363" s="2"/>
      <c r="AA363" s="2"/>
      <c r="AB363" s="2"/>
      <c r="AC363" s="2"/>
    </row>
    <row r="364" spans="1:29" ht="13">
      <c r="A364" s="3"/>
      <c r="B364" s="2"/>
      <c r="C364" s="3"/>
      <c r="D364" s="3"/>
      <c r="E364" s="1"/>
      <c r="F364" s="1"/>
      <c r="G364" s="1"/>
      <c r="H364" s="2"/>
      <c r="I364" s="2"/>
      <c r="J364" s="2"/>
      <c r="K364" s="2"/>
      <c r="L364" s="2"/>
      <c r="M364" s="3"/>
      <c r="N364" s="3"/>
      <c r="O364" s="2"/>
      <c r="P364" s="2"/>
      <c r="Q364" s="2"/>
      <c r="R364" s="2"/>
      <c r="S364" s="2"/>
      <c r="T364" s="2"/>
      <c r="U364" s="2"/>
      <c r="V364" s="2"/>
      <c r="W364" s="2"/>
      <c r="X364" s="2"/>
      <c r="Y364" s="2"/>
      <c r="Z364" s="2"/>
      <c r="AA364" s="2"/>
      <c r="AB364" s="2"/>
      <c r="AC364" s="2"/>
    </row>
    <row r="365" spans="1:29" ht="13">
      <c r="A365" s="3"/>
      <c r="B365" s="2"/>
      <c r="C365" s="3"/>
      <c r="D365" s="3"/>
      <c r="E365" s="1"/>
      <c r="F365" s="1"/>
      <c r="G365" s="1"/>
      <c r="H365" s="2"/>
      <c r="I365" s="2"/>
      <c r="J365" s="2"/>
      <c r="K365" s="2"/>
      <c r="L365" s="2"/>
      <c r="M365" s="3"/>
      <c r="N365" s="3"/>
      <c r="O365" s="2"/>
      <c r="P365" s="2"/>
      <c r="Q365" s="2"/>
      <c r="R365" s="2"/>
      <c r="S365" s="2"/>
      <c r="T365" s="2"/>
      <c r="U365" s="2"/>
      <c r="V365" s="2"/>
      <c r="W365" s="2"/>
      <c r="X365" s="2"/>
      <c r="Y365" s="2"/>
      <c r="Z365" s="2"/>
      <c r="AA365" s="2"/>
      <c r="AB365" s="2"/>
      <c r="AC365" s="2"/>
    </row>
    <row r="366" spans="1:29" ht="13">
      <c r="A366" s="3"/>
      <c r="B366" s="2"/>
      <c r="C366" s="3"/>
      <c r="D366" s="3"/>
      <c r="E366" s="1"/>
      <c r="F366" s="1"/>
      <c r="G366" s="1"/>
      <c r="H366" s="2"/>
      <c r="I366" s="2"/>
      <c r="J366" s="2"/>
      <c r="K366" s="2"/>
      <c r="L366" s="2"/>
      <c r="M366" s="3"/>
      <c r="N366" s="3"/>
      <c r="O366" s="2"/>
      <c r="P366" s="2"/>
      <c r="Q366" s="2"/>
      <c r="R366" s="2"/>
      <c r="S366" s="2"/>
      <c r="T366" s="2"/>
      <c r="U366" s="2"/>
      <c r="V366" s="2"/>
      <c r="W366" s="2"/>
      <c r="X366" s="2"/>
      <c r="Y366" s="2"/>
      <c r="Z366" s="2"/>
      <c r="AA366" s="2"/>
      <c r="AB366" s="2"/>
      <c r="AC366" s="2"/>
    </row>
    <row r="367" spans="1:29" ht="13">
      <c r="A367" s="3"/>
      <c r="B367" s="2"/>
      <c r="C367" s="3"/>
      <c r="D367" s="3"/>
      <c r="E367" s="1"/>
      <c r="F367" s="1"/>
      <c r="G367" s="1"/>
      <c r="H367" s="2"/>
      <c r="I367" s="2"/>
      <c r="J367" s="2"/>
      <c r="K367" s="2"/>
      <c r="L367" s="2"/>
      <c r="M367" s="3"/>
      <c r="N367" s="3"/>
      <c r="O367" s="2"/>
      <c r="P367" s="2"/>
      <c r="Q367" s="2"/>
      <c r="R367" s="2"/>
      <c r="S367" s="2"/>
      <c r="T367" s="2"/>
      <c r="U367" s="2"/>
      <c r="V367" s="2"/>
      <c r="W367" s="2"/>
      <c r="X367" s="2"/>
      <c r="Y367" s="2"/>
      <c r="Z367" s="2"/>
      <c r="AA367" s="2"/>
      <c r="AB367" s="2"/>
      <c r="AC367" s="2"/>
    </row>
    <row r="368" spans="1:29" ht="13">
      <c r="A368" s="3"/>
      <c r="B368" s="2"/>
      <c r="C368" s="3"/>
      <c r="D368" s="3"/>
      <c r="E368" s="1"/>
      <c r="F368" s="1"/>
      <c r="G368" s="1"/>
      <c r="H368" s="2"/>
      <c r="I368" s="2"/>
      <c r="J368" s="2"/>
      <c r="K368" s="2"/>
      <c r="L368" s="2"/>
      <c r="M368" s="3"/>
      <c r="N368" s="3"/>
      <c r="O368" s="2"/>
      <c r="P368" s="2"/>
      <c r="Q368" s="2"/>
      <c r="R368" s="2"/>
      <c r="S368" s="2"/>
      <c r="T368" s="2"/>
      <c r="U368" s="2"/>
      <c r="V368" s="2"/>
      <c r="W368" s="2"/>
      <c r="X368" s="2"/>
      <c r="Y368" s="2"/>
      <c r="Z368" s="2"/>
      <c r="AA368" s="2"/>
      <c r="AB368" s="2"/>
      <c r="AC368" s="2"/>
    </row>
    <row r="369" spans="1:29" ht="13">
      <c r="A369" s="3"/>
      <c r="B369" s="2"/>
      <c r="C369" s="3"/>
      <c r="D369" s="3"/>
      <c r="E369" s="1"/>
      <c r="F369" s="1"/>
      <c r="G369" s="1"/>
      <c r="H369" s="2"/>
      <c r="I369" s="2"/>
      <c r="J369" s="2"/>
      <c r="K369" s="2"/>
      <c r="L369" s="2"/>
      <c r="M369" s="3"/>
      <c r="N369" s="3"/>
      <c r="O369" s="2"/>
      <c r="P369" s="2"/>
      <c r="Q369" s="2"/>
      <c r="R369" s="2"/>
      <c r="S369" s="2"/>
      <c r="T369" s="2"/>
      <c r="U369" s="2"/>
      <c r="V369" s="2"/>
      <c r="W369" s="2"/>
      <c r="X369" s="2"/>
      <c r="Y369" s="2"/>
      <c r="Z369" s="2"/>
      <c r="AA369" s="2"/>
      <c r="AB369" s="2"/>
      <c r="AC369" s="2"/>
    </row>
    <row r="370" spans="1:29" ht="13">
      <c r="A370" s="3"/>
      <c r="B370" s="2"/>
      <c r="C370" s="3"/>
      <c r="D370" s="3"/>
      <c r="E370" s="1"/>
      <c r="F370" s="1"/>
      <c r="G370" s="1"/>
      <c r="H370" s="2"/>
      <c r="I370" s="2"/>
      <c r="J370" s="2"/>
      <c r="K370" s="2"/>
      <c r="L370" s="2"/>
      <c r="M370" s="3"/>
      <c r="N370" s="3"/>
      <c r="O370" s="2"/>
      <c r="P370" s="2"/>
      <c r="Q370" s="2"/>
      <c r="R370" s="2"/>
      <c r="S370" s="2"/>
      <c r="T370" s="2"/>
      <c r="U370" s="2"/>
      <c r="V370" s="2"/>
      <c r="W370" s="2"/>
      <c r="X370" s="2"/>
      <c r="Y370" s="2"/>
      <c r="Z370" s="2"/>
      <c r="AA370" s="2"/>
      <c r="AB370" s="2"/>
      <c r="AC370" s="2"/>
    </row>
    <row r="371" spans="1:29" ht="13">
      <c r="A371" s="3"/>
      <c r="B371" s="2"/>
      <c r="C371" s="3"/>
      <c r="D371" s="3"/>
      <c r="E371" s="1"/>
      <c r="F371" s="1"/>
      <c r="G371" s="1"/>
      <c r="H371" s="2"/>
      <c r="I371" s="2"/>
      <c r="J371" s="2"/>
      <c r="K371" s="2"/>
      <c r="L371" s="2"/>
      <c r="M371" s="3"/>
      <c r="N371" s="3"/>
      <c r="O371" s="2"/>
      <c r="P371" s="2"/>
      <c r="Q371" s="2"/>
      <c r="R371" s="2"/>
      <c r="S371" s="2"/>
      <c r="T371" s="2"/>
      <c r="U371" s="2"/>
      <c r="V371" s="2"/>
      <c r="W371" s="2"/>
      <c r="X371" s="2"/>
      <c r="Y371" s="2"/>
      <c r="Z371" s="2"/>
      <c r="AA371" s="2"/>
      <c r="AB371" s="2"/>
      <c r="AC371" s="2"/>
    </row>
    <row r="372" spans="1:29" ht="13">
      <c r="A372" s="3"/>
      <c r="B372" s="2"/>
      <c r="C372" s="3"/>
      <c r="D372" s="3"/>
      <c r="E372" s="1"/>
      <c r="F372" s="1"/>
      <c r="G372" s="1"/>
      <c r="H372" s="2"/>
      <c r="I372" s="2"/>
      <c r="J372" s="2"/>
      <c r="K372" s="2"/>
      <c r="L372" s="2"/>
      <c r="M372" s="3"/>
      <c r="N372" s="3"/>
      <c r="O372" s="2"/>
      <c r="P372" s="2"/>
      <c r="Q372" s="2"/>
      <c r="R372" s="2"/>
      <c r="S372" s="2"/>
      <c r="T372" s="2"/>
      <c r="U372" s="2"/>
      <c r="V372" s="2"/>
      <c r="W372" s="2"/>
      <c r="X372" s="2"/>
      <c r="Y372" s="2"/>
      <c r="Z372" s="2"/>
      <c r="AA372" s="2"/>
      <c r="AB372" s="2"/>
      <c r="AC372" s="2"/>
    </row>
    <row r="373" spans="1:29" ht="13">
      <c r="A373" s="3"/>
      <c r="B373" s="2"/>
      <c r="C373" s="3"/>
      <c r="D373" s="3"/>
      <c r="E373" s="1"/>
      <c r="F373" s="1"/>
      <c r="G373" s="1"/>
      <c r="H373" s="2"/>
      <c r="I373" s="2"/>
      <c r="J373" s="2"/>
      <c r="K373" s="2"/>
      <c r="L373" s="2"/>
      <c r="M373" s="3"/>
      <c r="N373" s="3"/>
      <c r="O373" s="2"/>
      <c r="P373" s="2"/>
      <c r="Q373" s="2"/>
      <c r="R373" s="2"/>
      <c r="S373" s="2"/>
      <c r="T373" s="2"/>
      <c r="U373" s="2"/>
      <c r="V373" s="2"/>
      <c r="W373" s="2"/>
      <c r="X373" s="2"/>
      <c r="Y373" s="2"/>
      <c r="Z373" s="2"/>
      <c r="AA373" s="2"/>
      <c r="AB373" s="2"/>
      <c r="AC373" s="2"/>
    </row>
    <row r="374" spans="1:29" ht="13">
      <c r="A374" s="3"/>
      <c r="B374" s="2"/>
      <c r="C374" s="3"/>
      <c r="D374" s="3"/>
      <c r="E374" s="1"/>
      <c r="F374" s="1"/>
      <c r="G374" s="1"/>
      <c r="H374" s="2"/>
      <c r="I374" s="2"/>
      <c r="J374" s="2"/>
      <c r="K374" s="2"/>
      <c r="L374" s="2"/>
      <c r="M374" s="3"/>
      <c r="N374" s="3"/>
      <c r="O374" s="2"/>
      <c r="P374" s="2"/>
      <c r="Q374" s="2"/>
      <c r="R374" s="2"/>
      <c r="S374" s="2"/>
      <c r="T374" s="2"/>
      <c r="U374" s="2"/>
      <c r="V374" s="2"/>
      <c r="W374" s="2"/>
      <c r="X374" s="2"/>
      <c r="Y374" s="2"/>
      <c r="Z374" s="2"/>
      <c r="AA374" s="2"/>
      <c r="AB374" s="2"/>
      <c r="AC374" s="2"/>
    </row>
    <row r="375" spans="1:29" ht="13">
      <c r="A375" s="3"/>
      <c r="B375" s="2"/>
      <c r="C375" s="3"/>
      <c r="D375" s="3"/>
      <c r="E375" s="1"/>
      <c r="F375" s="1"/>
      <c r="G375" s="1"/>
      <c r="H375" s="2"/>
      <c r="I375" s="2"/>
      <c r="J375" s="2"/>
      <c r="K375" s="2"/>
      <c r="L375" s="2"/>
      <c r="M375" s="3"/>
      <c r="N375" s="3"/>
      <c r="O375" s="2"/>
      <c r="P375" s="2"/>
      <c r="Q375" s="2"/>
      <c r="R375" s="2"/>
      <c r="S375" s="2"/>
      <c r="T375" s="2"/>
      <c r="U375" s="2"/>
      <c r="V375" s="2"/>
      <c r="W375" s="2"/>
      <c r="X375" s="2"/>
      <c r="Y375" s="2"/>
      <c r="Z375" s="2"/>
      <c r="AA375" s="2"/>
      <c r="AB375" s="2"/>
      <c r="AC375" s="2"/>
    </row>
    <row r="376" spans="1:29" ht="13">
      <c r="A376" s="3"/>
      <c r="B376" s="2"/>
      <c r="C376" s="3"/>
      <c r="D376" s="3"/>
      <c r="E376" s="1"/>
      <c r="F376" s="1"/>
      <c r="G376" s="1"/>
      <c r="H376" s="2"/>
      <c r="I376" s="2"/>
      <c r="J376" s="2"/>
      <c r="K376" s="2"/>
      <c r="L376" s="2"/>
      <c r="M376" s="3"/>
      <c r="N376" s="3"/>
      <c r="O376" s="2"/>
      <c r="P376" s="2"/>
      <c r="Q376" s="2"/>
      <c r="R376" s="2"/>
      <c r="S376" s="2"/>
      <c r="T376" s="2"/>
      <c r="U376" s="2"/>
      <c r="V376" s="2"/>
      <c r="W376" s="2"/>
      <c r="X376" s="2"/>
      <c r="Y376" s="2"/>
      <c r="Z376" s="2"/>
      <c r="AA376" s="2"/>
      <c r="AB376" s="2"/>
      <c r="AC376" s="2"/>
    </row>
    <row r="377" spans="1:29" ht="13">
      <c r="A377" s="3"/>
      <c r="B377" s="2"/>
      <c r="C377" s="3"/>
      <c r="D377" s="3"/>
      <c r="E377" s="1"/>
      <c r="F377" s="1"/>
      <c r="G377" s="1"/>
      <c r="H377" s="2"/>
      <c r="I377" s="2"/>
      <c r="J377" s="2"/>
      <c r="K377" s="2"/>
      <c r="L377" s="2"/>
      <c r="M377" s="3"/>
      <c r="N377" s="3"/>
      <c r="O377" s="2"/>
      <c r="P377" s="2"/>
      <c r="Q377" s="2"/>
      <c r="R377" s="2"/>
      <c r="S377" s="2"/>
      <c r="T377" s="2"/>
      <c r="U377" s="2"/>
      <c r="V377" s="2"/>
      <c r="W377" s="2"/>
      <c r="X377" s="2"/>
      <c r="Y377" s="2"/>
      <c r="Z377" s="2"/>
      <c r="AA377" s="2"/>
      <c r="AB377" s="2"/>
      <c r="AC377" s="2"/>
    </row>
    <row r="378" spans="1:29" ht="13">
      <c r="A378" s="3"/>
      <c r="B378" s="2"/>
      <c r="C378" s="3"/>
      <c r="D378" s="3"/>
      <c r="E378" s="1"/>
      <c r="F378" s="1"/>
      <c r="G378" s="1"/>
      <c r="H378" s="2"/>
      <c r="I378" s="2"/>
      <c r="J378" s="2"/>
      <c r="K378" s="2"/>
      <c r="L378" s="2"/>
      <c r="M378" s="3"/>
      <c r="N378" s="3"/>
      <c r="O378" s="2"/>
      <c r="P378" s="2"/>
      <c r="Q378" s="2"/>
      <c r="R378" s="2"/>
      <c r="S378" s="2"/>
      <c r="T378" s="2"/>
      <c r="U378" s="2"/>
      <c r="V378" s="2"/>
      <c r="W378" s="2"/>
      <c r="X378" s="2"/>
      <c r="Y378" s="2"/>
      <c r="Z378" s="2"/>
      <c r="AA378" s="2"/>
      <c r="AB378" s="2"/>
      <c r="AC378" s="2"/>
    </row>
    <row r="379" spans="1:29" ht="13">
      <c r="A379" s="3"/>
      <c r="B379" s="2"/>
      <c r="C379" s="3"/>
      <c r="D379" s="3"/>
      <c r="E379" s="1"/>
      <c r="F379" s="1"/>
      <c r="G379" s="1"/>
      <c r="H379" s="2"/>
      <c r="I379" s="2"/>
      <c r="J379" s="2"/>
      <c r="K379" s="2"/>
      <c r="L379" s="2"/>
      <c r="M379" s="3"/>
      <c r="N379" s="3"/>
      <c r="O379" s="2"/>
      <c r="P379" s="2"/>
      <c r="Q379" s="2"/>
      <c r="R379" s="2"/>
      <c r="S379" s="2"/>
      <c r="T379" s="2"/>
      <c r="U379" s="2"/>
      <c r="V379" s="2"/>
      <c r="W379" s="2"/>
      <c r="X379" s="2"/>
      <c r="Y379" s="2"/>
      <c r="Z379" s="2"/>
      <c r="AA379" s="2"/>
      <c r="AB379" s="2"/>
      <c r="AC379" s="2"/>
    </row>
    <row r="380" spans="1:29" ht="13">
      <c r="A380" s="3"/>
      <c r="B380" s="2"/>
      <c r="C380" s="3"/>
      <c r="D380" s="3"/>
      <c r="E380" s="1"/>
      <c r="F380" s="1"/>
      <c r="G380" s="1"/>
      <c r="H380" s="2"/>
      <c r="I380" s="2"/>
      <c r="J380" s="2"/>
      <c r="K380" s="2"/>
      <c r="L380" s="2"/>
      <c r="M380" s="3"/>
      <c r="N380" s="3"/>
      <c r="O380" s="2"/>
      <c r="P380" s="2"/>
      <c r="Q380" s="2"/>
      <c r="R380" s="2"/>
      <c r="S380" s="2"/>
      <c r="T380" s="2"/>
      <c r="U380" s="2"/>
      <c r="V380" s="2"/>
      <c r="W380" s="2"/>
      <c r="X380" s="2"/>
      <c r="Y380" s="2"/>
      <c r="Z380" s="2"/>
      <c r="AA380" s="2"/>
      <c r="AB380" s="2"/>
      <c r="AC380" s="2"/>
    </row>
    <row r="381" spans="1:29" ht="13">
      <c r="A381" s="3"/>
      <c r="B381" s="2"/>
      <c r="C381" s="3"/>
      <c r="D381" s="3"/>
      <c r="E381" s="1"/>
      <c r="F381" s="1"/>
      <c r="G381" s="1"/>
      <c r="H381" s="2"/>
      <c r="I381" s="2"/>
      <c r="J381" s="2"/>
      <c r="K381" s="2"/>
      <c r="L381" s="2"/>
      <c r="M381" s="3"/>
      <c r="N381" s="3"/>
      <c r="O381" s="2"/>
      <c r="P381" s="2"/>
      <c r="Q381" s="2"/>
      <c r="R381" s="2"/>
      <c r="S381" s="2"/>
      <c r="T381" s="2"/>
      <c r="U381" s="2"/>
      <c r="V381" s="2"/>
      <c r="W381" s="2"/>
      <c r="X381" s="2"/>
      <c r="Y381" s="2"/>
      <c r="Z381" s="2"/>
      <c r="AA381" s="2"/>
      <c r="AB381" s="2"/>
      <c r="AC381" s="2"/>
    </row>
    <row r="382" spans="1:29" ht="13">
      <c r="A382" s="3"/>
      <c r="B382" s="2"/>
      <c r="C382" s="3"/>
      <c r="D382" s="3"/>
      <c r="E382" s="1"/>
      <c r="F382" s="1"/>
      <c r="G382" s="1"/>
      <c r="H382" s="2"/>
      <c r="I382" s="2"/>
      <c r="J382" s="2"/>
      <c r="K382" s="2"/>
      <c r="L382" s="2"/>
      <c r="M382" s="3"/>
      <c r="N382" s="3"/>
      <c r="O382" s="2"/>
      <c r="P382" s="2"/>
      <c r="Q382" s="2"/>
      <c r="R382" s="2"/>
      <c r="S382" s="2"/>
      <c r="T382" s="2"/>
      <c r="U382" s="2"/>
      <c r="V382" s="2"/>
      <c r="W382" s="2"/>
      <c r="X382" s="2"/>
      <c r="Y382" s="2"/>
      <c r="Z382" s="2"/>
      <c r="AA382" s="2"/>
      <c r="AB382" s="2"/>
      <c r="AC382" s="2"/>
    </row>
    <row r="383" spans="1:29" ht="13">
      <c r="A383" s="3"/>
      <c r="B383" s="2"/>
      <c r="C383" s="3"/>
      <c r="D383" s="3"/>
      <c r="E383" s="1"/>
      <c r="F383" s="1"/>
      <c r="G383" s="1"/>
      <c r="H383" s="2"/>
      <c r="I383" s="2"/>
      <c r="J383" s="2"/>
      <c r="K383" s="2"/>
      <c r="L383" s="2"/>
      <c r="M383" s="3"/>
      <c r="N383" s="3"/>
      <c r="O383" s="2"/>
      <c r="P383" s="2"/>
      <c r="Q383" s="2"/>
      <c r="R383" s="2"/>
      <c r="S383" s="2"/>
      <c r="T383" s="2"/>
      <c r="U383" s="2"/>
      <c r="V383" s="2"/>
      <c r="W383" s="2"/>
      <c r="X383" s="2"/>
      <c r="Y383" s="2"/>
      <c r="Z383" s="2"/>
      <c r="AA383" s="2"/>
      <c r="AB383" s="2"/>
      <c r="AC383" s="2"/>
    </row>
    <row r="384" spans="1:29" ht="13">
      <c r="A384" s="3"/>
      <c r="B384" s="2"/>
      <c r="C384" s="3"/>
      <c r="D384" s="3"/>
      <c r="E384" s="1"/>
      <c r="F384" s="1"/>
      <c r="G384" s="1"/>
      <c r="H384" s="2"/>
      <c r="I384" s="2"/>
      <c r="J384" s="2"/>
      <c r="K384" s="2"/>
      <c r="L384" s="2"/>
      <c r="M384" s="3"/>
      <c r="N384" s="3"/>
      <c r="O384" s="2"/>
      <c r="P384" s="2"/>
      <c r="Q384" s="2"/>
      <c r="R384" s="2"/>
      <c r="S384" s="2"/>
      <c r="T384" s="2"/>
      <c r="U384" s="2"/>
      <c r="V384" s="2"/>
      <c r="W384" s="2"/>
      <c r="X384" s="2"/>
      <c r="Y384" s="2"/>
      <c r="Z384" s="2"/>
      <c r="AA384" s="2"/>
      <c r="AB384" s="2"/>
      <c r="AC384" s="2"/>
    </row>
    <row r="385" spans="1:29" ht="13">
      <c r="A385" s="3"/>
      <c r="B385" s="2"/>
      <c r="C385" s="3"/>
      <c r="D385" s="3"/>
      <c r="E385" s="1"/>
      <c r="F385" s="1"/>
      <c r="G385" s="1"/>
      <c r="H385" s="2"/>
      <c r="I385" s="2"/>
      <c r="J385" s="2"/>
      <c r="K385" s="2"/>
      <c r="L385" s="2"/>
      <c r="M385" s="3"/>
      <c r="N385" s="3"/>
      <c r="O385" s="2"/>
      <c r="P385" s="2"/>
      <c r="Q385" s="2"/>
      <c r="R385" s="2"/>
      <c r="S385" s="2"/>
      <c r="T385" s="2"/>
      <c r="U385" s="2"/>
      <c r="V385" s="2"/>
      <c r="W385" s="2"/>
      <c r="X385" s="2"/>
      <c r="Y385" s="2"/>
      <c r="Z385" s="2"/>
      <c r="AA385" s="2"/>
      <c r="AB385" s="2"/>
      <c r="AC385" s="2"/>
    </row>
    <row r="386" spans="1:29" ht="13">
      <c r="A386" s="3"/>
      <c r="B386" s="2"/>
      <c r="C386" s="3"/>
      <c r="D386" s="3"/>
      <c r="E386" s="1"/>
      <c r="F386" s="1"/>
      <c r="G386" s="1"/>
      <c r="H386" s="2"/>
      <c r="I386" s="2"/>
      <c r="J386" s="2"/>
      <c r="K386" s="2"/>
      <c r="L386" s="2"/>
      <c r="M386" s="3"/>
      <c r="N386" s="3"/>
      <c r="O386" s="2"/>
      <c r="P386" s="2"/>
      <c r="Q386" s="2"/>
      <c r="R386" s="2"/>
      <c r="S386" s="2"/>
      <c r="T386" s="2"/>
      <c r="U386" s="2"/>
      <c r="V386" s="2"/>
      <c r="W386" s="2"/>
      <c r="X386" s="2"/>
      <c r="Y386" s="2"/>
      <c r="Z386" s="2"/>
      <c r="AA386" s="2"/>
      <c r="AB386" s="2"/>
      <c r="AC386" s="2"/>
    </row>
    <row r="387" spans="1:29" ht="13">
      <c r="A387" s="3"/>
      <c r="B387" s="2"/>
      <c r="C387" s="3"/>
      <c r="D387" s="3"/>
      <c r="E387" s="1"/>
      <c r="F387" s="1"/>
      <c r="G387" s="1"/>
      <c r="H387" s="2"/>
      <c r="I387" s="2"/>
      <c r="J387" s="2"/>
      <c r="K387" s="2"/>
      <c r="L387" s="2"/>
      <c r="M387" s="3"/>
      <c r="N387" s="3"/>
      <c r="O387" s="2"/>
      <c r="P387" s="2"/>
      <c r="Q387" s="2"/>
      <c r="R387" s="2"/>
      <c r="S387" s="2"/>
      <c r="T387" s="2"/>
      <c r="U387" s="2"/>
      <c r="V387" s="2"/>
      <c r="W387" s="2"/>
      <c r="X387" s="2"/>
      <c r="Y387" s="2"/>
      <c r="Z387" s="2"/>
      <c r="AA387" s="2"/>
      <c r="AB387" s="2"/>
      <c r="AC387" s="2"/>
    </row>
    <row r="388" spans="1:29" ht="13">
      <c r="A388" s="3"/>
      <c r="B388" s="2"/>
      <c r="C388" s="3"/>
      <c r="D388" s="3"/>
      <c r="E388" s="1"/>
      <c r="F388" s="1"/>
      <c r="G388" s="1"/>
      <c r="H388" s="2"/>
      <c r="I388" s="2"/>
      <c r="J388" s="2"/>
      <c r="K388" s="2"/>
      <c r="L388" s="2"/>
      <c r="M388" s="3"/>
      <c r="N388" s="3"/>
      <c r="O388" s="2"/>
      <c r="P388" s="2"/>
      <c r="Q388" s="2"/>
      <c r="R388" s="2"/>
      <c r="S388" s="2"/>
      <c r="T388" s="2"/>
      <c r="U388" s="2"/>
      <c r="V388" s="2"/>
      <c r="W388" s="2"/>
      <c r="X388" s="2"/>
      <c r="Y388" s="2"/>
      <c r="Z388" s="2"/>
      <c r="AA388" s="2"/>
      <c r="AB388" s="2"/>
      <c r="AC388" s="2"/>
    </row>
    <row r="389" spans="1:29" ht="13">
      <c r="A389" s="3"/>
      <c r="B389" s="2"/>
      <c r="C389" s="3"/>
      <c r="D389" s="3"/>
      <c r="E389" s="1"/>
      <c r="F389" s="1"/>
      <c r="G389" s="1"/>
      <c r="H389" s="2"/>
      <c r="I389" s="2"/>
      <c r="J389" s="2"/>
      <c r="K389" s="2"/>
      <c r="L389" s="2"/>
      <c r="M389" s="3"/>
      <c r="N389" s="3"/>
      <c r="O389" s="2"/>
      <c r="P389" s="2"/>
      <c r="Q389" s="2"/>
      <c r="R389" s="2"/>
      <c r="S389" s="2"/>
      <c r="T389" s="2"/>
      <c r="U389" s="2"/>
      <c r="V389" s="2"/>
      <c r="W389" s="2"/>
      <c r="X389" s="2"/>
      <c r="Y389" s="2"/>
      <c r="Z389" s="2"/>
      <c r="AA389" s="2"/>
      <c r="AB389" s="2"/>
      <c r="AC389" s="2"/>
    </row>
    <row r="390" spans="1:29" ht="13">
      <c r="A390" s="3"/>
      <c r="B390" s="2"/>
      <c r="C390" s="3"/>
      <c r="D390" s="3"/>
      <c r="E390" s="1"/>
      <c r="F390" s="1"/>
      <c r="G390" s="1"/>
      <c r="H390" s="2"/>
      <c r="I390" s="2"/>
      <c r="J390" s="2"/>
      <c r="K390" s="2"/>
      <c r="L390" s="2"/>
      <c r="M390" s="3"/>
      <c r="N390" s="3"/>
      <c r="O390" s="2"/>
      <c r="P390" s="2"/>
      <c r="Q390" s="2"/>
      <c r="R390" s="2"/>
      <c r="S390" s="2"/>
      <c r="T390" s="2"/>
      <c r="U390" s="2"/>
      <c r="V390" s="2"/>
      <c r="W390" s="2"/>
      <c r="X390" s="2"/>
      <c r="Y390" s="2"/>
      <c r="Z390" s="2"/>
      <c r="AA390" s="2"/>
      <c r="AB390" s="2"/>
      <c r="AC390" s="2"/>
    </row>
    <row r="391" spans="1:29" ht="13">
      <c r="A391" s="3"/>
      <c r="B391" s="2"/>
      <c r="C391" s="3"/>
      <c r="D391" s="3"/>
      <c r="E391" s="1"/>
      <c r="F391" s="1"/>
      <c r="G391" s="1"/>
      <c r="H391" s="2"/>
      <c r="I391" s="2"/>
      <c r="J391" s="2"/>
      <c r="K391" s="2"/>
      <c r="L391" s="2"/>
      <c r="M391" s="3"/>
      <c r="N391" s="3"/>
      <c r="O391" s="2"/>
      <c r="P391" s="2"/>
      <c r="Q391" s="2"/>
      <c r="R391" s="2"/>
      <c r="S391" s="2"/>
      <c r="T391" s="2"/>
      <c r="U391" s="2"/>
      <c r="V391" s="2"/>
      <c r="W391" s="2"/>
      <c r="X391" s="2"/>
      <c r="Y391" s="2"/>
      <c r="Z391" s="2"/>
      <c r="AA391" s="2"/>
      <c r="AB391" s="2"/>
      <c r="AC391" s="2"/>
    </row>
    <row r="392" spans="1:29" ht="13">
      <c r="A392" s="3"/>
      <c r="B392" s="2"/>
      <c r="C392" s="3"/>
      <c r="D392" s="3"/>
      <c r="E392" s="1"/>
      <c r="F392" s="1"/>
      <c r="G392" s="1"/>
      <c r="H392" s="2"/>
      <c r="I392" s="2"/>
      <c r="J392" s="2"/>
      <c r="K392" s="2"/>
      <c r="L392" s="2"/>
      <c r="M392" s="3"/>
      <c r="N392" s="3"/>
      <c r="O392" s="2"/>
      <c r="P392" s="2"/>
      <c r="Q392" s="2"/>
      <c r="R392" s="2"/>
      <c r="S392" s="2"/>
      <c r="T392" s="2"/>
      <c r="U392" s="2"/>
      <c r="V392" s="2"/>
      <c r="W392" s="2"/>
      <c r="X392" s="2"/>
      <c r="Y392" s="2"/>
      <c r="Z392" s="2"/>
      <c r="AA392" s="2"/>
      <c r="AB392" s="2"/>
      <c r="AC392" s="2"/>
    </row>
    <row r="393" spans="1:29" ht="13">
      <c r="A393" s="3"/>
      <c r="B393" s="2"/>
      <c r="C393" s="3"/>
      <c r="D393" s="3"/>
      <c r="E393" s="1"/>
      <c r="F393" s="1"/>
      <c r="G393" s="1"/>
      <c r="H393" s="2"/>
      <c r="I393" s="2"/>
      <c r="J393" s="2"/>
      <c r="K393" s="2"/>
      <c r="L393" s="2"/>
      <c r="M393" s="3"/>
      <c r="N393" s="3"/>
      <c r="O393" s="2"/>
      <c r="P393" s="2"/>
      <c r="Q393" s="2"/>
      <c r="R393" s="2"/>
      <c r="S393" s="2"/>
      <c r="T393" s="2"/>
      <c r="U393" s="2"/>
      <c r="V393" s="2"/>
      <c r="W393" s="2"/>
      <c r="X393" s="2"/>
      <c r="Y393" s="2"/>
      <c r="Z393" s="2"/>
      <c r="AA393" s="2"/>
      <c r="AB393" s="2"/>
      <c r="AC393" s="2"/>
    </row>
    <row r="394" spans="1:29" ht="13">
      <c r="A394" s="3"/>
      <c r="B394" s="2"/>
      <c r="C394" s="3"/>
      <c r="D394" s="3"/>
      <c r="E394" s="1"/>
      <c r="F394" s="1"/>
      <c r="G394" s="1"/>
      <c r="H394" s="2"/>
      <c r="I394" s="2"/>
      <c r="J394" s="2"/>
      <c r="K394" s="2"/>
      <c r="L394" s="2"/>
      <c r="M394" s="3"/>
      <c r="N394" s="3"/>
      <c r="O394" s="2"/>
      <c r="P394" s="2"/>
      <c r="Q394" s="2"/>
      <c r="R394" s="2"/>
      <c r="S394" s="2"/>
      <c r="T394" s="2"/>
      <c r="U394" s="2"/>
      <c r="V394" s="2"/>
      <c r="W394" s="2"/>
      <c r="X394" s="2"/>
      <c r="Y394" s="2"/>
      <c r="Z394" s="2"/>
      <c r="AA394" s="2"/>
      <c r="AB394" s="2"/>
      <c r="AC394" s="2"/>
    </row>
    <row r="395" spans="1:29" ht="13">
      <c r="A395" s="3"/>
      <c r="B395" s="2"/>
      <c r="C395" s="3"/>
      <c r="D395" s="3"/>
      <c r="E395" s="1"/>
      <c r="F395" s="1"/>
      <c r="G395" s="1"/>
      <c r="H395" s="2"/>
      <c r="I395" s="2"/>
      <c r="J395" s="2"/>
      <c r="K395" s="2"/>
      <c r="L395" s="2"/>
      <c r="M395" s="3"/>
      <c r="N395" s="3"/>
      <c r="O395" s="2"/>
      <c r="P395" s="2"/>
      <c r="Q395" s="2"/>
      <c r="R395" s="2"/>
      <c r="S395" s="2"/>
      <c r="T395" s="2"/>
      <c r="U395" s="2"/>
      <c r="V395" s="2"/>
      <c r="W395" s="2"/>
      <c r="X395" s="2"/>
      <c r="Y395" s="2"/>
      <c r="Z395" s="2"/>
      <c r="AA395" s="2"/>
      <c r="AB395" s="2"/>
      <c r="AC395" s="2"/>
    </row>
    <row r="396" spans="1:29" ht="13">
      <c r="A396" s="3"/>
      <c r="B396" s="2"/>
      <c r="C396" s="3"/>
      <c r="D396" s="3"/>
      <c r="E396" s="1"/>
      <c r="F396" s="1"/>
      <c r="G396" s="1"/>
      <c r="H396" s="2"/>
      <c r="I396" s="2"/>
      <c r="J396" s="2"/>
      <c r="K396" s="2"/>
      <c r="L396" s="2"/>
      <c r="M396" s="3"/>
      <c r="N396" s="3"/>
      <c r="O396" s="2"/>
      <c r="P396" s="2"/>
      <c r="Q396" s="2"/>
      <c r="R396" s="2"/>
      <c r="S396" s="2"/>
      <c r="T396" s="2"/>
      <c r="U396" s="2"/>
      <c r="V396" s="2"/>
      <c r="W396" s="2"/>
      <c r="X396" s="2"/>
      <c r="Y396" s="2"/>
      <c r="Z396" s="2"/>
      <c r="AA396" s="2"/>
      <c r="AB396" s="2"/>
      <c r="AC396" s="2"/>
    </row>
    <row r="397" spans="1:29" ht="13">
      <c r="A397" s="3"/>
      <c r="B397" s="2"/>
      <c r="C397" s="3"/>
      <c r="D397" s="3"/>
      <c r="E397" s="1"/>
      <c r="F397" s="1"/>
      <c r="G397" s="1"/>
      <c r="H397" s="2"/>
      <c r="I397" s="2"/>
      <c r="J397" s="2"/>
      <c r="K397" s="2"/>
      <c r="L397" s="2"/>
      <c r="M397" s="3"/>
      <c r="N397" s="3"/>
      <c r="O397" s="2"/>
      <c r="P397" s="2"/>
      <c r="Q397" s="2"/>
      <c r="R397" s="2"/>
      <c r="S397" s="2"/>
      <c r="T397" s="2"/>
      <c r="U397" s="2"/>
      <c r="V397" s="2"/>
      <c r="W397" s="2"/>
      <c r="X397" s="2"/>
      <c r="Y397" s="2"/>
      <c r="Z397" s="2"/>
      <c r="AA397" s="2"/>
      <c r="AB397" s="2"/>
      <c r="AC397" s="2"/>
    </row>
    <row r="398" spans="1:29" ht="13">
      <c r="A398" s="3"/>
      <c r="B398" s="2"/>
      <c r="C398" s="3"/>
      <c r="D398" s="3"/>
      <c r="E398" s="1"/>
      <c r="F398" s="1"/>
      <c r="G398" s="1"/>
      <c r="H398" s="2"/>
      <c r="I398" s="2"/>
      <c r="J398" s="2"/>
      <c r="K398" s="2"/>
      <c r="L398" s="2"/>
      <c r="M398" s="3"/>
      <c r="N398" s="3"/>
      <c r="O398" s="2"/>
      <c r="P398" s="2"/>
      <c r="Q398" s="2"/>
      <c r="R398" s="2"/>
      <c r="S398" s="2"/>
      <c r="T398" s="2"/>
      <c r="U398" s="2"/>
      <c r="V398" s="2"/>
      <c r="W398" s="2"/>
      <c r="X398" s="2"/>
      <c r="Y398" s="2"/>
      <c r="Z398" s="2"/>
      <c r="AA398" s="2"/>
      <c r="AB398" s="2"/>
      <c r="AC398" s="2"/>
    </row>
    <row r="399" spans="1:29" ht="13">
      <c r="A399" s="3"/>
      <c r="B399" s="2"/>
      <c r="C399" s="3"/>
      <c r="D399" s="3"/>
      <c r="E399" s="1"/>
      <c r="F399" s="1"/>
      <c r="G399" s="1"/>
      <c r="H399" s="2"/>
      <c r="I399" s="2"/>
      <c r="J399" s="2"/>
      <c r="K399" s="2"/>
      <c r="L399" s="2"/>
      <c r="M399" s="3"/>
      <c r="N399" s="3"/>
      <c r="O399" s="2"/>
      <c r="P399" s="2"/>
      <c r="Q399" s="2"/>
      <c r="R399" s="2"/>
      <c r="S399" s="2"/>
      <c r="T399" s="2"/>
      <c r="U399" s="2"/>
      <c r="V399" s="2"/>
      <c r="W399" s="2"/>
      <c r="X399" s="2"/>
      <c r="Y399" s="2"/>
      <c r="Z399" s="2"/>
      <c r="AA399" s="2"/>
      <c r="AB399" s="2"/>
      <c r="AC399" s="2"/>
    </row>
    <row r="400" spans="1:29" ht="13">
      <c r="A400" s="3"/>
      <c r="B400" s="2"/>
      <c r="C400" s="3"/>
      <c r="D400" s="3"/>
      <c r="E400" s="1"/>
      <c r="F400" s="1"/>
      <c r="G400" s="1"/>
      <c r="H400" s="2"/>
      <c r="I400" s="2"/>
      <c r="J400" s="2"/>
      <c r="K400" s="2"/>
      <c r="L400" s="2"/>
      <c r="M400" s="3"/>
      <c r="N400" s="3"/>
      <c r="O400" s="2"/>
      <c r="P400" s="2"/>
      <c r="Q400" s="2"/>
      <c r="R400" s="2"/>
      <c r="S400" s="2"/>
      <c r="T400" s="2"/>
      <c r="U400" s="2"/>
      <c r="V400" s="2"/>
      <c r="W400" s="2"/>
      <c r="X400" s="2"/>
      <c r="Y400" s="2"/>
      <c r="Z400" s="2"/>
      <c r="AA400" s="2"/>
      <c r="AB400" s="2"/>
      <c r="AC400" s="2"/>
    </row>
    <row r="401" spans="1:29" ht="13">
      <c r="A401" s="3"/>
      <c r="B401" s="2"/>
      <c r="C401" s="3"/>
      <c r="D401" s="3"/>
      <c r="E401" s="1"/>
      <c r="F401" s="1"/>
      <c r="G401" s="1"/>
      <c r="H401" s="2"/>
      <c r="I401" s="2"/>
      <c r="J401" s="2"/>
      <c r="K401" s="2"/>
      <c r="L401" s="2"/>
      <c r="M401" s="3"/>
      <c r="N401" s="3"/>
      <c r="O401" s="2"/>
      <c r="P401" s="2"/>
      <c r="Q401" s="2"/>
      <c r="R401" s="2"/>
      <c r="S401" s="2"/>
      <c r="T401" s="2"/>
      <c r="U401" s="2"/>
      <c r="V401" s="2"/>
      <c r="W401" s="2"/>
      <c r="X401" s="2"/>
      <c r="Y401" s="2"/>
      <c r="Z401" s="2"/>
      <c r="AA401" s="2"/>
      <c r="AB401" s="2"/>
      <c r="AC401" s="2"/>
    </row>
    <row r="402" spans="1:29" ht="13">
      <c r="A402" s="3"/>
      <c r="B402" s="2"/>
      <c r="C402" s="3"/>
      <c r="D402" s="3"/>
      <c r="E402" s="1"/>
      <c r="F402" s="1"/>
      <c r="G402" s="1"/>
      <c r="H402" s="2"/>
      <c r="I402" s="2"/>
      <c r="J402" s="2"/>
      <c r="K402" s="2"/>
      <c r="L402" s="2"/>
      <c r="M402" s="3"/>
      <c r="N402" s="3"/>
      <c r="O402" s="2"/>
      <c r="P402" s="2"/>
      <c r="Q402" s="2"/>
      <c r="R402" s="2"/>
      <c r="S402" s="2"/>
      <c r="T402" s="2"/>
      <c r="U402" s="2"/>
      <c r="V402" s="2"/>
      <c r="W402" s="2"/>
      <c r="X402" s="2"/>
      <c r="Y402" s="2"/>
      <c r="Z402" s="2"/>
      <c r="AA402" s="2"/>
      <c r="AB402" s="2"/>
      <c r="AC402" s="2"/>
    </row>
    <row r="403" spans="1:29" ht="13">
      <c r="A403" s="3"/>
      <c r="B403" s="2"/>
      <c r="C403" s="3"/>
      <c r="D403" s="3"/>
      <c r="E403" s="1"/>
      <c r="F403" s="1"/>
      <c r="G403" s="1"/>
      <c r="H403" s="2"/>
      <c r="I403" s="2"/>
      <c r="J403" s="2"/>
      <c r="K403" s="2"/>
      <c r="L403" s="2"/>
      <c r="M403" s="3"/>
      <c r="N403" s="3"/>
      <c r="O403" s="2"/>
      <c r="P403" s="2"/>
      <c r="Q403" s="2"/>
      <c r="R403" s="2"/>
      <c r="S403" s="2"/>
      <c r="T403" s="2"/>
      <c r="U403" s="2"/>
      <c r="V403" s="2"/>
      <c r="W403" s="2"/>
      <c r="X403" s="2"/>
      <c r="Y403" s="2"/>
      <c r="Z403" s="2"/>
      <c r="AA403" s="2"/>
      <c r="AB403" s="2"/>
      <c r="AC403" s="2"/>
    </row>
    <row r="404" spans="1:29" ht="13">
      <c r="A404" s="3"/>
      <c r="B404" s="2"/>
      <c r="C404" s="3"/>
      <c r="D404" s="3"/>
      <c r="E404" s="1"/>
      <c r="F404" s="1"/>
      <c r="G404" s="1"/>
      <c r="H404" s="2"/>
      <c r="I404" s="2"/>
      <c r="J404" s="2"/>
      <c r="K404" s="2"/>
      <c r="L404" s="2"/>
      <c r="M404" s="3"/>
      <c r="N404" s="3"/>
      <c r="O404" s="2"/>
      <c r="P404" s="2"/>
      <c r="Q404" s="2"/>
      <c r="R404" s="2"/>
      <c r="S404" s="2"/>
      <c r="T404" s="2"/>
      <c r="U404" s="2"/>
      <c r="V404" s="2"/>
      <c r="W404" s="2"/>
      <c r="X404" s="2"/>
      <c r="Y404" s="2"/>
      <c r="Z404" s="2"/>
      <c r="AA404" s="2"/>
      <c r="AB404" s="2"/>
      <c r="AC404" s="2"/>
    </row>
    <row r="405" spans="1:29" ht="13">
      <c r="A405" s="3"/>
      <c r="B405" s="2"/>
      <c r="C405" s="3"/>
      <c r="D405" s="3"/>
      <c r="E405" s="1"/>
      <c r="F405" s="1"/>
      <c r="G405" s="1"/>
      <c r="H405" s="2"/>
      <c r="I405" s="2"/>
      <c r="J405" s="2"/>
      <c r="K405" s="2"/>
      <c r="L405" s="2"/>
      <c r="M405" s="3"/>
      <c r="N405" s="3"/>
      <c r="O405" s="2"/>
      <c r="P405" s="2"/>
      <c r="Q405" s="2"/>
      <c r="R405" s="2"/>
      <c r="S405" s="2"/>
      <c r="T405" s="2"/>
      <c r="U405" s="2"/>
      <c r="V405" s="2"/>
      <c r="W405" s="2"/>
      <c r="X405" s="2"/>
      <c r="Y405" s="2"/>
      <c r="Z405" s="2"/>
      <c r="AA405" s="2"/>
      <c r="AB405" s="2"/>
      <c r="AC405" s="2"/>
    </row>
    <row r="406" spans="1:29" ht="13">
      <c r="A406" s="3"/>
      <c r="B406" s="2"/>
      <c r="C406" s="3"/>
      <c r="D406" s="3"/>
      <c r="E406" s="1"/>
      <c r="F406" s="1"/>
      <c r="G406" s="1"/>
      <c r="H406" s="2"/>
      <c r="I406" s="2"/>
      <c r="J406" s="2"/>
      <c r="K406" s="2"/>
      <c r="L406" s="2"/>
      <c r="M406" s="3"/>
      <c r="N406" s="3"/>
      <c r="O406" s="2"/>
      <c r="P406" s="2"/>
      <c r="Q406" s="2"/>
      <c r="R406" s="2"/>
      <c r="S406" s="2"/>
      <c r="T406" s="2"/>
      <c r="U406" s="2"/>
      <c r="V406" s="2"/>
      <c r="W406" s="2"/>
      <c r="X406" s="2"/>
      <c r="Y406" s="2"/>
      <c r="Z406" s="2"/>
      <c r="AA406" s="2"/>
      <c r="AB406" s="2"/>
      <c r="AC406" s="2"/>
    </row>
    <row r="407" spans="1:29" ht="13">
      <c r="A407" s="3"/>
      <c r="B407" s="2"/>
      <c r="C407" s="3"/>
      <c r="D407" s="3"/>
      <c r="E407" s="1"/>
      <c r="F407" s="1"/>
      <c r="G407" s="1"/>
      <c r="H407" s="2"/>
      <c r="I407" s="2"/>
      <c r="J407" s="2"/>
      <c r="K407" s="2"/>
      <c r="L407" s="2"/>
      <c r="M407" s="3"/>
      <c r="N407" s="3"/>
      <c r="O407" s="2"/>
      <c r="P407" s="2"/>
      <c r="Q407" s="2"/>
      <c r="R407" s="2"/>
      <c r="S407" s="2"/>
      <c r="T407" s="2"/>
      <c r="U407" s="2"/>
      <c r="V407" s="2"/>
      <c r="W407" s="2"/>
      <c r="X407" s="2"/>
      <c r="Y407" s="2"/>
      <c r="Z407" s="2"/>
      <c r="AA407" s="2"/>
      <c r="AB407" s="2"/>
      <c r="AC407" s="2"/>
    </row>
    <row r="408" spans="1:29" ht="13">
      <c r="A408" s="3"/>
      <c r="B408" s="2"/>
      <c r="C408" s="3"/>
      <c r="D408" s="3"/>
      <c r="E408" s="1"/>
      <c r="F408" s="1"/>
      <c r="G408" s="1"/>
      <c r="H408" s="2"/>
      <c r="I408" s="2"/>
      <c r="J408" s="2"/>
      <c r="K408" s="2"/>
      <c r="L408" s="2"/>
      <c r="M408" s="3"/>
      <c r="N408" s="3"/>
      <c r="O408" s="2"/>
      <c r="P408" s="2"/>
      <c r="Q408" s="2"/>
      <c r="R408" s="2"/>
      <c r="S408" s="2"/>
      <c r="T408" s="2"/>
      <c r="U408" s="2"/>
      <c r="V408" s="2"/>
      <c r="W408" s="2"/>
      <c r="X408" s="2"/>
      <c r="Y408" s="2"/>
      <c r="Z408" s="2"/>
      <c r="AA408" s="2"/>
      <c r="AB408" s="2"/>
      <c r="AC408" s="2"/>
    </row>
    <row r="409" spans="1:29" ht="13">
      <c r="A409" s="3"/>
      <c r="B409" s="2"/>
      <c r="C409" s="3"/>
      <c r="D409" s="3"/>
      <c r="E409" s="1"/>
      <c r="F409" s="1"/>
      <c r="G409" s="1"/>
      <c r="H409" s="2"/>
      <c r="I409" s="2"/>
      <c r="J409" s="2"/>
      <c r="K409" s="2"/>
      <c r="L409" s="2"/>
      <c r="M409" s="3"/>
      <c r="N409" s="3"/>
      <c r="O409" s="2"/>
      <c r="P409" s="2"/>
      <c r="Q409" s="2"/>
      <c r="R409" s="2"/>
      <c r="S409" s="2"/>
      <c r="T409" s="2"/>
      <c r="U409" s="2"/>
      <c r="V409" s="2"/>
      <c r="W409" s="2"/>
      <c r="X409" s="2"/>
      <c r="Y409" s="2"/>
      <c r="Z409" s="2"/>
      <c r="AA409" s="2"/>
      <c r="AB409" s="2"/>
      <c r="AC409" s="2"/>
    </row>
    <row r="410" spans="1:29" ht="13">
      <c r="A410" s="3"/>
      <c r="B410" s="2"/>
      <c r="C410" s="3"/>
      <c r="D410" s="3"/>
      <c r="E410" s="1"/>
      <c r="F410" s="1"/>
      <c r="G410" s="1"/>
      <c r="H410" s="2"/>
      <c r="I410" s="2"/>
      <c r="J410" s="2"/>
      <c r="K410" s="2"/>
      <c r="L410" s="2"/>
      <c r="M410" s="3"/>
      <c r="N410" s="3"/>
      <c r="O410" s="2"/>
      <c r="P410" s="2"/>
      <c r="Q410" s="2"/>
      <c r="R410" s="2"/>
      <c r="S410" s="2"/>
      <c r="T410" s="2"/>
      <c r="U410" s="2"/>
      <c r="V410" s="2"/>
      <c r="W410" s="2"/>
      <c r="X410" s="2"/>
      <c r="Y410" s="2"/>
      <c r="Z410" s="2"/>
      <c r="AA410" s="2"/>
      <c r="AB410" s="2"/>
      <c r="AC410" s="2"/>
    </row>
    <row r="411" spans="1:29" ht="13">
      <c r="A411" s="3"/>
      <c r="B411" s="2"/>
      <c r="C411" s="3"/>
      <c r="D411" s="3"/>
      <c r="E411" s="1"/>
      <c r="F411" s="1"/>
      <c r="G411" s="1"/>
      <c r="H411" s="2"/>
      <c r="I411" s="2"/>
      <c r="J411" s="2"/>
      <c r="K411" s="2"/>
      <c r="L411" s="2"/>
      <c r="M411" s="3"/>
      <c r="N411" s="3"/>
      <c r="O411" s="2"/>
      <c r="P411" s="2"/>
      <c r="Q411" s="2"/>
      <c r="R411" s="2"/>
      <c r="S411" s="2"/>
      <c r="T411" s="2"/>
      <c r="U411" s="2"/>
      <c r="V411" s="2"/>
      <c r="W411" s="2"/>
      <c r="X411" s="2"/>
      <c r="Y411" s="2"/>
      <c r="Z411" s="2"/>
      <c r="AA411" s="2"/>
      <c r="AB411" s="2"/>
      <c r="AC411" s="2"/>
    </row>
    <row r="412" spans="1:29" ht="13">
      <c r="A412" s="3"/>
      <c r="B412" s="2"/>
      <c r="C412" s="3"/>
      <c r="D412" s="3"/>
      <c r="E412" s="1"/>
      <c r="F412" s="1"/>
      <c r="G412" s="1"/>
      <c r="H412" s="2"/>
      <c r="I412" s="2"/>
      <c r="J412" s="2"/>
      <c r="K412" s="2"/>
      <c r="L412" s="2"/>
      <c r="M412" s="3"/>
      <c r="N412" s="3"/>
      <c r="O412" s="2"/>
      <c r="P412" s="2"/>
      <c r="Q412" s="2"/>
      <c r="R412" s="2"/>
      <c r="S412" s="2"/>
      <c r="T412" s="2"/>
      <c r="U412" s="2"/>
      <c r="V412" s="2"/>
      <c r="W412" s="2"/>
      <c r="X412" s="2"/>
      <c r="Y412" s="2"/>
      <c r="Z412" s="2"/>
      <c r="AA412" s="2"/>
      <c r="AB412" s="2"/>
      <c r="AC412" s="2"/>
    </row>
    <row r="413" spans="1:29" ht="13">
      <c r="A413" s="3"/>
      <c r="B413" s="2"/>
      <c r="C413" s="3"/>
      <c r="D413" s="3"/>
      <c r="E413" s="1"/>
      <c r="F413" s="1"/>
      <c r="G413" s="1"/>
      <c r="H413" s="2"/>
      <c r="I413" s="2"/>
      <c r="J413" s="2"/>
      <c r="K413" s="2"/>
      <c r="L413" s="2"/>
      <c r="M413" s="3"/>
      <c r="N413" s="3"/>
      <c r="O413" s="2"/>
      <c r="P413" s="2"/>
      <c r="Q413" s="2"/>
      <c r="R413" s="2"/>
      <c r="S413" s="2"/>
      <c r="T413" s="2"/>
      <c r="U413" s="2"/>
      <c r="V413" s="2"/>
      <c r="W413" s="2"/>
      <c r="X413" s="2"/>
      <c r="Y413" s="2"/>
      <c r="Z413" s="2"/>
      <c r="AA413" s="2"/>
      <c r="AB413" s="2"/>
      <c r="AC413" s="2"/>
    </row>
    <row r="414" spans="1:29" ht="13">
      <c r="A414" s="3"/>
      <c r="B414" s="2"/>
      <c r="C414" s="3"/>
      <c r="D414" s="3"/>
      <c r="E414" s="1"/>
      <c r="F414" s="1"/>
      <c r="G414" s="1"/>
      <c r="H414" s="2"/>
      <c r="I414" s="2"/>
      <c r="J414" s="2"/>
      <c r="K414" s="2"/>
      <c r="L414" s="2"/>
      <c r="M414" s="3"/>
      <c r="N414" s="3"/>
      <c r="O414" s="2"/>
      <c r="P414" s="2"/>
      <c r="Q414" s="2"/>
      <c r="R414" s="2"/>
      <c r="S414" s="2"/>
      <c r="T414" s="2"/>
      <c r="U414" s="2"/>
      <c r="V414" s="2"/>
      <c r="W414" s="2"/>
      <c r="X414" s="2"/>
      <c r="Y414" s="2"/>
      <c r="Z414" s="2"/>
      <c r="AA414" s="2"/>
      <c r="AB414" s="2"/>
      <c r="AC414" s="2"/>
    </row>
    <row r="415" spans="1:29" ht="13">
      <c r="A415" s="3"/>
      <c r="B415" s="2"/>
      <c r="C415" s="3"/>
      <c r="D415" s="3"/>
      <c r="E415" s="1"/>
      <c r="F415" s="1"/>
      <c r="G415" s="1"/>
      <c r="H415" s="2"/>
      <c r="I415" s="2"/>
      <c r="J415" s="2"/>
      <c r="K415" s="2"/>
      <c r="L415" s="2"/>
      <c r="M415" s="3"/>
      <c r="N415" s="3"/>
      <c r="O415" s="2"/>
      <c r="P415" s="2"/>
      <c r="Q415" s="2"/>
      <c r="R415" s="2"/>
      <c r="S415" s="2"/>
      <c r="T415" s="2"/>
      <c r="U415" s="2"/>
      <c r="V415" s="2"/>
      <c r="W415" s="2"/>
      <c r="X415" s="2"/>
      <c r="Y415" s="2"/>
      <c r="Z415" s="2"/>
      <c r="AA415" s="2"/>
      <c r="AB415" s="2"/>
      <c r="AC415" s="2"/>
    </row>
    <row r="416" spans="1:29" ht="13">
      <c r="A416" s="3"/>
      <c r="B416" s="2"/>
      <c r="C416" s="3"/>
      <c r="D416" s="3"/>
      <c r="E416" s="1"/>
      <c r="F416" s="1"/>
      <c r="G416" s="1"/>
      <c r="H416" s="2"/>
      <c r="I416" s="2"/>
      <c r="J416" s="2"/>
      <c r="K416" s="2"/>
      <c r="L416" s="2"/>
      <c r="M416" s="3"/>
      <c r="N416" s="3"/>
      <c r="O416" s="2"/>
      <c r="P416" s="2"/>
      <c r="Q416" s="2"/>
      <c r="R416" s="2"/>
      <c r="S416" s="2"/>
      <c r="T416" s="2"/>
      <c r="U416" s="2"/>
      <c r="V416" s="2"/>
      <c r="W416" s="2"/>
      <c r="X416" s="2"/>
      <c r="Y416" s="2"/>
      <c r="Z416" s="2"/>
      <c r="AA416" s="2"/>
      <c r="AB416" s="2"/>
      <c r="AC416" s="2"/>
    </row>
    <row r="417" spans="1:29" ht="13">
      <c r="A417" s="3"/>
      <c r="B417" s="2"/>
      <c r="C417" s="3"/>
      <c r="D417" s="3"/>
      <c r="E417" s="1"/>
      <c r="F417" s="1"/>
      <c r="G417" s="1"/>
      <c r="H417" s="2"/>
      <c r="I417" s="2"/>
      <c r="J417" s="2"/>
      <c r="K417" s="2"/>
      <c r="L417" s="2"/>
      <c r="M417" s="3"/>
      <c r="N417" s="3"/>
      <c r="O417" s="2"/>
      <c r="P417" s="2"/>
      <c r="Q417" s="2"/>
      <c r="R417" s="2"/>
      <c r="S417" s="2"/>
      <c r="T417" s="2"/>
      <c r="U417" s="2"/>
      <c r="V417" s="2"/>
      <c r="W417" s="2"/>
      <c r="X417" s="2"/>
      <c r="Y417" s="2"/>
      <c r="Z417" s="2"/>
      <c r="AA417" s="2"/>
      <c r="AB417" s="2"/>
      <c r="AC417" s="2"/>
    </row>
    <row r="418" spans="1:29" ht="13">
      <c r="A418" s="3"/>
      <c r="B418" s="2"/>
      <c r="C418" s="3"/>
      <c r="D418" s="3"/>
      <c r="E418" s="1"/>
      <c r="F418" s="1"/>
      <c r="G418" s="1"/>
      <c r="H418" s="2"/>
      <c r="I418" s="2"/>
      <c r="J418" s="2"/>
      <c r="K418" s="2"/>
      <c r="L418" s="2"/>
      <c r="M418" s="3"/>
      <c r="N418" s="3"/>
      <c r="O418" s="2"/>
      <c r="P418" s="2"/>
      <c r="Q418" s="2"/>
      <c r="R418" s="2"/>
      <c r="S418" s="2"/>
      <c r="T418" s="2"/>
      <c r="U418" s="2"/>
      <c r="V418" s="2"/>
      <c r="W418" s="2"/>
      <c r="X418" s="2"/>
      <c r="Y418" s="2"/>
      <c r="Z418" s="2"/>
      <c r="AA418" s="2"/>
      <c r="AB418" s="2"/>
      <c r="AC418" s="2"/>
    </row>
    <row r="419" spans="1:29" ht="13">
      <c r="A419" s="3"/>
      <c r="B419" s="2"/>
      <c r="C419" s="3"/>
      <c r="D419" s="3"/>
      <c r="E419" s="1"/>
      <c r="F419" s="1"/>
      <c r="G419" s="1"/>
      <c r="H419" s="2"/>
      <c r="I419" s="2"/>
      <c r="J419" s="2"/>
      <c r="K419" s="2"/>
      <c r="L419" s="2"/>
      <c r="M419" s="3"/>
      <c r="N419" s="3"/>
      <c r="O419" s="2"/>
      <c r="P419" s="2"/>
      <c r="Q419" s="2"/>
      <c r="R419" s="2"/>
      <c r="S419" s="2"/>
      <c r="T419" s="2"/>
      <c r="U419" s="2"/>
      <c r="V419" s="2"/>
      <c r="W419" s="2"/>
      <c r="X419" s="2"/>
      <c r="Y419" s="2"/>
      <c r="Z419" s="2"/>
      <c r="AA419" s="2"/>
      <c r="AB419" s="2"/>
      <c r="AC419" s="2"/>
    </row>
    <row r="420" spans="1:29" ht="13">
      <c r="A420" s="3"/>
      <c r="B420" s="2"/>
      <c r="C420" s="3"/>
      <c r="D420" s="3"/>
      <c r="E420" s="1"/>
      <c r="F420" s="1"/>
      <c r="G420" s="1"/>
      <c r="H420" s="2"/>
      <c r="I420" s="2"/>
      <c r="J420" s="2"/>
      <c r="K420" s="2"/>
      <c r="L420" s="2"/>
      <c r="M420" s="3"/>
      <c r="N420" s="3"/>
      <c r="O420" s="2"/>
      <c r="P420" s="2"/>
      <c r="Q420" s="2"/>
      <c r="R420" s="2"/>
      <c r="S420" s="2"/>
      <c r="T420" s="2"/>
      <c r="U420" s="2"/>
      <c r="V420" s="2"/>
      <c r="W420" s="2"/>
      <c r="X420" s="2"/>
      <c r="Y420" s="2"/>
      <c r="Z420" s="2"/>
      <c r="AA420" s="2"/>
      <c r="AB420" s="2"/>
      <c r="AC420" s="2"/>
    </row>
    <row r="421" spans="1:29" ht="13">
      <c r="A421" s="3"/>
      <c r="B421" s="2"/>
      <c r="C421" s="3"/>
      <c r="D421" s="3"/>
      <c r="E421" s="1"/>
      <c r="F421" s="1"/>
      <c r="G421" s="1"/>
      <c r="H421" s="2"/>
      <c r="I421" s="2"/>
      <c r="J421" s="2"/>
      <c r="K421" s="2"/>
      <c r="L421" s="2"/>
      <c r="M421" s="3"/>
      <c r="N421" s="3"/>
      <c r="O421" s="2"/>
      <c r="P421" s="2"/>
      <c r="Q421" s="2"/>
      <c r="R421" s="2"/>
      <c r="S421" s="2"/>
      <c r="T421" s="2"/>
      <c r="U421" s="2"/>
      <c r="V421" s="2"/>
      <c r="W421" s="2"/>
      <c r="X421" s="2"/>
      <c r="Y421" s="2"/>
      <c r="Z421" s="2"/>
      <c r="AA421" s="2"/>
      <c r="AB421" s="2"/>
      <c r="AC421" s="2"/>
    </row>
    <row r="422" spans="1:29" ht="13">
      <c r="A422" s="3"/>
      <c r="B422" s="2"/>
      <c r="C422" s="3"/>
      <c r="D422" s="3"/>
      <c r="E422" s="1"/>
      <c r="F422" s="1"/>
      <c r="G422" s="1"/>
      <c r="H422" s="2"/>
      <c r="I422" s="2"/>
      <c r="J422" s="2"/>
      <c r="K422" s="2"/>
      <c r="L422" s="2"/>
      <c r="M422" s="3"/>
      <c r="N422" s="3"/>
      <c r="O422" s="2"/>
      <c r="P422" s="2"/>
      <c r="Q422" s="2"/>
      <c r="R422" s="2"/>
      <c r="S422" s="2"/>
      <c r="T422" s="2"/>
      <c r="U422" s="2"/>
      <c r="V422" s="2"/>
      <c r="W422" s="2"/>
      <c r="X422" s="2"/>
      <c r="Y422" s="2"/>
      <c r="Z422" s="2"/>
      <c r="AA422" s="2"/>
      <c r="AB422" s="2"/>
      <c r="AC422" s="2"/>
    </row>
    <row r="423" spans="1:29" ht="13">
      <c r="A423" s="3"/>
      <c r="B423" s="2"/>
      <c r="C423" s="3"/>
      <c r="D423" s="3"/>
      <c r="E423" s="1"/>
      <c r="F423" s="1"/>
      <c r="G423" s="1"/>
      <c r="H423" s="2"/>
      <c r="I423" s="2"/>
      <c r="J423" s="2"/>
      <c r="K423" s="2"/>
      <c r="L423" s="2"/>
      <c r="M423" s="3"/>
      <c r="N423" s="3"/>
      <c r="O423" s="2"/>
      <c r="P423" s="2"/>
      <c r="Q423" s="2"/>
      <c r="R423" s="2"/>
      <c r="S423" s="2"/>
      <c r="T423" s="2"/>
      <c r="U423" s="2"/>
      <c r="V423" s="2"/>
      <c r="W423" s="2"/>
      <c r="X423" s="2"/>
      <c r="Y423" s="2"/>
      <c r="Z423" s="2"/>
      <c r="AA423" s="2"/>
      <c r="AB423" s="2"/>
      <c r="AC423" s="2"/>
    </row>
    <row r="424" spans="1:29" ht="13">
      <c r="A424" s="3"/>
      <c r="B424" s="2"/>
      <c r="C424" s="3"/>
      <c r="D424" s="3"/>
      <c r="E424" s="1"/>
      <c r="F424" s="1"/>
      <c r="G424" s="1"/>
      <c r="H424" s="2"/>
      <c r="I424" s="2"/>
      <c r="J424" s="2"/>
      <c r="K424" s="2"/>
      <c r="L424" s="2"/>
      <c r="M424" s="3"/>
      <c r="N424" s="3"/>
      <c r="O424" s="2"/>
      <c r="P424" s="2"/>
      <c r="Q424" s="2"/>
      <c r="R424" s="2"/>
      <c r="S424" s="2"/>
      <c r="T424" s="2"/>
      <c r="U424" s="2"/>
      <c r="V424" s="2"/>
      <c r="W424" s="2"/>
      <c r="X424" s="2"/>
      <c r="Y424" s="2"/>
      <c r="Z424" s="2"/>
      <c r="AA424" s="2"/>
      <c r="AB424" s="2"/>
      <c r="AC424" s="2"/>
    </row>
    <row r="425" spans="1:29" ht="13">
      <c r="A425" s="3"/>
      <c r="B425" s="2"/>
      <c r="C425" s="3"/>
      <c r="D425" s="3"/>
      <c r="E425" s="1"/>
      <c r="F425" s="1"/>
      <c r="G425" s="1"/>
      <c r="H425" s="2"/>
      <c r="I425" s="2"/>
      <c r="J425" s="2"/>
      <c r="K425" s="2"/>
      <c r="L425" s="2"/>
      <c r="M425" s="3"/>
      <c r="N425" s="3"/>
      <c r="O425" s="2"/>
      <c r="P425" s="2"/>
      <c r="Q425" s="2"/>
      <c r="R425" s="2"/>
      <c r="S425" s="2"/>
      <c r="T425" s="2"/>
      <c r="U425" s="2"/>
      <c r="V425" s="2"/>
      <c r="W425" s="2"/>
      <c r="X425" s="2"/>
      <c r="Y425" s="2"/>
      <c r="Z425" s="2"/>
      <c r="AA425" s="2"/>
      <c r="AB425" s="2"/>
      <c r="AC425" s="2"/>
    </row>
    <row r="426" spans="1:29" ht="13">
      <c r="A426" s="3"/>
      <c r="B426" s="2"/>
      <c r="C426" s="3"/>
      <c r="D426" s="3"/>
      <c r="E426" s="1"/>
      <c r="F426" s="1"/>
      <c r="G426" s="1"/>
      <c r="H426" s="2"/>
      <c r="I426" s="2"/>
      <c r="J426" s="2"/>
      <c r="K426" s="2"/>
      <c r="L426" s="2"/>
      <c r="M426" s="3"/>
      <c r="N426" s="3"/>
      <c r="O426" s="2"/>
      <c r="P426" s="2"/>
      <c r="Q426" s="2"/>
      <c r="R426" s="2"/>
      <c r="S426" s="2"/>
      <c r="T426" s="2"/>
      <c r="U426" s="2"/>
      <c r="V426" s="2"/>
      <c r="W426" s="2"/>
      <c r="X426" s="2"/>
      <c r="Y426" s="2"/>
      <c r="Z426" s="2"/>
      <c r="AA426" s="2"/>
      <c r="AB426" s="2"/>
      <c r="AC426" s="2"/>
    </row>
    <row r="427" spans="1:29" ht="13">
      <c r="A427" s="3"/>
      <c r="B427" s="2"/>
      <c r="C427" s="3"/>
      <c r="D427" s="3"/>
      <c r="E427" s="1"/>
      <c r="F427" s="1"/>
      <c r="G427" s="1"/>
      <c r="H427" s="2"/>
      <c r="I427" s="2"/>
      <c r="J427" s="2"/>
      <c r="K427" s="2"/>
      <c r="L427" s="2"/>
      <c r="M427" s="3"/>
      <c r="N427" s="3"/>
      <c r="O427" s="2"/>
      <c r="P427" s="2"/>
      <c r="Q427" s="2"/>
      <c r="R427" s="2"/>
      <c r="S427" s="2"/>
      <c r="T427" s="2"/>
      <c r="U427" s="2"/>
      <c r="V427" s="2"/>
      <c r="W427" s="2"/>
      <c r="X427" s="2"/>
      <c r="Y427" s="2"/>
      <c r="Z427" s="2"/>
      <c r="AA427" s="2"/>
      <c r="AB427" s="2"/>
      <c r="AC427" s="2"/>
    </row>
    <row r="428" spans="1:29" ht="13">
      <c r="A428" s="3"/>
      <c r="B428" s="2"/>
      <c r="C428" s="3"/>
      <c r="D428" s="3"/>
      <c r="E428" s="1"/>
      <c r="F428" s="1"/>
      <c r="G428" s="1"/>
      <c r="H428" s="2"/>
      <c r="I428" s="2"/>
      <c r="J428" s="2"/>
      <c r="K428" s="2"/>
      <c r="L428" s="2"/>
      <c r="M428" s="3"/>
      <c r="N428" s="3"/>
      <c r="O428" s="2"/>
      <c r="P428" s="2"/>
      <c r="Q428" s="2"/>
      <c r="R428" s="2"/>
      <c r="S428" s="2"/>
      <c r="T428" s="2"/>
      <c r="U428" s="2"/>
      <c r="V428" s="2"/>
      <c r="W428" s="2"/>
      <c r="X428" s="2"/>
      <c r="Y428" s="2"/>
      <c r="Z428" s="2"/>
      <c r="AA428" s="2"/>
      <c r="AB428" s="2"/>
      <c r="AC428" s="2"/>
    </row>
    <row r="429" spans="1:29" ht="13">
      <c r="A429" s="3"/>
      <c r="B429" s="2"/>
      <c r="C429" s="3"/>
      <c r="D429" s="3"/>
      <c r="E429" s="1"/>
      <c r="F429" s="1"/>
      <c r="G429" s="1"/>
      <c r="H429" s="2"/>
      <c r="I429" s="2"/>
      <c r="J429" s="2"/>
      <c r="K429" s="2"/>
      <c r="L429" s="2"/>
      <c r="M429" s="3"/>
      <c r="N429" s="3"/>
      <c r="O429" s="2"/>
      <c r="P429" s="2"/>
      <c r="Q429" s="2"/>
      <c r="R429" s="2"/>
      <c r="S429" s="2"/>
      <c r="T429" s="2"/>
      <c r="U429" s="2"/>
      <c r="V429" s="2"/>
      <c r="W429" s="2"/>
      <c r="X429" s="2"/>
      <c r="Y429" s="2"/>
      <c r="Z429" s="2"/>
      <c r="AA429" s="2"/>
      <c r="AB429" s="2"/>
      <c r="AC429" s="2"/>
    </row>
    <row r="430" spans="1:29" ht="13">
      <c r="A430" s="3"/>
      <c r="B430" s="2"/>
      <c r="C430" s="3"/>
      <c r="D430" s="3"/>
      <c r="E430" s="1"/>
      <c r="F430" s="1"/>
      <c r="G430" s="1"/>
      <c r="H430" s="2"/>
      <c r="I430" s="2"/>
      <c r="J430" s="2"/>
      <c r="K430" s="2"/>
      <c r="L430" s="2"/>
      <c r="M430" s="3"/>
      <c r="N430" s="3"/>
      <c r="O430" s="2"/>
      <c r="P430" s="2"/>
      <c r="Q430" s="2"/>
      <c r="R430" s="2"/>
      <c r="S430" s="2"/>
      <c r="T430" s="2"/>
      <c r="U430" s="2"/>
      <c r="V430" s="2"/>
      <c r="W430" s="2"/>
      <c r="X430" s="2"/>
      <c r="Y430" s="2"/>
      <c r="Z430" s="2"/>
      <c r="AA430" s="2"/>
      <c r="AB430" s="2"/>
      <c r="AC430" s="2"/>
    </row>
    <row r="431" spans="1:29" ht="13">
      <c r="A431" s="3"/>
      <c r="B431" s="2"/>
      <c r="C431" s="3"/>
      <c r="D431" s="3"/>
      <c r="E431" s="1"/>
      <c r="F431" s="1"/>
      <c r="G431" s="1"/>
      <c r="H431" s="2"/>
      <c r="I431" s="2"/>
      <c r="J431" s="2"/>
      <c r="K431" s="2"/>
      <c r="L431" s="2"/>
      <c r="M431" s="3"/>
      <c r="N431" s="3"/>
      <c r="O431" s="2"/>
      <c r="P431" s="2"/>
      <c r="Q431" s="2"/>
      <c r="R431" s="2"/>
      <c r="S431" s="2"/>
      <c r="T431" s="2"/>
      <c r="U431" s="2"/>
      <c r="V431" s="2"/>
      <c r="W431" s="2"/>
      <c r="X431" s="2"/>
      <c r="Y431" s="2"/>
      <c r="Z431" s="2"/>
      <c r="AA431" s="2"/>
      <c r="AB431" s="2"/>
      <c r="AC431" s="2"/>
    </row>
    <row r="432" spans="1:29" ht="13">
      <c r="A432" s="3"/>
      <c r="B432" s="2"/>
      <c r="C432" s="3"/>
      <c r="D432" s="3"/>
      <c r="E432" s="1"/>
      <c r="F432" s="1"/>
      <c r="G432" s="1"/>
      <c r="H432" s="2"/>
      <c r="I432" s="2"/>
      <c r="J432" s="2"/>
      <c r="K432" s="2"/>
      <c r="L432" s="2"/>
      <c r="M432" s="3"/>
      <c r="N432" s="3"/>
      <c r="O432" s="2"/>
      <c r="P432" s="2"/>
      <c r="Q432" s="2"/>
      <c r="R432" s="2"/>
      <c r="S432" s="2"/>
      <c r="T432" s="2"/>
      <c r="U432" s="2"/>
      <c r="V432" s="2"/>
      <c r="W432" s="2"/>
      <c r="X432" s="2"/>
      <c r="Y432" s="2"/>
      <c r="Z432" s="2"/>
      <c r="AA432" s="2"/>
      <c r="AB432" s="2"/>
      <c r="AC432" s="2"/>
    </row>
    <row r="433" spans="1:29" ht="13">
      <c r="A433" s="3"/>
      <c r="B433" s="2"/>
      <c r="C433" s="3"/>
      <c r="D433" s="3"/>
      <c r="E433" s="1"/>
      <c r="F433" s="1"/>
      <c r="G433" s="1"/>
      <c r="H433" s="2"/>
      <c r="I433" s="2"/>
      <c r="J433" s="2"/>
      <c r="K433" s="2"/>
      <c r="L433" s="2"/>
      <c r="M433" s="3"/>
      <c r="N433" s="3"/>
      <c r="O433" s="2"/>
      <c r="P433" s="2"/>
      <c r="Q433" s="2"/>
      <c r="R433" s="2"/>
      <c r="S433" s="2"/>
      <c r="T433" s="2"/>
      <c r="U433" s="2"/>
      <c r="V433" s="2"/>
      <c r="W433" s="2"/>
      <c r="X433" s="2"/>
      <c r="Y433" s="2"/>
      <c r="Z433" s="2"/>
      <c r="AA433" s="2"/>
      <c r="AB433" s="2"/>
      <c r="AC433" s="2"/>
    </row>
    <row r="434" spans="1:29" ht="13">
      <c r="A434" s="3"/>
      <c r="B434" s="2"/>
      <c r="C434" s="3"/>
      <c r="D434" s="3"/>
      <c r="E434" s="1"/>
      <c r="F434" s="1"/>
      <c r="G434" s="1"/>
      <c r="H434" s="2"/>
      <c r="I434" s="2"/>
      <c r="J434" s="2"/>
      <c r="K434" s="2"/>
      <c r="L434" s="2"/>
      <c r="M434" s="3"/>
      <c r="N434" s="3"/>
      <c r="O434" s="2"/>
      <c r="P434" s="2"/>
      <c r="Q434" s="2"/>
      <c r="R434" s="2"/>
      <c r="S434" s="2"/>
      <c r="T434" s="2"/>
      <c r="U434" s="2"/>
      <c r="V434" s="2"/>
      <c r="W434" s="2"/>
      <c r="X434" s="2"/>
      <c r="Y434" s="2"/>
      <c r="Z434" s="2"/>
      <c r="AA434" s="2"/>
      <c r="AB434" s="2"/>
      <c r="AC434" s="2"/>
    </row>
    <row r="435" spans="1:29" ht="13">
      <c r="A435" s="3"/>
      <c r="B435" s="2"/>
      <c r="C435" s="3"/>
      <c r="D435" s="3"/>
      <c r="E435" s="1"/>
      <c r="F435" s="1"/>
      <c r="G435" s="1"/>
      <c r="H435" s="2"/>
      <c r="I435" s="2"/>
      <c r="J435" s="2"/>
      <c r="K435" s="2"/>
      <c r="L435" s="2"/>
      <c r="M435" s="3"/>
      <c r="N435" s="3"/>
      <c r="O435" s="2"/>
      <c r="P435" s="2"/>
      <c r="Q435" s="2"/>
      <c r="R435" s="2"/>
      <c r="S435" s="2"/>
      <c r="T435" s="2"/>
      <c r="U435" s="2"/>
      <c r="V435" s="2"/>
      <c r="W435" s="2"/>
      <c r="X435" s="2"/>
      <c r="Y435" s="2"/>
      <c r="Z435" s="2"/>
      <c r="AA435" s="2"/>
      <c r="AB435" s="2"/>
      <c r="AC435" s="2"/>
    </row>
    <row r="436" spans="1:29" ht="13">
      <c r="A436" s="3"/>
      <c r="B436" s="2"/>
      <c r="C436" s="3"/>
      <c r="D436" s="3"/>
      <c r="E436" s="1"/>
      <c r="F436" s="1"/>
      <c r="G436" s="1"/>
      <c r="H436" s="2"/>
      <c r="I436" s="2"/>
      <c r="J436" s="2"/>
      <c r="K436" s="2"/>
      <c r="L436" s="2"/>
      <c r="M436" s="3"/>
      <c r="N436" s="3"/>
      <c r="O436" s="2"/>
      <c r="P436" s="2"/>
      <c r="Q436" s="2"/>
      <c r="R436" s="2"/>
      <c r="S436" s="2"/>
      <c r="T436" s="2"/>
      <c r="U436" s="2"/>
      <c r="V436" s="2"/>
      <c r="W436" s="2"/>
      <c r="X436" s="2"/>
      <c r="Y436" s="2"/>
      <c r="Z436" s="2"/>
      <c r="AA436" s="2"/>
      <c r="AB436" s="2"/>
      <c r="AC436" s="2"/>
    </row>
    <row r="437" spans="1:29" ht="13">
      <c r="A437" s="3"/>
      <c r="B437" s="2"/>
      <c r="C437" s="3"/>
      <c r="D437" s="3"/>
      <c r="E437" s="1"/>
      <c r="F437" s="1"/>
      <c r="G437" s="1"/>
      <c r="H437" s="2"/>
      <c r="I437" s="2"/>
      <c r="J437" s="2"/>
      <c r="K437" s="2"/>
      <c r="L437" s="2"/>
      <c r="M437" s="3"/>
      <c r="N437" s="3"/>
      <c r="O437" s="2"/>
      <c r="P437" s="2"/>
      <c r="Q437" s="2"/>
      <c r="R437" s="2"/>
      <c r="S437" s="2"/>
      <c r="T437" s="2"/>
      <c r="U437" s="2"/>
      <c r="V437" s="2"/>
      <c r="W437" s="2"/>
      <c r="X437" s="2"/>
      <c r="Y437" s="2"/>
      <c r="Z437" s="2"/>
      <c r="AA437" s="2"/>
      <c r="AB437" s="2"/>
      <c r="AC437" s="2"/>
    </row>
    <row r="438" spans="1:29" ht="13">
      <c r="A438" s="3"/>
      <c r="B438" s="2"/>
      <c r="C438" s="3"/>
      <c r="D438" s="3"/>
      <c r="E438" s="1"/>
      <c r="F438" s="1"/>
      <c r="G438" s="1"/>
      <c r="H438" s="2"/>
      <c r="I438" s="2"/>
      <c r="J438" s="2"/>
      <c r="K438" s="2"/>
      <c r="L438" s="2"/>
      <c r="M438" s="3"/>
      <c r="N438" s="3"/>
      <c r="O438" s="2"/>
      <c r="P438" s="2"/>
      <c r="Q438" s="2"/>
      <c r="R438" s="2"/>
      <c r="S438" s="2"/>
      <c r="T438" s="2"/>
      <c r="U438" s="2"/>
      <c r="V438" s="2"/>
      <c r="W438" s="2"/>
      <c r="X438" s="2"/>
      <c r="Y438" s="2"/>
      <c r="Z438" s="2"/>
      <c r="AA438" s="2"/>
      <c r="AB438" s="2"/>
      <c r="AC438" s="2"/>
    </row>
    <row r="439" spans="1:29" ht="13">
      <c r="A439" s="3"/>
      <c r="B439" s="2"/>
      <c r="C439" s="3"/>
      <c r="D439" s="3"/>
      <c r="E439" s="1"/>
      <c r="F439" s="1"/>
      <c r="G439" s="1"/>
      <c r="H439" s="2"/>
      <c r="I439" s="2"/>
      <c r="J439" s="2"/>
      <c r="K439" s="2"/>
      <c r="L439" s="2"/>
      <c r="M439" s="3"/>
      <c r="N439" s="3"/>
      <c r="O439" s="2"/>
      <c r="P439" s="2"/>
      <c r="Q439" s="2"/>
      <c r="R439" s="2"/>
      <c r="S439" s="2"/>
      <c r="T439" s="2"/>
      <c r="U439" s="2"/>
      <c r="V439" s="2"/>
      <c r="W439" s="2"/>
      <c r="X439" s="2"/>
      <c r="Y439" s="2"/>
      <c r="Z439" s="2"/>
      <c r="AA439" s="2"/>
      <c r="AB439" s="2"/>
      <c r="AC439" s="2"/>
    </row>
    <row r="440" spans="1:29" ht="13">
      <c r="A440" s="3"/>
      <c r="B440" s="2"/>
      <c r="C440" s="3"/>
      <c r="D440" s="3"/>
      <c r="E440" s="1"/>
      <c r="F440" s="1"/>
      <c r="G440" s="1"/>
      <c r="H440" s="2"/>
      <c r="I440" s="2"/>
      <c r="J440" s="2"/>
      <c r="K440" s="2"/>
      <c r="L440" s="2"/>
      <c r="M440" s="3"/>
      <c r="N440" s="3"/>
      <c r="O440" s="2"/>
      <c r="P440" s="2"/>
      <c r="Q440" s="2"/>
      <c r="R440" s="2"/>
      <c r="S440" s="2"/>
      <c r="T440" s="2"/>
      <c r="U440" s="2"/>
      <c r="V440" s="2"/>
      <c r="W440" s="2"/>
      <c r="X440" s="2"/>
      <c r="Y440" s="2"/>
      <c r="Z440" s="2"/>
      <c r="AA440" s="2"/>
      <c r="AB440" s="2"/>
      <c r="AC440" s="2"/>
    </row>
    <row r="441" spans="1:29" ht="13">
      <c r="A441" s="3"/>
      <c r="B441" s="2"/>
      <c r="C441" s="3"/>
      <c r="D441" s="3"/>
      <c r="E441" s="1"/>
      <c r="F441" s="1"/>
      <c r="G441" s="1"/>
      <c r="H441" s="2"/>
      <c r="I441" s="2"/>
      <c r="J441" s="2"/>
      <c r="K441" s="2"/>
      <c r="L441" s="2"/>
      <c r="M441" s="3"/>
      <c r="N441" s="3"/>
      <c r="O441" s="2"/>
      <c r="P441" s="2"/>
      <c r="Q441" s="2"/>
      <c r="R441" s="2"/>
      <c r="S441" s="2"/>
      <c r="T441" s="2"/>
      <c r="U441" s="2"/>
      <c r="V441" s="2"/>
      <c r="W441" s="2"/>
      <c r="X441" s="2"/>
      <c r="Y441" s="2"/>
      <c r="Z441" s="2"/>
      <c r="AA441" s="2"/>
      <c r="AB441" s="2"/>
      <c r="AC441" s="2"/>
    </row>
    <row r="442" spans="1:29" ht="13">
      <c r="A442" s="3"/>
      <c r="B442" s="2"/>
      <c r="C442" s="3"/>
      <c r="D442" s="3"/>
      <c r="E442" s="1"/>
      <c r="F442" s="1"/>
      <c r="G442" s="1"/>
      <c r="H442" s="2"/>
      <c r="I442" s="2"/>
      <c r="J442" s="2"/>
      <c r="K442" s="2"/>
      <c r="L442" s="2"/>
      <c r="M442" s="3"/>
      <c r="N442" s="3"/>
      <c r="O442" s="2"/>
      <c r="P442" s="2"/>
      <c r="Q442" s="2"/>
      <c r="R442" s="2"/>
      <c r="S442" s="2"/>
      <c r="T442" s="2"/>
      <c r="U442" s="2"/>
      <c r="V442" s="2"/>
      <c r="W442" s="2"/>
      <c r="X442" s="2"/>
      <c r="Y442" s="2"/>
      <c r="Z442" s="2"/>
      <c r="AA442" s="2"/>
      <c r="AB442" s="2"/>
      <c r="AC442" s="2"/>
    </row>
    <row r="443" spans="1:29" ht="13">
      <c r="A443" s="3"/>
      <c r="B443" s="2"/>
      <c r="C443" s="3"/>
      <c r="D443" s="3"/>
      <c r="E443" s="1"/>
      <c r="F443" s="1"/>
      <c r="G443" s="1"/>
      <c r="H443" s="2"/>
      <c r="I443" s="2"/>
      <c r="J443" s="2"/>
      <c r="K443" s="2"/>
      <c r="L443" s="2"/>
      <c r="M443" s="3"/>
      <c r="N443" s="3"/>
      <c r="O443" s="2"/>
      <c r="P443" s="2"/>
      <c r="Q443" s="2"/>
      <c r="R443" s="2"/>
      <c r="S443" s="2"/>
      <c r="T443" s="2"/>
      <c r="U443" s="2"/>
      <c r="V443" s="2"/>
      <c r="W443" s="2"/>
      <c r="X443" s="2"/>
      <c r="Y443" s="2"/>
      <c r="Z443" s="2"/>
      <c r="AA443" s="2"/>
      <c r="AB443" s="2"/>
      <c r="AC443" s="2"/>
    </row>
    <row r="444" spans="1:29" ht="13">
      <c r="A444" s="3"/>
      <c r="B444" s="2"/>
      <c r="C444" s="3"/>
      <c r="D444" s="3"/>
      <c r="E444" s="1"/>
      <c r="F444" s="1"/>
      <c r="G444" s="1"/>
      <c r="H444" s="2"/>
      <c r="I444" s="2"/>
      <c r="J444" s="2"/>
      <c r="K444" s="2"/>
      <c r="L444" s="2"/>
      <c r="M444" s="3"/>
      <c r="N444" s="3"/>
      <c r="O444" s="2"/>
      <c r="P444" s="2"/>
      <c r="Q444" s="2"/>
      <c r="R444" s="2"/>
      <c r="S444" s="2"/>
      <c r="T444" s="2"/>
      <c r="U444" s="2"/>
      <c r="V444" s="2"/>
      <c r="W444" s="2"/>
      <c r="X444" s="2"/>
      <c r="Y444" s="2"/>
      <c r="Z444" s="2"/>
      <c r="AA444" s="2"/>
      <c r="AB444" s="2"/>
      <c r="AC444" s="2"/>
    </row>
    <row r="445" spans="1:29" ht="13">
      <c r="A445" s="3"/>
      <c r="B445" s="2"/>
      <c r="C445" s="3"/>
      <c r="D445" s="3"/>
      <c r="E445" s="1"/>
      <c r="F445" s="1"/>
      <c r="G445" s="1"/>
      <c r="H445" s="2"/>
      <c r="I445" s="2"/>
      <c r="J445" s="2"/>
      <c r="K445" s="2"/>
      <c r="L445" s="2"/>
      <c r="M445" s="3"/>
      <c r="N445" s="3"/>
      <c r="O445" s="2"/>
      <c r="P445" s="2"/>
      <c r="Q445" s="2"/>
      <c r="R445" s="2"/>
      <c r="S445" s="2"/>
      <c r="T445" s="2"/>
      <c r="U445" s="2"/>
      <c r="V445" s="2"/>
      <c r="W445" s="2"/>
      <c r="X445" s="2"/>
      <c r="Y445" s="2"/>
      <c r="Z445" s="2"/>
      <c r="AA445" s="2"/>
      <c r="AB445" s="2"/>
      <c r="AC445" s="2"/>
    </row>
    <row r="446" spans="1:29" ht="13">
      <c r="A446" s="3"/>
      <c r="B446" s="2"/>
      <c r="C446" s="3"/>
      <c r="D446" s="3"/>
      <c r="E446" s="1"/>
      <c r="F446" s="1"/>
      <c r="G446" s="1"/>
      <c r="H446" s="2"/>
      <c r="I446" s="2"/>
      <c r="J446" s="2"/>
      <c r="K446" s="2"/>
      <c r="L446" s="2"/>
      <c r="M446" s="3"/>
      <c r="N446" s="3"/>
      <c r="O446" s="2"/>
      <c r="P446" s="2"/>
      <c r="Q446" s="2"/>
      <c r="R446" s="2"/>
      <c r="S446" s="2"/>
      <c r="T446" s="2"/>
      <c r="U446" s="2"/>
      <c r="V446" s="2"/>
      <c r="W446" s="2"/>
      <c r="X446" s="2"/>
      <c r="Y446" s="2"/>
      <c r="Z446" s="2"/>
      <c r="AA446" s="2"/>
      <c r="AB446" s="2"/>
      <c r="AC446" s="2"/>
    </row>
    <row r="447" spans="1:29" ht="13">
      <c r="A447" s="3"/>
      <c r="B447" s="2"/>
      <c r="C447" s="3"/>
      <c r="D447" s="3"/>
      <c r="E447" s="1"/>
      <c r="F447" s="1"/>
      <c r="G447" s="1"/>
      <c r="H447" s="2"/>
      <c r="I447" s="2"/>
      <c r="J447" s="2"/>
      <c r="K447" s="2"/>
      <c r="L447" s="2"/>
      <c r="M447" s="3"/>
      <c r="N447" s="3"/>
      <c r="O447" s="2"/>
      <c r="P447" s="2"/>
      <c r="Q447" s="2"/>
      <c r="R447" s="2"/>
      <c r="S447" s="2"/>
      <c r="T447" s="2"/>
      <c r="U447" s="2"/>
      <c r="V447" s="2"/>
      <c r="W447" s="2"/>
      <c r="X447" s="2"/>
      <c r="Y447" s="2"/>
      <c r="Z447" s="2"/>
      <c r="AA447" s="2"/>
      <c r="AB447" s="2"/>
      <c r="AC447" s="2"/>
    </row>
    <row r="448" spans="1:29" ht="13">
      <c r="A448" s="3"/>
      <c r="B448" s="2"/>
      <c r="C448" s="3"/>
      <c r="D448" s="3"/>
      <c r="E448" s="1"/>
      <c r="F448" s="1"/>
      <c r="G448" s="1"/>
      <c r="H448" s="2"/>
      <c r="I448" s="2"/>
      <c r="J448" s="2"/>
      <c r="K448" s="2"/>
      <c r="L448" s="2"/>
      <c r="M448" s="3"/>
      <c r="N448" s="3"/>
      <c r="O448" s="2"/>
      <c r="P448" s="2"/>
      <c r="Q448" s="2"/>
      <c r="R448" s="2"/>
      <c r="S448" s="2"/>
      <c r="T448" s="2"/>
      <c r="U448" s="2"/>
      <c r="V448" s="2"/>
      <c r="W448" s="2"/>
      <c r="X448" s="2"/>
      <c r="Y448" s="2"/>
      <c r="Z448" s="2"/>
      <c r="AA448" s="2"/>
      <c r="AB448" s="2"/>
      <c r="AC448" s="2"/>
    </row>
    <row r="449" spans="1:29" ht="13">
      <c r="A449" s="3"/>
      <c r="B449" s="2"/>
      <c r="C449" s="3"/>
      <c r="D449" s="3"/>
      <c r="E449" s="1"/>
      <c r="F449" s="1"/>
      <c r="G449" s="1"/>
      <c r="H449" s="2"/>
      <c r="I449" s="2"/>
      <c r="J449" s="2"/>
      <c r="K449" s="2"/>
      <c r="L449" s="2"/>
      <c r="M449" s="3"/>
      <c r="N449" s="3"/>
      <c r="O449" s="2"/>
      <c r="P449" s="2"/>
      <c r="Q449" s="2"/>
      <c r="R449" s="2"/>
      <c r="S449" s="2"/>
      <c r="T449" s="2"/>
      <c r="U449" s="2"/>
      <c r="V449" s="2"/>
      <c r="W449" s="2"/>
      <c r="X449" s="2"/>
      <c r="Y449" s="2"/>
      <c r="Z449" s="2"/>
      <c r="AA449" s="2"/>
      <c r="AB449" s="2"/>
      <c r="AC449" s="2"/>
    </row>
    <row r="450" spans="1:29" ht="13">
      <c r="A450" s="3"/>
      <c r="B450" s="2"/>
      <c r="C450" s="3"/>
      <c r="D450" s="3"/>
      <c r="E450" s="1"/>
      <c r="F450" s="1"/>
      <c r="G450" s="1"/>
      <c r="H450" s="2"/>
      <c r="I450" s="2"/>
      <c r="J450" s="2"/>
      <c r="K450" s="2"/>
      <c r="L450" s="2"/>
      <c r="M450" s="3"/>
      <c r="N450" s="3"/>
      <c r="O450" s="2"/>
      <c r="P450" s="2"/>
      <c r="Q450" s="2"/>
      <c r="R450" s="2"/>
      <c r="S450" s="2"/>
      <c r="T450" s="2"/>
      <c r="U450" s="2"/>
      <c r="V450" s="2"/>
      <c r="W450" s="2"/>
      <c r="X450" s="2"/>
      <c r="Y450" s="2"/>
      <c r="Z450" s="2"/>
      <c r="AA450" s="2"/>
      <c r="AB450" s="2"/>
      <c r="AC450" s="2"/>
    </row>
    <row r="451" spans="1:29" ht="13">
      <c r="A451" s="3"/>
      <c r="B451" s="2"/>
      <c r="C451" s="3"/>
      <c r="D451" s="3"/>
      <c r="E451" s="1"/>
      <c r="F451" s="1"/>
      <c r="G451" s="1"/>
      <c r="H451" s="2"/>
      <c r="I451" s="2"/>
      <c r="J451" s="2"/>
      <c r="K451" s="2"/>
      <c r="L451" s="2"/>
      <c r="M451" s="3"/>
      <c r="N451" s="3"/>
      <c r="O451" s="2"/>
      <c r="P451" s="2"/>
      <c r="Q451" s="2"/>
      <c r="R451" s="2"/>
      <c r="S451" s="2"/>
      <c r="T451" s="2"/>
      <c r="U451" s="2"/>
      <c r="V451" s="2"/>
      <c r="W451" s="2"/>
      <c r="X451" s="2"/>
      <c r="Y451" s="2"/>
      <c r="Z451" s="2"/>
      <c r="AA451" s="2"/>
      <c r="AB451" s="2"/>
      <c r="AC451" s="2"/>
    </row>
    <row r="452" spans="1:29" ht="13">
      <c r="A452" s="3"/>
      <c r="B452" s="2"/>
      <c r="C452" s="3"/>
      <c r="D452" s="3"/>
      <c r="E452" s="1"/>
      <c r="F452" s="1"/>
      <c r="G452" s="1"/>
      <c r="H452" s="2"/>
      <c r="I452" s="2"/>
      <c r="J452" s="2"/>
      <c r="K452" s="2"/>
      <c r="L452" s="2"/>
      <c r="M452" s="3"/>
      <c r="N452" s="3"/>
      <c r="O452" s="2"/>
      <c r="P452" s="2"/>
      <c r="Q452" s="2"/>
      <c r="R452" s="2"/>
      <c r="S452" s="2"/>
      <c r="T452" s="2"/>
      <c r="U452" s="2"/>
      <c r="V452" s="2"/>
      <c r="W452" s="2"/>
      <c r="X452" s="2"/>
      <c r="Y452" s="2"/>
      <c r="Z452" s="2"/>
      <c r="AA452" s="2"/>
      <c r="AB452" s="2"/>
      <c r="AC452" s="2"/>
    </row>
    <row r="453" spans="1:29" ht="13">
      <c r="A453" s="3"/>
      <c r="B453" s="2"/>
      <c r="C453" s="3"/>
      <c r="D453" s="3"/>
      <c r="E453" s="1"/>
      <c r="F453" s="1"/>
      <c r="G453" s="1"/>
      <c r="H453" s="2"/>
      <c r="I453" s="2"/>
      <c r="J453" s="2"/>
      <c r="K453" s="2"/>
      <c r="L453" s="2"/>
      <c r="M453" s="3"/>
      <c r="N453" s="3"/>
      <c r="O453" s="2"/>
      <c r="P453" s="2"/>
      <c r="Q453" s="2"/>
      <c r="R453" s="2"/>
      <c r="S453" s="2"/>
      <c r="T453" s="2"/>
      <c r="U453" s="2"/>
      <c r="V453" s="2"/>
      <c r="W453" s="2"/>
      <c r="X453" s="2"/>
      <c r="Y453" s="2"/>
      <c r="Z453" s="2"/>
      <c r="AA453" s="2"/>
      <c r="AB453" s="2"/>
      <c r="AC453" s="2"/>
    </row>
    <row r="454" spans="1:29" ht="13">
      <c r="A454" s="3"/>
      <c r="B454" s="2"/>
      <c r="C454" s="3"/>
      <c r="D454" s="3"/>
      <c r="E454" s="1"/>
      <c r="F454" s="1"/>
      <c r="G454" s="1"/>
      <c r="H454" s="2"/>
      <c r="I454" s="2"/>
      <c r="J454" s="2"/>
      <c r="K454" s="2"/>
      <c r="L454" s="2"/>
      <c r="M454" s="3"/>
      <c r="N454" s="3"/>
      <c r="O454" s="2"/>
      <c r="P454" s="2"/>
      <c r="Q454" s="2"/>
      <c r="R454" s="2"/>
      <c r="S454" s="2"/>
      <c r="T454" s="2"/>
      <c r="U454" s="2"/>
      <c r="V454" s="2"/>
      <c r="W454" s="2"/>
      <c r="X454" s="2"/>
      <c r="Y454" s="2"/>
      <c r="Z454" s="2"/>
      <c r="AA454" s="2"/>
      <c r="AB454" s="2"/>
      <c r="AC454" s="2"/>
    </row>
    <row r="455" spans="1:29" ht="13">
      <c r="A455" s="3"/>
      <c r="B455" s="2"/>
      <c r="C455" s="3"/>
      <c r="D455" s="3"/>
      <c r="E455" s="1"/>
      <c r="F455" s="1"/>
      <c r="G455" s="1"/>
      <c r="H455" s="2"/>
      <c r="I455" s="2"/>
      <c r="J455" s="2"/>
      <c r="K455" s="2"/>
      <c r="L455" s="2"/>
      <c r="M455" s="3"/>
      <c r="N455" s="3"/>
      <c r="O455" s="2"/>
      <c r="P455" s="2"/>
      <c r="Q455" s="2"/>
      <c r="R455" s="2"/>
      <c r="S455" s="2"/>
      <c r="T455" s="2"/>
      <c r="U455" s="2"/>
      <c r="V455" s="2"/>
      <c r="W455" s="2"/>
      <c r="X455" s="2"/>
      <c r="Y455" s="2"/>
      <c r="Z455" s="2"/>
      <c r="AA455" s="2"/>
      <c r="AB455" s="2"/>
      <c r="AC455" s="2"/>
    </row>
    <row r="456" spans="1:29" ht="13">
      <c r="A456" s="3"/>
      <c r="B456" s="2"/>
      <c r="C456" s="3"/>
      <c r="D456" s="3"/>
      <c r="E456" s="1"/>
      <c r="F456" s="1"/>
      <c r="G456" s="1"/>
      <c r="H456" s="2"/>
      <c r="I456" s="2"/>
      <c r="J456" s="2"/>
      <c r="K456" s="2"/>
      <c r="L456" s="2"/>
      <c r="M456" s="3"/>
      <c r="N456" s="3"/>
      <c r="O456" s="2"/>
      <c r="P456" s="2"/>
      <c r="Q456" s="2"/>
      <c r="R456" s="2"/>
      <c r="S456" s="2"/>
      <c r="T456" s="2"/>
      <c r="U456" s="2"/>
      <c r="V456" s="2"/>
      <c r="W456" s="2"/>
      <c r="X456" s="2"/>
      <c r="Y456" s="2"/>
      <c r="Z456" s="2"/>
      <c r="AA456" s="2"/>
      <c r="AB456" s="2"/>
      <c r="AC456" s="2"/>
    </row>
    <row r="457" spans="1:29" ht="13">
      <c r="A457" s="3"/>
      <c r="B457" s="2"/>
      <c r="C457" s="3"/>
      <c r="D457" s="3"/>
      <c r="E457" s="1"/>
      <c r="F457" s="1"/>
      <c r="G457" s="1"/>
      <c r="H457" s="2"/>
      <c r="I457" s="2"/>
      <c r="J457" s="2"/>
      <c r="K457" s="2"/>
      <c r="L457" s="2"/>
      <c r="M457" s="3"/>
      <c r="N457" s="3"/>
      <c r="O457" s="2"/>
      <c r="P457" s="2"/>
      <c r="Q457" s="2"/>
      <c r="R457" s="2"/>
      <c r="S457" s="2"/>
      <c r="T457" s="2"/>
      <c r="U457" s="2"/>
      <c r="V457" s="2"/>
      <c r="W457" s="2"/>
      <c r="X457" s="2"/>
      <c r="Y457" s="2"/>
      <c r="Z457" s="2"/>
      <c r="AA457" s="2"/>
      <c r="AB457" s="2"/>
      <c r="AC457" s="2"/>
    </row>
    <row r="458" spans="1:29" ht="13">
      <c r="A458" s="3"/>
      <c r="B458" s="2"/>
      <c r="C458" s="3"/>
      <c r="D458" s="3"/>
      <c r="E458" s="1"/>
      <c r="F458" s="1"/>
      <c r="G458" s="1"/>
      <c r="H458" s="2"/>
      <c r="I458" s="2"/>
      <c r="J458" s="2"/>
      <c r="K458" s="2"/>
      <c r="L458" s="2"/>
      <c r="M458" s="3"/>
      <c r="N458" s="3"/>
      <c r="O458" s="2"/>
      <c r="P458" s="2"/>
      <c r="Q458" s="2"/>
      <c r="R458" s="2"/>
      <c r="S458" s="2"/>
      <c r="T458" s="2"/>
      <c r="U458" s="2"/>
      <c r="V458" s="2"/>
      <c r="W458" s="2"/>
      <c r="X458" s="2"/>
      <c r="Y458" s="2"/>
      <c r="Z458" s="2"/>
      <c r="AA458" s="2"/>
      <c r="AB458" s="2"/>
      <c r="AC458" s="2"/>
    </row>
    <row r="459" spans="1:29" ht="13">
      <c r="A459" s="3"/>
      <c r="B459" s="2"/>
      <c r="C459" s="3"/>
      <c r="D459" s="3"/>
      <c r="E459" s="1"/>
      <c r="F459" s="1"/>
      <c r="G459" s="1"/>
      <c r="H459" s="2"/>
      <c r="I459" s="2"/>
      <c r="J459" s="2"/>
      <c r="K459" s="2"/>
      <c r="L459" s="2"/>
      <c r="M459" s="3"/>
      <c r="N459" s="3"/>
      <c r="O459" s="2"/>
      <c r="P459" s="2"/>
      <c r="Q459" s="2"/>
      <c r="R459" s="2"/>
      <c r="S459" s="2"/>
      <c r="T459" s="2"/>
      <c r="U459" s="2"/>
      <c r="V459" s="2"/>
      <c r="W459" s="2"/>
      <c r="X459" s="2"/>
      <c r="Y459" s="2"/>
      <c r="Z459" s="2"/>
      <c r="AA459" s="2"/>
      <c r="AB459" s="2"/>
      <c r="AC459" s="2"/>
    </row>
    <row r="460" spans="1:29" ht="13">
      <c r="A460" s="3"/>
      <c r="B460" s="2"/>
      <c r="C460" s="3"/>
      <c r="D460" s="3"/>
      <c r="E460" s="1"/>
      <c r="F460" s="1"/>
      <c r="G460" s="1"/>
      <c r="H460" s="2"/>
      <c r="I460" s="2"/>
      <c r="J460" s="2"/>
      <c r="K460" s="2"/>
      <c r="L460" s="2"/>
      <c r="M460" s="3"/>
      <c r="N460" s="3"/>
      <c r="O460" s="2"/>
      <c r="P460" s="2"/>
      <c r="Q460" s="2"/>
      <c r="R460" s="2"/>
      <c r="S460" s="2"/>
      <c r="T460" s="2"/>
      <c r="U460" s="2"/>
      <c r="V460" s="2"/>
      <c r="W460" s="2"/>
      <c r="X460" s="2"/>
      <c r="Y460" s="2"/>
      <c r="Z460" s="2"/>
      <c r="AA460" s="2"/>
      <c r="AB460" s="2"/>
      <c r="AC460" s="2"/>
    </row>
    <row r="461" spans="1:29" ht="13">
      <c r="A461" s="3"/>
      <c r="B461" s="2"/>
      <c r="C461" s="3"/>
      <c r="D461" s="3"/>
      <c r="E461" s="1"/>
      <c r="F461" s="1"/>
      <c r="G461" s="1"/>
      <c r="H461" s="2"/>
      <c r="I461" s="2"/>
      <c r="J461" s="2"/>
      <c r="K461" s="2"/>
      <c r="L461" s="2"/>
      <c r="M461" s="3"/>
      <c r="N461" s="3"/>
      <c r="O461" s="2"/>
      <c r="P461" s="2"/>
      <c r="Q461" s="2"/>
      <c r="R461" s="2"/>
      <c r="S461" s="2"/>
      <c r="T461" s="2"/>
      <c r="U461" s="2"/>
      <c r="V461" s="2"/>
      <c r="W461" s="2"/>
      <c r="X461" s="2"/>
      <c r="Y461" s="2"/>
      <c r="Z461" s="2"/>
      <c r="AA461" s="2"/>
      <c r="AB461" s="2"/>
      <c r="AC461" s="2"/>
    </row>
    <row r="462" spans="1:29" ht="13">
      <c r="A462" s="3"/>
      <c r="B462" s="2"/>
      <c r="C462" s="3"/>
      <c r="D462" s="3"/>
      <c r="E462" s="1"/>
      <c r="F462" s="1"/>
      <c r="G462" s="1"/>
      <c r="H462" s="2"/>
      <c r="I462" s="2"/>
      <c r="J462" s="2"/>
      <c r="K462" s="2"/>
      <c r="L462" s="2"/>
      <c r="M462" s="3"/>
      <c r="N462" s="3"/>
      <c r="O462" s="2"/>
      <c r="P462" s="2"/>
      <c r="Q462" s="2"/>
      <c r="R462" s="2"/>
      <c r="S462" s="2"/>
      <c r="T462" s="2"/>
      <c r="U462" s="2"/>
      <c r="V462" s="2"/>
      <c r="W462" s="2"/>
      <c r="X462" s="2"/>
      <c r="Y462" s="2"/>
      <c r="Z462" s="2"/>
      <c r="AA462" s="2"/>
      <c r="AB462" s="2"/>
      <c r="AC462" s="2"/>
    </row>
    <row r="463" spans="1:29" ht="13">
      <c r="A463" s="3"/>
      <c r="B463" s="2"/>
      <c r="C463" s="3"/>
      <c r="D463" s="3"/>
      <c r="E463" s="1"/>
      <c r="F463" s="1"/>
      <c r="G463" s="1"/>
      <c r="H463" s="2"/>
      <c r="I463" s="2"/>
      <c r="J463" s="2"/>
      <c r="K463" s="2"/>
      <c r="L463" s="2"/>
      <c r="M463" s="3"/>
      <c r="N463" s="3"/>
      <c r="O463" s="2"/>
      <c r="P463" s="2"/>
      <c r="Q463" s="2"/>
      <c r="R463" s="2"/>
      <c r="S463" s="2"/>
      <c r="T463" s="2"/>
      <c r="U463" s="2"/>
      <c r="V463" s="2"/>
      <c r="W463" s="2"/>
      <c r="X463" s="2"/>
      <c r="Y463" s="2"/>
      <c r="Z463" s="2"/>
      <c r="AA463" s="2"/>
      <c r="AB463" s="2"/>
      <c r="AC463" s="2"/>
    </row>
    <row r="464" spans="1:29" ht="13">
      <c r="A464" s="3"/>
      <c r="B464" s="2"/>
      <c r="C464" s="3"/>
      <c r="D464" s="3"/>
      <c r="E464" s="1"/>
      <c r="F464" s="1"/>
      <c r="G464" s="1"/>
      <c r="H464" s="2"/>
      <c r="I464" s="2"/>
      <c r="J464" s="2"/>
      <c r="K464" s="2"/>
      <c r="L464" s="2"/>
      <c r="M464" s="3"/>
      <c r="N464" s="3"/>
      <c r="O464" s="2"/>
      <c r="P464" s="2"/>
      <c r="Q464" s="2"/>
      <c r="R464" s="2"/>
      <c r="S464" s="2"/>
      <c r="T464" s="2"/>
      <c r="U464" s="2"/>
      <c r="V464" s="2"/>
      <c r="W464" s="2"/>
      <c r="X464" s="2"/>
      <c r="Y464" s="2"/>
      <c r="Z464" s="2"/>
      <c r="AA464" s="2"/>
      <c r="AB464" s="2"/>
      <c r="AC464" s="2"/>
    </row>
    <row r="465" spans="1:29" ht="13">
      <c r="A465" s="3"/>
      <c r="B465" s="2"/>
      <c r="C465" s="3"/>
      <c r="D465" s="3"/>
      <c r="E465" s="1"/>
      <c r="F465" s="1"/>
      <c r="G465" s="1"/>
      <c r="H465" s="2"/>
      <c r="I465" s="2"/>
      <c r="J465" s="2"/>
      <c r="K465" s="2"/>
      <c r="L465" s="2"/>
      <c r="M465" s="3"/>
      <c r="N465" s="3"/>
      <c r="O465" s="2"/>
      <c r="P465" s="2"/>
      <c r="Q465" s="2"/>
      <c r="R465" s="2"/>
      <c r="S465" s="2"/>
      <c r="T465" s="2"/>
      <c r="U465" s="2"/>
      <c r="V465" s="2"/>
      <c r="W465" s="2"/>
      <c r="X465" s="2"/>
      <c r="Y465" s="2"/>
      <c r="Z465" s="2"/>
      <c r="AA465" s="2"/>
      <c r="AB465" s="2"/>
      <c r="AC465" s="2"/>
    </row>
    <row r="466" spans="1:29" ht="13">
      <c r="A466" s="3"/>
      <c r="B466" s="2"/>
      <c r="C466" s="3"/>
      <c r="D466" s="3"/>
      <c r="E466" s="1"/>
      <c r="F466" s="1"/>
      <c r="G466" s="1"/>
      <c r="H466" s="2"/>
      <c r="I466" s="2"/>
      <c r="J466" s="2"/>
      <c r="K466" s="2"/>
      <c r="L466" s="2"/>
      <c r="M466" s="3"/>
      <c r="N466" s="3"/>
      <c r="O466" s="2"/>
      <c r="P466" s="2"/>
      <c r="Q466" s="2"/>
      <c r="R466" s="2"/>
      <c r="S466" s="2"/>
      <c r="T466" s="2"/>
      <c r="U466" s="2"/>
      <c r="V466" s="2"/>
      <c r="W466" s="2"/>
      <c r="X466" s="2"/>
      <c r="Y466" s="2"/>
      <c r="Z466" s="2"/>
      <c r="AA466" s="2"/>
      <c r="AB466" s="2"/>
      <c r="AC466" s="2"/>
    </row>
    <row r="467" spans="1:29" ht="13">
      <c r="A467" s="3"/>
      <c r="B467" s="2"/>
      <c r="C467" s="3"/>
      <c r="D467" s="3"/>
      <c r="E467" s="1"/>
      <c r="F467" s="1"/>
      <c r="G467" s="1"/>
      <c r="H467" s="2"/>
      <c r="I467" s="2"/>
      <c r="J467" s="2"/>
      <c r="K467" s="2"/>
      <c r="L467" s="2"/>
      <c r="M467" s="3"/>
      <c r="N467" s="3"/>
      <c r="O467" s="2"/>
      <c r="P467" s="2"/>
      <c r="Q467" s="2"/>
      <c r="R467" s="2"/>
      <c r="S467" s="2"/>
      <c r="T467" s="2"/>
      <c r="U467" s="2"/>
      <c r="V467" s="2"/>
      <c r="W467" s="2"/>
      <c r="X467" s="2"/>
      <c r="Y467" s="2"/>
      <c r="Z467" s="2"/>
      <c r="AA467" s="2"/>
      <c r="AB467" s="2"/>
      <c r="AC467" s="2"/>
    </row>
    <row r="468" spans="1:29" ht="13">
      <c r="A468" s="3"/>
      <c r="B468" s="2"/>
      <c r="C468" s="3"/>
      <c r="D468" s="3"/>
      <c r="E468" s="1"/>
      <c r="F468" s="1"/>
      <c r="G468" s="1"/>
      <c r="H468" s="2"/>
      <c r="I468" s="2"/>
      <c r="J468" s="2"/>
      <c r="K468" s="2"/>
      <c r="L468" s="2"/>
      <c r="M468" s="3"/>
      <c r="N468" s="3"/>
      <c r="O468" s="2"/>
      <c r="P468" s="2"/>
      <c r="Q468" s="2"/>
      <c r="R468" s="2"/>
      <c r="S468" s="2"/>
      <c r="T468" s="2"/>
      <c r="U468" s="2"/>
      <c r="V468" s="2"/>
      <c r="W468" s="2"/>
      <c r="X468" s="2"/>
      <c r="Y468" s="2"/>
      <c r="Z468" s="2"/>
      <c r="AA468" s="2"/>
      <c r="AB468" s="2"/>
      <c r="AC468" s="2"/>
    </row>
    <row r="469" spans="1:29" ht="13">
      <c r="A469" s="3"/>
      <c r="B469" s="2"/>
      <c r="C469" s="3"/>
      <c r="D469" s="3"/>
      <c r="E469" s="1"/>
      <c r="F469" s="1"/>
      <c r="G469" s="1"/>
      <c r="H469" s="2"/>
      <c r="I469" s="2"/>
      <c r="J469" s="2"/>
      <c r="K469" s="2"/>
      <c r="L469" s="2"/>
      <c r="M469" s="3"/>
      <c r="N469" s="3"/>
      <c r="O469" s="2"/>
      <c r="P469" s="2"/>
      <c r="Q469" s="2"/>
      <c r="R469" s="2"/>
      <c r="S469" s="2"/>
      <c r="T469" s="2"/>
      <c r="U469" s="2"/>
      <c r="V469" s="2"/>
      <c r="W469" s="2"/>
      <c r="X469" s="2"/>
      <c r="Y469" s="2"/>
      <c r="Z469" s="2"/>
      <c r="AA469" s="2"/>
      <c r="AB469" s="2"/>
      <c r="AC469" s="2"/>
    </row>
    <row r="470" spans="1:29" ht="13">
      <c r="A470" s="3"/>
      <c r="B470" s="2"/>
      <c r="C470" s="3"/>
      <c r="D470" s="3"/>
      <c r="E470" s="1"/>
      <c r="F470" s="1"/>
      <c r="G470" s="1"/>
      <c r="H470" s="2"/>
      <c r="I470" s="2"/>
      <c r="J470" s="2"/>
      <c r="K470" s="2"/>
      <c r="L470" s="2"/>
      <c r="M470" s="3"/>
      <c r="N470" s="3"/>
      <c r="O470" s="2"/>
      <c r="P470" s="2"/>
      <c r="Q470" s="2"/>
      <c r="R470" s="2"/>
      <c r="S470" s="2"/>
      <c r="T470" s="2"/>
      <c r="U470" s="2"/>
      <c r="V470" s="2"/>
      <c r="W470" s="2"/>
      <c r="X470" s="2"/>
      <c r="Y470" s="2"/>
      <c r="Z470" s="2"/>
      <c r="AA470" s="2"/>
      <c r="AB470" s="2"/>
      <c r="AC470" s="2"/>
    </row>
    <row r="471" spans="1:29" ht="13">
      <c r="A471" s="3"/>
      <c r="B471" s="2"/>
      <c r="C471" s="3"/>
      <c r="D471" s="3"/>
      <c r="E471" s="1"/>
      <c r="F471" s="1"/>
      <c r="G471" s="1"/>
      <c r="H471" s="2"/>
      <c r="I471" s="2"/>
      <c r="J471" s="2"/>
      <c r="K471" s="2"/>
      <c r="L471" s="2"/>
      <c r="M471" s="3"/>
      <c r="N471" s="3"/>
      <c r="O471" s="2"/>
      <c r="P471" s="2"/>
      <c r="Q471" s="2"/>
      <c r="R471" s="2"/>
      <c r="S471" s="2"/>
      <c r="T471" s="2"/>
      <c r="U471" s="2"/>
      <c r="V471" s="2"/>
      <c r="W471" s="2"/>
      <c r="X471" s="2"/>
      <c r="Y471" s="2"/>
      <c r="Z471" s="2"/>
      <c r="AA471" s="2"/>
      <c r="AB471" s="2"/>
      <c r="AC471" s="2"/>
    </row>
    <row r="472" spans="1:29" ht="13">
      <c r="A472" s="3"/>
      <c r="B472" s="2"/>
      <c r="C472" s="3"/>
      <c r="D472" s="3"/>
      <c r="E472" s="1"/>
      <c r="F472" s="1"/>
      <c r="G472" s="1"/>
      <c r="H472" s="2"/>
      <c r="I472" s="2"/>
      <c r="J472" s="2"/>
      <c r="K472" s="2"/>
      <c r="L472" s="2"/>
      <c r="M472" s="3"/>
      <c r="N472" s="3"/>
      <c r="O472" s="2"/>
      <c r="P472" s="2"/>
      <c r="Q472" s="2"/>
      <c r="R472" s="2"/>
      <c r="S472" s="2"/>
      <c r="T472" s="2"/>
      <c r="U472" s="2"/>
      <c r="V472" s="2"/>
      <c r="W472" s="2"/>
      <c r="X472" s="2"/>
      <c r="Y472" s="2"/>
      <c r="Z472" s="2"/>
      <c r="AA472" s="2"/>
      <c r="AB472" s="2"/>
      <c r="AC472" s="2"/>
    </row>
    <row r="473" spans="1:29" ht="13">
      <c r="A473" s="3"/>
      <c r="B473" s="2"/>
      <c r="C473" s="3"/>
      <c r="D473" s="3"/>
      <c r="E473" s="1"/>
      <c r="F473" s="1"/>
      <c r="G473" s="1"/>
      <c r="H473" s="2"/>
      <c r="I473" s="2"/>
      <c r="J473" s="2"/>
      <c r="K473" s="2"/>
      <c r="L473" s="2"/>
      <c r="M473" s="3"/>
      <c r="N473" s="3"/>
      <c r="O473" s="2"/>
      <c r="P473" s="2"/>
      <c r="Q473" s="2"/>
      <c r="R473" s="2"/>
      <c r="S473" s="2"/>
      <c r="T473" s="2"/>
      <c r="U473" s="2"/>
      <c r="V473" s="2"/>
      <c r="W473" s="2"/>
      <c r="X473" s="2"/>
      <c r="Y473" s="2"/>
      <c r="Z473" s="2"/>
      <c r="AA473" s="2"/>
      <c r="AB473" s="2"/>
      <c r="AC473" s="2"/>
    </row>
    <row r="474" spans="1:29" ht="13">
      <c r="A474" s="3"/>
      <c r="B474" s="2"/>
      <c r="C474" s="3"/>
      <c r="D474" s="3"/>
      <c r="E474" s="1"/>
      <c r="F474" s="1"/>
      <c r="G474" s="1"/>
      <c r="H474" s="2"/>
      <c r="I474" s="2"/>
      <c r="J474" s="2"/>
      <c r="K474" s="2"/>
      <c r="L474" s="2"/>
      <c r="M474" s="3"/>
      <c r="N474" s="3"/>
      <c r="O474" s="2"/>
      <c r="P474" s="2"/>
      <c r="Q474" s="2"/>
      <c r="R474" s="2"/>
      <c r="S474" s="2"/>
      <c r="T474" s="2"/>
      <c r="U474" s="2"/>
      <c r="V474" s="2"/>
      <c r="W474" s="2"/>
      <c r="X474" s="2"/>
      <c r="Y474" s="2"/>
      <c r="Z474" s="2"/>
      <c r="AA474" s="2"/>
      <c r="AB474" s="2"/>
      <c r="AC474" s="2"/>
    </row>
    <row r="475" spans="1:29" ht="13">
      <c r="A475" s="3"/>
      <c r="B475" s="2"/>
      <c r="C475" s="3"/>
      <c r="D475" s="3"/>
      <c r="E475" s="1"/>
      <c r="F475" s="1"/>
      <c r="G475" s="1"/>
      <c r="H475" s="2"/>
      <c r="I475" s="2"/>
      <c r="J475" s="2"/>
      <c r="K475" s="2"/>
      <c r="L475" s="2"/>
      <c r="M475" s="3"/>
      <c r="N475" s="3"/>
      <c r="O475" s="2"/>
      <c r="P475" s="2"/>
      <c r="Q475" s="2"/>
      <c r="R475" s="2"/>
      <c r="S475" s="2"/>
      <c r="T475" s="2"/>
      <c r="U475" s="2"/>
      <c r="V475" s="2"/>
      <c r="W475" s="2"/>
      <c r="X475" s="2"/>
      <c r="Y475" s="2"/>
      <c r="Z475" s="2"/>
      <c r="AA475" s="2"/>
      <c r="AB475" s="2"/>
      <c r="AC475" s="2"/>
    </row>
    <row r="476" spans="1:29" ht="13">
      <c r="A476" s="3"/>
      <c r="B476" s="2"/>
      <c r="C476" s="3"/>
      <c r="D476" s="3"/>
      <c r="E476" s="1"/>
      <c r="F476" s="1"/>
      <c r="G476" s="1"/>
      <c r="H476" s="2"/>
      <c r="I476" s="2"/>
      <c r="J476" s="2"/>
      <c r="K476" s="2"/>
      <c r="L476" s="2"/>
      <c r="M476" s="3"/>
      <c r="N476" s="3"/>
      <c r="O476" s="2"/>
      <c r="P476" s="2"/>
      <c r="Q476" s="2"/>
      <c r="R476" s="2"/>
      <c r="S476" s="2"/>
      <c r="T476" s="2"/>
      <c r="U476" s="2"/>
      <c r="V476" s="2"/>
      <c r="W476" s="2"/>
      <c r="X476" s="2"/>
      <c r="Y476" s="2"/>
      <c r="Z476" s="2"/>
      <c r="AA476" s="2"/>
      <c r="AB476" s="2"/>
      <c r="AC476" s="2"/>
    </row>
    <row r="477" spans="1:29" ht="13">
      <c r="A477" s="3"/>
      <c r="B477" s="2"/>
      <c r="C477" s="3"/>
      <c r="D477" s="3"/>
      <c r="E477" s="1"/>
      <c r="F477" s="1"/>
      <c r="G477" s="1"/>
      <c r="H477" s="2"/>
      <c r="I477" s="2"/>
      <c r="J477" s="2"/>
      <c r="K477" s="2"/>
      <c r="L477" s="2"/>
      <c r="M477" s="3"/>
      <c r="N477" s="3"/>
      <c r="O477" s="2"/>
      <c r="P477" s="2"/>
      <c r="Q477" s="2"/>
      <c r="R477" s="2"/>
      <c r="S477" s="2"/>
      <c r="T477" s="2"/>
      <c r="U477" s="2"/>
      <c r="V477" s="2"/>
      <c r="W477" s="2"/>
      <c r="X477" s="2"/>
      <c r="Y477" s="2"/>
      <c r="Z477" s="2"/>
      <c r="AA477" s="2"/>
      <c r="AB477" s="2"/>
      <c r="AC477" s="2"/>
    </row>
    <row r="478" spans="1:29" ht="13">
      <c r="A478" s="3"/>
      <c r="B478" s="2"/>
      <c r="C478" s="3"/>
      <c r="D478" s="3"/>
      <c r="E478" s="1"/>
      <c r="F478" s="1"/>
      <c r="G478" s="1"/>
      <c r="H478" s="2"/>
      <c r="I478" s="2"/>
      <c r="J478" s="2"/>
      <c r="K478" s="2"/>
      <c r="L478" s="2"/>
      <c r="M478" s="3"/>
      <c r="N478" s="3"/>
      <c r="O478" s="2"/>
      <c r="P478" s="2"/>
      <c r="Q478" s="2"/>
      <c r="R478" s="2"/>
      <c r="S478" s="2"/>
      <c r="T478" s="2"/>
      <c r="U478" s="2"/>
      <c r="V478" s="2"/>
      <c r="W478" s="2"/>
      <c r="X478" s="2"/>
      <c r="Y478" s="2"/>
      <c r="Z478" s="2"/>
      <c r="AA478" s="2"/>
      <c r="AB478" s="2"/>
      <c r="AC478" s="2"/>
    </row>
    <row r="479" spans="1:29" ht="13">
      <c r="A479" s="3"/>
      <c r="B479" s="2"/>
      <c r="C479" s="3"/>
      <c r="D479" s="3"/>
      <c r="E479" s="1"/>
      <c r="F479" s="1"/>
      <c r="G479" s="1"/>
      <c r="H479" s="2"/>
      <c r="I479" s="2"/>
      <c r="J479" s="2"/>
      <c r="K479" s="2"/>
      <c r="L479" s="2"/>
      <c r="M479" s="3"/>
      <c r="N479" s="3"/>
      <c r="O479" s="2"/>
      <c r="P479" s="2"/>
      <c r="Q479" s="2"/>
      <c r="R479" s="2"/>
      <c r="S479" s="2"/>
      <c r="T479" s="2"/>
      <c r="U479" s="2"/>
      <c r="V479" s="2"/>
      <c r="W479" s="2"/>
      <c r="X479" s="2"/>
      <c r="Y479" s="2"/>
      <c r="Z479" s="2"/>
      <c r="AA479" s="2"/>
      <c r="AB479" s="2"/>
      <c r="AC479" s="2"/>
    </row>
    <row r="480" spans="1:29" ht="13">
      <c r="A480" s="3"/>
      <c r="B480" s="2"/>
      <c r="C480" s="3"/>
      <c r="D480" s="3"/>
      <c r="E480" s="1"/>
      <c r="F480" s="1"/>
      <c r="G480" s="1"/>
      <c r="H480" s="2"/>
      <c r="I480" s="2"/>
      <c r="J480" s="2"/>
      <c r="K480" s="2"/>
      <c r="L480" s="2"/>
      <c r="M480" s="3"/>
      <c r="N480" s="3"/>
      <c r="O480" s="2"/>
      <c r="P480" s="2"/>
      <c r="Q480" s="2"/>
      <c r="R480" s="2"/>
      <c r="S480" s="2"/>
      <c r="T480" s="2"/>
      <c r="U480" s="2"/>
      <c r="V480" s="2"/>
      <c r="W480" s="2"/>
      <c r="X480" s="2"/>
      <c r="Y480" s="2"/>
      <c r="Z480" s="2"/>
      <c r="AA480" s="2"/>
      <c r="AB480" s="2"/>
      <c r="AC480" s="2"/>
    </row>
    <row r="481" spans="1:29" ht="13">
      <c r="A481" s="3"/>
      <c r="B481" s="2"/>
      <c r="C481" s="3"/>
      <c r="D481" s="3"/>
      <c r="E481" s="1"/>
      <c r="F481" s="1"/>
      <c r="G481" s="1"/>
      <c r="H481" s="2"/>
      <c r="I481" s="2"/>
      <c r="J481" s="2"/>
      <c r="K481" s="2"/>
      <c r="L481" s="2"/>
      <c r="M481" s="3"/>
      <c r="N481" s="3"/>
      <c r="O481" s="2"/>
      <c r="P481" s="2"/>
      <c r="Q481" s="2"/>
      <c r="R481" s="2"/>
      <c r="S481" s="2"/>
      <c r="T481" s="2"/>
      <c r="U481" s="2"/>
      <c r="V481" s="2"/>
      <c r="W481" s="2"/>
      <c r="X481" s="2"/>
      <c r="Y481" s="2"/>
      <c r="Z481" s="2"/>
      <c r="AA481" s="2"/>
      <c r="AB481" s="2"/>
      <c r="AC481" s="2"/>
    </row>
    <row r="482" spans="1:29" ht="13">
      <c r="A482" s="3"/>
      <c r="B482" s="2"/>
      <c r="C482" s="3"/>
      <c r="D482" s="3"/>
      <c r="E482" s="1"/>
      <c r="F482" s="1"/>
      <c r="G482" s="1"/>
      <c r="H482" s="2"/>
      <c r="I482" s="2"/>
      <c r="J482" s="2"/>
      <c r="K482" s="2"/>
      <c r="L482" s="2"/>
      <c r="M482" s="3"/>
      <c r="N482" s="3"/>
      <c r="O482" s="2"/>
      <c r="P482" s="2"/>
      <c r="Q482" s="2"/>
      <c r="R482" s="2"/>
      <c r="S482" s="2"/>
      <c r="T482" s="2"/>
      <c r="U482" s="2"/>
      <c r="V482" s="2"/>
      <c r="W482" s="2"/>
      <c r="X482" s="2"/>
      <c r="Y482" s="2"/>
      <c r="Z482" s="2"/>
      <c r="AA482" s="2"/>
      <c r="AB482" s="2"/>
      <c r="AC482" s="2"/>
    </row>
    <row r="483" spans="1:29" ht="13">
      <c r="A483" s="3"/>
      <c r="B483" s="2"/>
      <c r="C483" s="3"/>
      <c r="D483" s="3"/>
      <c r="E483" s="1"/>
      <c r="F483" s="1"/>
      <c r="G483" s="1"/>
      <c r="H483" s="2"/>
      <c r="I483" s="2"/>
      <c r="J483" s="2"/>
      <c r="K483" s="2"/>
      <c r="L483" s="2"/>
      <c r="M483" s="3"/>
      <c r="N483" s="3"/>
      <c r="O483" s="2"/>
      <c r="P483" s="2"/>
      <c r="Q483" s="2"/>
      <c r="R483" s="2"/>
      <c r="S483" s="2"/>
      <c r="T483" s="2"/>
      <c r="U483" s="2"/>
      <c r="V483" s="2"/>
      <c r="W483" s="2"/>
      <c r="X483" s="2"/>
      <c r="Y483" s="2"/>
      <c r="Z483" s="2"/>
      <c r="AA483" s="2"/>
      <c r="AB483" s="2"/>
      <c r="AC483" s="2"/>
    </row>
    <row r="484" spans="1:29" ht="13">
      <c r="A484" s="3"/>
      <c r="B484" s="2"/>
      <c r="C484" s="3"/>
      <c r="D484" s="3"/>
      <c r="E484" s="1"/>
      <c r="F484" s="1"/>
      <c r="G484" s="1"/>
      <c r="H484" s="2"/>
      <c r="I484" s="2"/>
      <c r="J484" s="2"/>
      <c r="K484" s="2"/>
      <c r="L484" s="2"/>
      <c r="M484" s="3"/>
      <c r="N484" s="3"/>
      <c r="O484" s="2"/>
      <c r="P484" s="2"/>
      <c r="Q484" s="2"/>
      <c r="R484" s="2"/>
      <c r="S484" s="2"/>
      <c r="T484" s="2"/>
      <c r="U484" s="2"/>
      <c r="V484" s="2"/>
      <c r="W484" s="2"/>
      <c r="X484" s="2"/>
      <c r="Y484" s="2"/>
      <c r="Z484" s="2"/>
      <c r="AA484" s="2"/>
      <c r="AB484" s="2"/>
      <c r="AC484" s="2"/>
    </row>
    <row r="485" spans="1:29" ht="13">
      <c r="A485" s="3"/>
      <c r="B485" s="2"/>
      <c r="C485" s="3"/>
      <c r="D485" s="3"/>
      <c r="E485" s="1"/>
      <c r="F485" s="1"/>
      <c r="G485" s="1"/>
      <c r="H485" s="2"/>
      <c r="I485" s="2"/>
      <c r="J485" s="2"/>
      <c r="K485" s="2"/>
      <c r="L485" s="2"/>
      <c r="M485" s="3"/>
      <c r="N485" s="3"/>
      <c r="O485" s="2"/>
      <c r="P485" s="2"/>
      <c r="Q485" s="2"/>
      <c r="R485" s="2"/>
      <c r="S485" s="2"/>
      <c r="T485" s="2"/>
      <c r="U485" s="2"/>
      <c r="V485" s="2"/>
      <c r="W485" s="2"/>
      <c r="X485" s="2"/>
      <c r="Y485" s="2"/>
      <c r="Z485" s="2"/>
      <c r="AA485" s="2"/>
      <c r="AB485" s="2"/>
      <c r="AC485" s="2"/>
    </row>
    <row r="486" spans="1:29" ht="13">
      <c r="A486" s="3"/>
      <c r="B486" s="2"/>
      <c r="C486" s="3"/>
      <c r="D486" s="3"/>
      <c r="E486" s="1"/>
      <c r="F486" s="1"/>
      <c r="G486" s="1"/>
      <c r="H486" s="2"/>
      <c r="I486" s="2"/>
      <c r="J486" s="2"/>
      <c r="K486" s="2"/>
      <c r="L486" s="2"/>
      <c r="M486" s="3"/>
      <c r="N486" s="3"/>
      <c r="O486" s="2"/>
      <c r="P486" s="2"/>
      <c r="Q486" s="2"/>
      <c r="R486" s="2"/>
      <c r="S486" s="2"/>
      <c r="T486" s="2"/>
      <c r="U486" s="2"/>
      <c r="V486" s="2"/>
      <c r="W486" s="2"/>
      <c r="X486" s="2"/>
      <c r="Y486" s="2"/>
      <c r="Z486" s="2"/>
      <c r="AA486" s="2"/>
      <c r="AB486" s="2"/>
      <c r="AC486" s="2"/>
    </row>
    <row r="487" spans="1:29" ht="13">
      <c r="A487" s="3"/>
      <c r="B487" s="2"/>
      <c r="C487" s="3"/>
      <c r="D487" s="3"/>
      <c r="E487" s="1"/>
      <c r="F487" s="1"/>
      <c r="G487" s="1"/>
      <c r="H487" s="2"/>
      <c r="I487" s="2"/>
      <c r="J487" s="2"/>
      <c r="K487" s="2"/>
      <c r="L487" s="2"/>
      <c r="M487" s="3"/>
      <c r="N487" s="3"/>
      <c r="O487" s="2"/>
      <c r="P487" s="2"/>
      <c r="Q487" s="2"/>
      <c r="R487" s="2"/>
      <c r="S487" s="2"/>
      <c r="T487" s="2"/>
      <c r="U487" s="2"/>
      <c r="V487" s="2"/>
      <c r="W487" s="2"/>
      <c r="X487" s="2"/>
      <c r="Y487" s="2"/>
      <c r="Z487" s="2"/>
      <c r="AA487" s="2"/>
      <c r="AB487" s="2"/>
      <c r="AC487" s="2"/>
    </row>
    <row r="488" spans="1:29" ht="13">
      <c r="A488" s="3"/>
      <c r="B488" s="2"/>
      <c r="C488" s="3"/>
      <c r="D488" s="3"/>
      <c r="E488" s="1"/>
      <c r="F488" s="1"/>
      <c r="G488" s="1"/>
      <c r="H488" s="2"/>
      <c r="I488" s="2"/>
      <c r="J488" s="2"/>
      <c r="K488" s="2"/>
      <c r="L488" s="2"/>
      <c r="M488" s="3"/>
      <c r="N488" s="3"/>
      <c r="O488" s="2"/>
      <c r="P488" s="2"/>
      <c r="Q488" s="2"/>
      <c r="R488" s="2"/>
      <c r="S488" s="2"/>
      <c r="T488" s="2"/>
      <c r="U488" s="2"/>
      <c r="V488" s="2"/>
      <c r="W488" s="2"/>
      <c r="X488" s="2"/>
      <c r="Y488" s="2"/>
      <c r="Z488" s="2"/>
      <c r="AA488" s="2"/>
      <c r="AB488" s="2"/>
      <c r="AC488" s="2"/>
    </row>
    <row r="489" spans="1:29" ht="13">
      <c r="A489" s="3"/>
      <c r="B489" s="2"/>
      <c r="C489" s="3"/>
      <c r="D489" s="3"/>
      <c r="E489" s="1"/>
      <c r="F489" s="1"/>
      <c r="G489" s="1"/>
      <c r="H489" s="2"/>
      <c r="I489" s="2"/>
      <c r="J489" s="2"/>
      <c r="K489" s="2"/>
      <c r="L489" s="2"/>
      <c r="M489" s="3"/>
      <c r="N489" s="3"/>
      <c r="O489" s="2"/>
      <c r="P489" s="2"/>
      <c r="Q489" s="2"/>
      <c r="R489" s="2"/>
      <c r="S489" s="2"/>
      <c r="T489" s="2"/>
      <c r="U489" s="2"/>
      <c r="V489" s="2"/>
      <c r="W489" s="2"/>
      <c r="X489" s="2"/>
      <c r="Y489" s="2"/>
      <c r="Z489" s="2"/>
      <c r="AA489" s="2"/>
      <c r="AB489" s="2"/>
      <c r="AC489" s="2"/>
    </row>
    <row r="490" spans="1:29" ht="13">
      <c r="A490" s="3"/>
      <c r="B490" s="2"/>
      <c r="C490" s="3"/>
      <c r="D490" s="3"/>
      <c r="E490" s="1"/>
      <c r="F490" s="1"/>
      <c r="G490" s="1"/>
      <c r="H490" s="2"/>
      <c r="I490" s="2"/>
      <c r="J490" s="2"/>
      <c r="K490" s="2"/>
      <c r="L490" s="2"/>
      <c r="M490" s="3"/>
      <c r="N490" s="3"/>
      <c r="O490" s="2"/>
      <c r="P490" s="2"/>
      <c r="Q490" s="2"/>
      <c r="R490" s="2"/>
      <c r="S490" s="2"/>
      <c r="T490" s="2"/>
      <c r="U490" s="2"/>
      <c r="V490" s="2"/>
      <c r="W490" s="2"/>
      <c r="X490" s="2"/>
      <c r="Y490" s="2"/>
      <c r="Z490" s="2"/>
      <c r="AA490" s="2"/>
      <c r="AB490" s="2"/>
      <c r="AC490" s="2"/>
    </row>
    <row r="491" spans="1:29" ht="13">
      <c r="A491" s="3"/>
      <c r="B491" s="2"/>
      <c r="C491" s="3"/>
      <c r="D491" s="3"/>
      <c r="E491" s="1"/>
      <c r="F491" s="1"/>
      <c r="G491" s="1"/>
      <c r="H491" s="2"/>
      <c r="I491" s="2"/>
      <c r="J491" s="2"/>
      <c r="K491" s="2"/>
      <c r="L491" s="2"/>
      <c r="M491" s="3"/>
      <c r="N491" s="3"/>
      <c r="O491" s="2"/>
      <c r="P491" s="2"/>
      <c r="Q491" s="2"/>
      <c r="R491" s="2"/>
      <c r="S491" s="2"/>
      <c r="T491" s="2"/>
      <c r="U491" s="2"/>
      <c r="V491" s="2"/>
      <c r="W491" s="2"/>
      <c r="X491" s="2"/>
      <c r="Y491" s="2"/>
      <c r="Z491" s="2"/>
      <c r="AA491" s="2"/>
      <c r="AB491" s="2"/>
      <c r="AC491" s="2"/>
    </row>
    <row r="492" spans="1:29" ht="13">
      <c r="A492" s="3"/>
      <c r="B492" s="2"/>
      <c r="C492" s="3"/>
      <c r="D492" s="3"/>
      <c r="E492" s="1"/>
      <c r="F492" s="1"/>
      <c r="G492" s="1"/>
      <c r="H492" s="2"/>
      <c r="I492" s="2"/>
      <c r="J492" s="2"/>
      <c r="K492" s="2"/>
      <c r="L492" s="2"/>
      <c r="M492" s="3"/>
      <c r="N492" s="3"/>
      <c r="O492" s="2"/>
      <c r="P492" s="2"/>
      <c r="Q492" s="2"/>
      <c r="R492" s="2"/>
      <c r="S492" s="2"/>
      <c r="T492" s="2"/>
      <c r="U492" s="2"/>
      <c r="V492" s="2"/>
      <c r="W492" s="2"/>
      <c r="X492" s="2"/>
      <c r="Y492" s="2"/>
      <c r="Z492" s="2"/>
      <c r="AA492" s="2"/>
      <c r="AB492" s="2"/>
      <c r="AC492" s="2"/>
    </row>
    <row r="493" spans="1:29" ht="13">
      <c r="A493" s="3"/>
      <c r="B493" s="2"/>
      <c r="C493" s="3"/>
      <c r="D493" s="3"/>
      <c r="E493" s="1"/>
      <c r="F493" s="1"/>
      <c r="G493" s="1"/>
      <c r="H493" s="2"/>
      <c r="I493" s="2"/>
      <c r="J493" s="2"/>
      <c r="K493" s="2"/>
      <c r="L493" s="2"/>
      <c r="M493" s="3"/>
      <c r="N493" s="3"/>
      <c r="O493" s="2"/>
      <c r="P493" s="2"/>
      <c r="Q493" s="2"/>
      <c r="R493" s="2"/>
      <c r="S493" s="2"/>
      <c r="T493" s="2"/>
      <c r="U493" s="2"/>
      <c r="V493" s="2"/>
      <c r="W493" s="2"/>
      <c r="X493" s="2"/>
      <c r="Y493" s="2"/>
      <c r="Z493" s="2"/>
      <c r="AA493" s="2"/>
      <c r="AB493" s="2"/>
      <c r="AC493" s="2"/>
    </row>
    <row r="494" spans="1:29" ht="13">
      <c r="A494" s="3"/>
      <c r="B494" s="2"/>
      <c r="C494" s="3"/>
      <c r="D494" s="3"/>
      <c r="E494" s="1"/>
      <c r="F494" s="1"/>
      <c r="G494" s="1"/>
      <c r="H494" s="2"/>
      <c r="I494" s="2"/>
      <c r="J494" s="2"/>
      <c r="K494" s="2"/>
      <c r="L494" s="2"/>
      <c r="M494" s="3"/>
      <c r="N494" s="3"/>
      <c r="O494" s="2"/>
      <c r="P494" s="2"/>
      <c r="Q494" s="2"/>
      <c r="R494" s="2"/>
      <c r="S494" s="2"/>
      <c r="T494" s="2"/>
      <c r="U494" s="2"/>
      <c r="V494" s="2"/>
      <c r="W494" s="2"/>
      <c r="X494" s="2"/>
      <c r="Y494" s="2"/>
      <c r="Z494" s="2"/>
      <c r="AA494" s="2"/>
      <c r="AB494" s="2"/>
      <c r="AC494" s="2"/>
    </row>
    <row r="495" spans="1:29" ht="13">
      <c r="A495" s="3"/>
      <c r="B495" s="2"/>
      <c r="C495" s="3"/>
      <c r="D495" s="3"/>
      <c r="E495" s="1"/>
      <c r="F495" s="1"/>
      <c r="G495" s="1"/>
      <c r="H495" s="2"/>
      <c r="I495" s="2"/>
      <c r="J495" s="2"/>
      <c r="K495" s="2"/>
      <c r="L495" s="2"/>
      <c r="M495" s="3"/>
      <c r="N495" s="3"/>
      <c r="O495" s="2"/>
      <c r="P495" s="2"/>
      <c r="Q495" s="2"/>
      <c r="R495" s="2"/>
      <c r="S495" s="2"/>
      <c r="T495" s="2"/>
      <c r="U495" s="2"/>
      <c r="V495" s="2"/>
      <c r="W495" s="2"/>
      <c r="X495" s="2"/>
      <c r="Y495" s="2"/>
      <c r="Z495" s="2"/>
      <c r="AA495" s="2"/>
      <c r="AB495" s="2"/>
      <c r="AC495" s="2"/>
    </row>
    <row r="496" spans="1:29" ht="13">
      <c r="A496" s="3"/>
      <c r="B496" s="2"/>
      <c r="C496" s="3"/>
      <c r="D496" s="3"/>
      <c r="E496" s="1"/>
      <c r="F496" s="1"/>
      <c r="G496" s="1"/>
      <c r="H496" s="2"/>
      <c r="I496" s="2"/>
      <c r="J496" s="2"/>
      <c r="K496" s="2"/>
      <c r="L496" s="2"/>
      <c r="M496" s="3"/>
      <c r="N496" s="3"/>
      <c r="O496" s="2"/>
      <c r="P496" s="2"/>
      <c r="Q496" s="2"/>
      <c r="R496" s="2"/>
      <c r="S496" s="2"/>
      <c r="T496" s="2"/>
      <c r="U496" s="2"/>
      <c r="V496" s="2"/>
      <c r="W496" s="2"/>
      <c r="X496" s="2"/>
      <c r="Y496" s="2"/>
      <c r="Z496" s="2"/>
      <c r="AA496" s="2"/>
      <c r="AB496" s="2"/>
      <c r="AC496" s="2"/>
    </row>
    <row r="497" spans="1:29" ht="13">
      <c r="A497" s="3"/>
      <c r="B497" s="2"/>
      <c r="C497" s="3"/>
      <c r="D497" s="3"/>
      <c r="E497" s="1"/>
      <c r="F497" s="1"/>
      <c r="G497" s="1"/>
      <c r="H497" s="2"/>
      <c r="I497" s="2"/>
      <c r="J497" s="2"/>
      <c r="K497" s="2"/>
      <c r="L497" s="2"/>
      <c r="M497" s="3"/>
      <c r="N497" s="3"/>
      <c r="O497" s="2"/>
      <c r="P497" s="2"/>
      <c r="Q497" s="2"/>
      <c r="R497" s="2"/>
      <c r="S497" s="2"/>
      <c r="T497" s="2"/>
      <c r="U497" s="2"/>
      <c r="V497" s="2"/>
      <c r="W497" s="2"/>
      <c r="X497" s="2"/>
      <c r="Y497" s="2"/>
      <c r="Z497" s="2"/>
      <c r="AA497" s="2"/>
      <c r="AB497" s="2"/>
      <c r="AC497" s="2"/>
    </row>
    <row r="498" spans="1:29" ht="13">
      <c r="A498" s="3"/>
      <c r="B498" s="2"/>
      <c r="C498" s="3"/>
      <c r="D498" s="3"/>
      <c r="E498" s="1"/>
      <c r="F498" s="1"/>
      <c r="G498" s="1"/>
      <c r="H498" s="2"/>
      <c r="I498" s="2"/>
      <c r="J498" s="2"/>
      <c r="K498" s="2"/>
      <c r="L498" s="2"/>
      <c r="M498" s="3"/>
      <c r="N498" s="3"/>
      <c r="O498" s="2"/>
      <c r="P498" s="2"/>
      <c r="Q498" s="2"/>
      <c r="R498" s="2"/>
      <c r="S498" s="2"/>
      <c r="T498" s="2"/>
      <c r="U498" s="2"/>
      <c r="V498" s="2"/>
      <c r="W498" s="2"/>
      <c r="X498" s="2"/>
      <c r="Y498" s="2"/>
      <c r="Z498" s="2"/>
      <c r="AA498" s="2"/>
      <c r="AB498" s="2"/>
      <c r="AC498" s="2"/>
    </row>
    <row r="499" spans="1:29" ht="13">
      <c r="A499" s="3"/>
      <c r="B499" s="2"/>
      <c r="C499" s="3"/>
      <c r="D499" s="3"/>
      <c r="E499" s="1"/>
      <c r="F499" s="1"/>
      <c r="G499" s="1"/>
      <c r="H499" s="2"/>
      <c r="I499" s="2"/>
      <c r="J499" s="2"/>
      <c r="K499" s="2"/>
      <c r="L499" s="2"/>
      <c r="M499" s="3"/>
      <c r="N499" s="3"/>
      <c r="O499" s="2"/>
      <c r="P499" s="2"/>
      <c r="Q499" s="2"/>
      <c r="R499" s="2"/>
      <c r="S499" s="2"/>
      <c r="T499" s="2"/>
      <c r="U499" s="2"/>
      <c r="V499" s="2"/>
      <c r="W499" s="2"/>
      <c r="X499" s="2"/>
      <c r="Y499" s="2"/>
      <c r="Z499" s="2"/>
      <c r="AA499" s="2"/>
      <c r="AB499" s="2"/>
      <c r="AC499" s="2"/>
    </row>
    <row r="500" spans="1:29" ht="13">
      <c r="A500" s="3"/>
      <c r="B500" s="2"/>
      <c r="C500" s="3"/>
      <c r="D500" s="3"/>
      <c r="E500" s="1"/>
      <c r="F500" s="1"/>
      <c r="G500" s="1"/>
      <c r="H500" s="2"/>
      <c r="I500" s="2"/>
      <c r="J500" s="2"/>
      <c r="K500" s="2"/>
      <c r="L500" s="2"/>
      <c r="M500" s="3"/>
      <c r="N500" s="3"/>
      <c r="O500" s="2"/>
      <c r="P500" s="2"/>
      <c r="Q500" s="2"/>
      <c r="R500" s="2"/>
      <c r="S500" s="2"/>
      <c r="T500" s="2"/>
      <c r="U500" s="2"/>
      <c r="V500" s="2"/>
      <c r="W500" s="2"/>
      <c r="X500" s="2"/>
      <c r="Y500" s="2"/>
      <c r="Z500" s="2"/>
      <c r="AA500" s="2"/>
      <c r="AB500" s="2"/>
      <c r="AC500" s="2"/>
    </row>
    <row r="501" spans="1:29" ht="13">
      <c r="A501" s="3"/>
      <c r="B501" s="2"/>
      <c r="C501" s="3"/>
      <c r="D501" s="3"/>
      <c r="E501" s="1"/>
      <c r="F501" s="1"/>
      <c r="G501" s="1"/>
      <c r="H501" s="2"/>
      <c r="I501" s="2"/>
      <c r="J501" s="2"/>
      <c r="K501" s="2"/>
      <c r="L501" s="2"/>
      <c r="M501" s="3"/>
      <c r="N501" s="3"/>
      <c r="O501" s="2"/>
      <c r="P501" s="2"/>
      <c r="Q501" s="2"/>
      <c r="R501" s="2"/>
      <c r="S501" s="2"/>
      <c r="T501" s="2"/>
      <c r="U501" s="2"/>
      <c r="V501" s="2"/>
      <c r="W501" s="2"/>
      <c r="X501" s="2"/>
      <c r="Y501" s="2"/>
      <c r="Z501" s="2"/>
      <c r="AA501" s="2"/>
      <c r="AB501" s="2"/>
      <c r="AC501" s="2"/>
    </row>
    <row r="502" spans="1:29" ht="13">
      <c r="A502" s="3"/>
      <c r="B502" s="2"/>
      <c r="C502" s="3"/>
      <c r="D502" s="3"/>
      <c r="E502" s="1"/>
      <c r="F502" s="1"/>
      <c r="G502" s="1"/>
      <c r="H502" s="2"/>
      <c r="I502" s="2"/>
      <c r="J502" s="2"/>
      <c r="K502" s="2"/>
      <c r="L502" s="2"/>
      <c r="M502" s="3"/>
      <c r="N502" s="3"/>
      <c r="O502" s="2"/>
      <c r="P502" s="2"/>
      <c r="Q502" s="2"/>
      <c r="R502" s="2"/>
      <c r="S502" s="2"/>
      <c r="T502" s="2"/>
      <c r="U502" s="2"/>
      <c r="V502" s="2"/>
      <c r="W502" s="2"/>
      <c r="X502" s="2"/>
      <c r="Y502" s="2"/>
      <c r="Z502" s="2"/>
      <c r="AA502" s="2"/>
      <c r="AB502" s="2"/>
      <c r="AC502" s="2"/>
    </row>
    <row r="503" spans="1:29" ht="13">
      <c r="A503" s="3"/>
      <c r="B503" s="2"/>
      <c r="C503" s="3"/>
      <c r="D503" s="3"/>
      <c r="E503" s="1"/>
      <c r="F503" s="1"/>
      <c r="G503" s="1"/>
      <c r="H503" s="2"/>
      <c r="I503" s="2"/>
      <c r="J503" s="2"/>
      <c r="K503" s="2"/>
      <c r="L503" s="2"/>
      <c r="M503" s="3"/>
      <c r="N503" s="3"/>
      <c r="O503" s="2"/>
      <c r="P503" s="2"/>
      <c r="Q503" s="2"/>
      <c r="R503" s="2"/>
      <c r="S503" s="2"/>
      <c r="T503" s="2"/>
      <c r="U503" s="2"/>
      <c r="V503" s="2"/>
      <c r="W503" s="2"/>
      <c r="X503" s="2"/>
      <c r="Y503" s="2"/>
      <c r="Z503" s="2"/>
      <c r="AA503" s="2"/>
      <c r="AB503" s="2"/>
      <c r="AC503" s="2"/>
    </row>
    <row r="504" spans="1:29" ht="13">
      <c r="A504" s="3"/>
      <c r="B504" s="2"/>
      <c r="C504" s="3"/>
      <c r="D504" s="3"/>
      <c r="E504" s="1"/>
      <c r="F504" s="1"/>
      <c r="G504" s="1"/>
      <c r="H504" s="2"/>
      <c r="I504" s="2"/>
      <c r="J504" s="2"/>
      <c r="K504" s="2"/>
      <c r="L504" s="2"/>
      <c r="M504" s="3"/>
      <c r="N504" s="3"/>
      <c r="O504" s="2"/>
      <c r="P504" s="2"/>
      <c r="Q504" s="2"/>
      <c r="R504" s="2"/>
      <c r="S504" s="2"/>
      <c r="T504" s="2"/>
      <c r="U504" s="2"/>
      <c r="V504" s="2"/>
      <c r="W504" s="2"/>
      <c r="X504" s="2"/>
      <c r="Y504" s="2"/>
      <c r="Z504" s="2"/>
      <c r="AA504" s="2"/>
      <c r="AB504" s="2"/>
      <c r="AC504" s="2"/>
    </row>
    <row r="505" spans="1:29" ht="13">
      <c r="A505" s="3"/>
      <c r="B505" s="2"/>
      <c r="C505" s="3"/>
      <c r="D505" s="3"/>
      <c r="E505" s="1"/>
      <c r="F505" s="1"/>
      <c r="G505" s="1"/>
      <c r="H505" s="2"/>
      <c r="I505" s="2"/>
      <c r="J505" s="2"/>
      <c r="K505" s="2"/>
      <c r="L505" s="2"/>
      <c r="M505" s="3"/>
      <c r="N505" s="3"/>
      <c r="O505" s="2"/>
      <c r="P505" s="2"/>
      <c r="Q505" s="2"/>
      <c r="R505" s="2"/>
      <c r="S505" s="2"/>
      <c r="T505" s="2"/>
      <c r="U505" s="2"/>
      <c r="V505" s="2"/>
      <c r="W505" s="2"/>
      <c r="X505" s="2"/>
      <c r="Y505" s="2"/>
      <c r="Z505" s="2"/>
      <c r="AA505" s="2"/>
      <c r="AB505" s="2"/>
      <c r="AC505" s="2"/>
    </row>
    <row r="506" spans="1:29" ht="13">
      <c r="A506" s="3"/>
      <c r="B506" s="2"/>
      <c r="C506" s="3"/>
      <c r="D506" s="3"/>
      <c r="E506" s="1"/>
      <c r="F506" s="1"/>
      <c r="G506" s="1"/>
      <c r="H506" s="2"/>
      <c r="I506" s="2"/>
      <c r="J506" s="2"/>
      <c r="K506" s="2"/>
      <c r="L506" s="2"/>
      <c r="M506" s="3"/>
      <c r="N506" s="3"/>
      <c r="O506" s="2"/>
      <c r="P506" s="2"/>
      <c r="Q506" s="2"/>
      <c r="R506" s="2"/>
      <c r="S506" s="2"/>
      <c r="T506" s="2"/>
      <c r="U506" s="2"/>
      <c r="V506" s="2"/>
      <c r="W506" s="2"/>
      <c r="X506" s="2"/>
      <c r="Y506" s="2"/>
      <c r="Z506" s="2"/>
      <c r="AA506" s="2"/>
      <c r="AB506" s="2"/>
      <c r="AC506" s="2"/>
    </row>
    <row r="507" spans="1:29" ht="13">
      <c r="A507" s="3"/>
      <c r="B507" s="2"/>
      <c r="C507" s="3"/>
      <c r="D507" s="3"/>
      <c r="E507" s="1"/>
      <c r="F507" s="1"/>
      <c r="G507" s="1"/>
      <c r="H507" s="2"/>
      <c r="I507" s="2"/>
      <c r="J507" s="2"/>
      <c r="K507" s="2"/>
      <c r="L507" s="2"/>
      <c r="M507" s="3"/>
      <c r="N507" s="3"/>
      <c r="O507" s="2"/>
      <c r="P507" s="2"/>
      <c r="Q507" s="2"/>
      <c r="R507" s="2"/>
      <c r="S507" s="2"/>
      <c r="T507" s="2"/>
      <c r="U507" s="2"/>
      <c r="V507" s="2"/>
      <c r="W507" s="2"/>
      <c r="X507" s="2"/>
      <c r="Y507" s="2"/>
      <c r="Z507" s="2"/>
      <c r="AA507" s="2"/>
      <c r="AB507" s="2"/>
      <c r="AC507" s="2"/>
    </row>
    <row r="508" spans="1:29" ht="13">
      <c r="A508" s="3"/>
      <c r="B508" s="2"/>
      <c r="C508" s="3"/>
      <c r="D508" s="3"/>
      <c r="E508" s="1"/>
      <c r="F508" s="1"/>
      <c r="G508" s="1"/>
      <c r="H508" s="2"/>
      <c r="I508" s="2"/>
      <c r="J508" s="2"/>
      <c r="K508" s="2"/>
      <c r="L508" s="2"/>
      <c r="M508" s="3"/>
      <c r="N508" s="3"/>
      <c r="O508" s="2"/>
      <c r="P508" s="2"/>
      <c r="Q508" s="2"/>
      <c r="R508" s="2"/>
      <c r="S508" s="2"/>
      <c r="T508" s="2"/>
      <c r="U508" s="2"/>
      <c r="V508" s="2"/>
      <c r="W508" s="2"/>
      <c r="X508" s="2"/>
      <c r="Y508" s="2"/>
      <c r="Z508" s="2"/>
      <c r="AA508" s="2"/>
      <c r="AB508" s="2"/>
      <c r="AC508" s="2"/>
    </row>
    <row r="509" spans="1:29" ht="13">
      <c r="A509" s="3"/>
      <c r="B509" s="2"/>
      <c r="C509" s="3"/>
      <c r="D509" s="3"/>
      <c r="E509" s="1"/>
      <c r="F509" s="1"/>
      <c r="G509" s="1"/>
      <c r="H509" s="2"/>
      <c r="I509" s="2"/>
      <c r="J509" s="2"/>
      <c r="K509" s="2"/>
      <c r="L509" s="2"/>
      <c r="M509" s="3"/>
      <c r="N509" s="3"/>
      <c r="O509" s="2"/>
      <c r="P509" s="2"/>
      <c r="Q509" s="2"/>
      <c r="R509" s="2"/>
      <c r="S509" s="2"/>
      <c r="T509" s="2"/>
      <c r="U509" s="2"/>
      <c r="V509" s="2"/>
      <c r="W509" s="2"/>
      <c r="X509" s="2"/>
      <c r="Y509" s="2"/>
      <c r="Z509" s="2"/>
      <c r="AA509" s="2"/>
      <c r="AB509" s="2"/>
      <c r="AC509" s="2"/>
    </row>
    <row r="510" spans="1:29" ht="13">
      <c r="A510" s="3"/>
      <c r="B510" s="2"/>
      <c r="C510" s="3"/>
      <c r="D510" s="3"/>
      <c r="E510" s="1"/>
      <c r="F510" s="1"/>
      <c r="G510" s="1"/>
      <c r="H510" s="2"/>
      <c r="I510" s="2"/>
      <c r="J510" s="2"/>
      <c r="K510" s="2"/>
      <c r="L510" s="2"/>
      <c r="M510" s="3"/>
      <c r="N510" s="3"/>
      <c r="O510" s="2"/>
      <c r="P510" s="2"/>
      <c r="Q510" s="2"/>
      <c r="R510" s="2"/>
      <c r="S510" s="2"/>
      <c r="T510" s="2"/>
      <c r="U510" s="2"/>
      <c r="V510" s="2"/>
      <c r="W510" s="2"/>
      <c r="X510" s="2"/>
      <c r="Y510" s="2"/>
      <c r="Z510" s="2"/>
      <c r="AA510" s="2"/>
      <c r="AB510" s="2"/>
      <c r="AC510" s="2"/>
    </row>
    <row r="511" spans="1:29" ht="13">
      <c r="A511" s="3"/>
      <c r="B511" s="2"/>
      <c r="C511" s="3"/>
      <c r="D511" s="3"/>
      <c r="E511" s="1"/>
      <c r="F511" s="1"/>
      <c r="G511" s="1"/>
      <c r="H511" s="2"/>
      <c r="I511" s="2"/>
      <c r="J511" s="2"/>
      <c r="K511" s="2"/>
      <c r="L511" s="2"/>
      <c r="M511" s="3"/>
      <c r="N511" s="3"/>
      <c r="O511" s="2"/>
      <c r="P511" s="2"/>
      <c r="Q511" s="2"/>
      <c r="R511" s="2"/>
      <c r="S511" s="2"/>
      <c r="T511" s="2"/>
      <c r="U511" s="2"/>
      <c r="V511" s="2"/>
      <c r="W511" s="2"/>
      <c r="X511" s="2"/>
      <c r="Y511" s="2"/>
      <c r="Z511" s="2"/>
      <c r="AA511" s="2"/>
      <c r="AB511" s="2"/>
      <c r="AC511" s="2"/>
    </row>
    <row r="512" spans="1:29" ht="13">
      <c r="A512" s="3"/>
      <c r="B512" s="2"/>
      <c r="C512" s="3"/>
      <c r="D512" s="3"/>
      <c r="E512" s="1"/>
      <c r="F512" s="1"/>
      <c r="G512" s="1"/>
      <c r="H512" s="2"/>
      <c r="I512" s="2"/>
      <c r="J512" s="2"/>
      <c r="K512" s="2"/>
      <c r="L512" s="2"/>
      <c r="M512" s="3"/>
      <c r="N512" s="3"/>
      <c r="O512" s="2"/>
      <c r="P512" s="2"/>
      <c r="Q512" s="2"/>
      <c r="R512" s="2"/>
      <c r="S512" s="2"/>
      <c r="T512" s="2"/>
      <c r="U512" s="2"/>
      <c r="V512" s="2"/>
      <c r="W512" s="2"/>
      <c r="X512" s="2"/>
      <c r="Y512" s="2"/>
      <c r="Z512" s="2"/>
      <c r="AA512" s="2"/>
      <c r="AB512" s="2"/>
      <c r="AC512" s="2"/>
    </row>
    <row r="513" spans="1:29" ht="13">
      <c r="A513" s="3"/>
      <c r="B513" s="2"/>
      <c r="C513" s="3"/>
      <c r="D513" s="3"/>
      <c r="E513" s="1"/>
      <c r="F513" s="1"/>
      <c r="G513" s="1"/>
      <c r="H513" s="2"/>
      <c r="I513" s="2"/>
      <c r="J513" s="2"/>
      <c r="K513" s="2"/>
      <c r="L513" s="2"/>
      <c r="M513" s="3"/>
      <c r="N513" s="3"/>
      <c r="O513" s="2"/>
      <c r="P513" s="2"/>
      <c r="Q513" s="2"/>
      <c r="R513" s="2"/>
      <c r="S513" s="2"/>
      <c r="T513" s="2"/>
      <c r="U513" s="2"/>
      <c r="V513" s="2"/>
      <c r="W513" s="2"/>
      <c r="X513" s="2"/>
      <c r="Y513" s="2"/>
      <c r="Z513" s="2"/>
      <c r="AA513" s="2"/>
      <c r="AB513" s="2"/>
      <c r="AC513" s="2"/>
    </row>
    <row r="514" spans="1:29" ht="13">
      <c r="A514" s="3"/>
      <c r="B514" s="2"/>
      <c r="C514" s="3"/>
      <c r="D514" s="3"/>
      <c r="E514" s="1"/>
      <c r="F514" s="1"/>
      <c r="G514" s="1"/>
      <c r="H514" s="2"/>
      <c r="I514" s="2"/>
      <c r="J514" s="2"/>
      <c r="K514" s="2"/>
      <c r="L514" s="2"/>
      <c r="M514" s="3"/>
      <c r="N514" s="3"/>
      <c r="O514" s="2"/>
      <c r="P514" s="2"/>
      <c r="Q514" s="2"/>
      <c r="R514" s="2"/>
      <c r="S514" s="2"/>
      <c r="T514" s="2"/>
      <c r="U514" s="2"/>
      <c r="V514" s="2"/>
      <c r="W514" s="2"/>
      <c r="X514" s="2"/>
      <c r="Y514" s="2"/>
      <c r="Z514" s="2"/>
      <c r="AA514" s="2"/>
      <c r="AB514" s="2"/>
      <c r="AC514" s="2"/>
    </row>
    <row r="515" spans="1:29" ht="13">
      <c r="A515" s="3"/>
      <c r="B515" s="2"/>
      <c r="C515" s="3"/>
      <c r="D515" s="3"/>
      <c r="E515" s="1"/>
      <c r="F515" s="1"/>
      <c r="G515" s="1"/>
      <c r="H515" s="2"/>
      <c r="I515" s="2"/>
      <c r="J515" s="2"/>
      <c r="K515" s="2"/>
      <c r="L515" s="2"/>
      <c r="M515" s="3"/>
      <c r="N515" s="3"/>
      <c r="O515" s="2"/>
      <c r="P515" s="2"/>
      <c r="Q515" s="2"/>
      <c r="R515" s="2"/>
      <c r="S515" s="2"/>
      <c r="T515" s="2"/>
      <c r="U515" s="2"/>
      <c r="V515" s="2"/>
      <c r="W515" s="2"/>
      <c r="X515" s="2"/>
      <c r="Y515" s="2"/>
      <c r="Z515" s="2"/>
      <c r="AA515" s="2"/>
      <c r="AB515" s="2"/>
      <c r="AC515" s="2"/>
    </row>
    <row r="516" spans="1:29" ht="13">
      <c r="A516" s="3"/>
      <c r="B516" s="2"/>
      <c r="C516" s="3"/>
      <c r="D516" s="3"/>
      <c r="E516" s="1"/>
      <c r="F516" s="1"/>
      <c r="G516" s="1"/>
      <c r="H516" s="2"/>
      <c r="I516" s="2"/>
      <c r="J516" s="2"/>
      <c r="K516" s="2"/>
      <c r="L516" s="2"/>
      <c r="M516" s="3"/>
      <c r="N516" s="3"/>
      <c r="O516" s="2"/>
      <c r="P516" s="2"/>
      <c r="Q516" s="2"/>
      <c r="R516" s="2"/>
      <c r="S516" s="2"/>
      <c r="T516" s="2"/>
      <c r="U516" s="2"/>
      <c r="V516" s="2"/>
      <c r="W516" s="2"/>
      <c r="X516" s="2"/>
      <c r="Y516" s="2"/>
      <c r="Z516" s="2"/>
      <c r="AA516" s="2"/>
      <c r="AB516" s="2"/>
      <c r="AC516" s="2"/>
    </row>
    <row r="517" spans="1:29" ht="13">
      <c r="A517" s="3"/>
      <c r="B517" s="2"/>
      <c r="C517" s="3"/>
      <c r="D517" s="3"/>
      <c r="E517" s="1"/>
      <c r="F517" s="1"/>
      <c r="G517" s="1"/>
      <c r="H517" s="2"/>
      <c r="I517" s="2"/>
      <c r="J517" s="2"/>
      <c r="K517" s="2"/>
      <c r="L517" s="2"/>
      <c r="M517" s="3"/>
      <c r="N517" s="3"/>
      <c r="O517" s="2"/>
      <c r="P517" s="2"/>
      <c r="Q517" s="2"/>
      <c r="R517" s="2"/>
      <c r="S517" s="2"/>
      <c r="T517" s="2"/>
      <c r="U517" s="2"/>
      <c r="V517" s="2"/>
      <c r="W517" s="2"/>
      <c r="X517" s="2"/>
      <c r="Y517" s="2"/>
      <c r="Z517" s="2"/>
      <c r="AA517" s="2"/>
      <c r="AB517" s="2"/>
      <c r="AC517" s="2"/>
    </row>
    <row r="518" spans="1:29" ht="13">
      <c r="A518" s="3"/>
      <c r="B518" s="2"/>
      <c r="C518" s="3"/>
      <c r="D518" s="3"/>
      <c r="E518" s="1"/>
      <c r="F518" s="1"/>
      <c r="G518" s="1"/>
      <c r="H518" s="2"/>
      <c r="I518" s="2"/>
      <c r="J518" s="2"/>
      <c r="K518" s="2"/>
      <c r="L518" s="2"/>
      <c r="M518" s="3"/>
      <c r="N518" s="3"/>
      <c r="O518" s="2"/>
      <c r="P518" s="2"/>
      <c r="Q518" s="2"/>
      <c r="R518" s="2"/>
      <c r="S518" s="2"/>
      <c r="T518" s="2"/>
      <c r="U518" s="2"/>
      <c r="V518" s="2"/>
      <c r="W518" s="2"/>
      <c r="X518" s="2"/>
      <c r="Y518" s="2"/>
      <c r="Z518" s="2"/>
      <c r="AA518" s="2"/>
      <c r="AB518" s="2"/>
      <c r="AC518" s="2"/>
    </row>
    <row r="519" spans="1:29" ht="13">
      <c r="A519" s="3"/>
      <c r="B519" s="2"/>
      <c r="C519" s="3"/>
      <c r="D519" s="3"/>
      <c r="E519" s="1"/>
      <c r="F519" s="1"/>
      <c r="G519" s="1"/>
      <c r="H519" s="2"/>
      <c r="I519" s="2"/>
      <c r="J519" s="2"/>
      <c r="K519" s="2"/>
      <c r="L519" s="2"/>
      <c r="M519" s="3"/>
      <c r="N519" s="3"/>
      <c r="O519" s="2"/>
      <c r="P519" s="2"/>
      <c r="Q519" s="2"/>
      <c r="R519" s="2"/>
      <c r="S519" s="2"/>
      <c r="T519" s="2"/>
      <c r="U519" s="2"/>
      <c r="V519" s="2"/>
      <c r="W519" s="2"/>
      <c r="X519" s="2"/>
      <c r="Y519" s="2"/>
      <c r="Z519" s="2"/>
      <c r="AA519" s="2"/>
      <c r="AB519" s="2"/>
      <c r="AC519" s="2"/>
    </row>
    <row r="520" spans="1:29" ht="13">
      <c r="A520" s="3"/>
      <c r="B520" s="2"/>
      <c r="C520" s="3"/>
      <c r="D520" s="3"/>
      <c r="E520" s="1"/>
      <c r="F520" s="1"/>
      <c r="G520" s="1"/>
      <c r="H520" s="2"/>
      <c r="I520" s="2"/>
      <c r="J520" s="2"/>
      <c r="K520" s="2"/>
      <c r="L520" s="2"/>
      <c r="M520" s="3"/>
      <c r="N520" s="3"/>
      <c r="O520" s="2"/>
      <c r="P520" s="2"/>
      <c r="Q520" s="2"/>
      <c r="R520" s="2"/>
      <c r="S520" s="2"/>
      <c r="T520" s="2"/>
      <c r="U520" s="2"/>
      <c r="V520" s="2"/>
      <c r="W520" s="2"/>
      <c r="X520" s="2"/>
      <c r="Y520" s="2"/>
      <c r="Z520" s="2"/>
      <c r="AA520" s="2"/>
      <c r="AB520" s="2"/>
      <c r="AC520" s="2"/>
    </row>
    <row r="521" spans="1:29" ht="13">
      <c r="A521" s="3"/>
      <c r="B521" s="2"/>
      <c r="C521" s="3"/>
      <c r="D521" s="3"/>
      <c r="E521" s="1"/>
      <c r="F521" s="1"/>
      <c r="G521" s="1"/>
      <c r="H521" s="2"/>
      <c r="I521" s="2"/>
      <c r="J521" s="2"/>
      <c r="K521" s="2"/>
      <c r="L521" s="2"/>
      <c r="M521" s="3"/>
      <c r="N521" s="3"/>
      <c r="O521" s="2"/>
      <c r="P521" s="2"/>
      <c r="Q521" s="2"/>
      <c r="R521" s="2"/>
      <c r="S521" s="2"/>
      <c r="T521" s="2"/>
      <c r="U521" s="2"/>
      <c r="V521" s="2"/>
      <c r="W521" s="2"/>
      <c r="X521" s="2"/>
      <c r="Y521" s="2"/>
      <c r="Z521" s="2"/>
      <c r="AA521" s="2"/>
      <c r="AB521" s="2"/>
      <c r="AC521" s="2"/>
    </row>
    <row r="522" spans="1:29" ht="13">
      <c r="A522" s="3"/>
      <c r="B522" s="2"/>
      <c r="C522" s="3"/>
      <c r="D522" s="3"/>
      <c r="E522" s="1"/>
      <c r="F522" s="1"/>
      <c r="G522" s="1"/>
      <c r="H522" s="2"/>
      <c r="I522" s="2"/>
      <c r="J522" s="2"/>
      <c r="K522" s="2"/>
      <c r="L522" s="2"/>
      <c r="M522" s="3"/>
      <c r="N522" s="3"/>
      <c r="O522" s="2"/>
      <c r="P522" s="2"/>
      <c r="Q522" s="2"/>
      <c r="R522" s="2"/>
      <c r="S522" s="2"/>
      <c r="T522" s="2"/>
      <c r="U522" s="2"/>
      <c r="V522" s="2"/>
      <c r="W522" s="2"/>
      <c r="X522" s="2"/>
      <c r="Y522" s="2"/>
      <c r="Z522" s="2"/>
      <c r="AA522" s="2"/>
      <c r="AB522" s="2"/>
      <c r="AC522" s="2"/>
    </row>
    <row r="523" spans="1:29" ht="13">
      <c r="A523" s="3"/>
      <c r="B523" s="2"/>
      <c r="C523" s="3"/>
      <c r="D523" s="3"/>
      <c r="E523" s="1"/>
      <c r="F523" s="1"/>
      <c r="G523" s="1"/>
      <c r="H523" s="2"/>
      <c r="I523" s="2"/>
      <c r="J523" s="2"/>
      <c r="K523" s="2"/>
      <c r="L523" s="2"/>
      <c r="M523" s="3"/>
      <c r="N523" s="3"/>
      <c r="O523" s="2"/>
      <c r="P523" s="2"/>
      <c r="Q523" s="2"/>
      <c r="R523" s="2"/>
      <c r="S523" s="2"/>
      <c r="T523" s="2"/>
      <c r="U523" s="2"/>
      <c r="V523" s="2"/>
      <c r="W523" s="2"/>
      <c r="X523" s="2"/>
      <c r="Y523" s="2"/>
      <c r="Z523" s="2"/>
      <c r="AA523" s="2"/>
      <c r="AB523" s="2"/>
      <c r="AC523" s="2"/>
    </row>
    <row r="524" spans="1:29" ht="13">
      <c r="A524" s="3"/>
      <c r="B524" s="2"/>
      <c r="C524" s="3"/>
      <c r="D524" s="3"/>
      <c r="E524" s="1"/>
      <c r="F524" s="1"/>
      <c r="G524" s="1"/>
      <c r="H524" s="2"/>
      <c r="I524" s="2"/>
      <c r="J524" s="2"/>
      <c r="K524" s="2"/>
      <c r="L524" s="2"/>
      <c r="M524" s="3"/>
      <c r="N524" s="3"/>
      <c r="O524" s="2"/>
      <c r="P524" s="2"/>
      <c r="Q524" s="2"/>
      <c r="R524" s="2"/>
      <c r="S524" s="2"/>
      <c r="T524" s="2"/>
      <c r="U524" s="2"/>
      <c r="V524" s="2"/>
      <c r="W524" s="2"/>
      <c r="X524" s="2"/>
      <c r="Y524" s="2"/>
      <c r="Z524" s="2"/>
      <c r="AA524" s="2"/>
      <c r="AB524" s="2"/>
      <c r="AC524" s="2"/>
    </row>
    <row r="525" spans="1:29" ht="13">
      <c r="A525" s="3"/>
      <c r="B525" s="2"/>
      <c r="C525" s="3"/>
      <c r="D525" s="3"/>
      <c r="E525" s="1"/>
      <c r="F525" s="1"/>
      <c r="G525" s="1"/>
      <c r="H525" s="2"/>
      <c r="I525" s="2"/>
      <c r="J525" s="2"/>
      <c r="K525" s="2"/>
      <c r="L525" s="2"/>
      <c r="M525" s="3"/>
      <c r="N525" s="3"/>
      <c r="O525" s="2"/>
      <c r="P525" s="2"/>
      <c r="Q525" s="2"/>
      <c r="R525" s="2"/>
      <c r="S525" s="2"/>
      <c r="T525" s="2"/>
      <c r="U525" s="2"/>
      <c r="V525" s="2"/>
      <c r="W525" s="2"/>
      <c r="X525" s="2"/>
      <c r="Y525" s="2"/>
      <c r="Z525" s="2"/>
      <c r="AA525" s="2"/>
      <c r="AB525" s="2"/>
      <c r="AC525" s="2"/>
    </row>
    <row r="526" spans="1:29" ht="13">
      <c r="A526" s="3"/>
      <c r="B526" s="2"/>
      <c r="C526" s="3"/>
      <c r="D526" s="3"/>
      <c r="E526" s="1"/>
      <c r="F526" s="1"/>
      <c r="G526" s="1"/>
      <c r="H526" s="2"/>
      <c r="I526" s="2"/>
      <c r="J526" s="2"/>
      <c r="K526" s="2"/>
      <c r="L526" s="2"/>
      <c r="M526" s="3"/>
      <c r="N526" s="3"/>
      <c r="O526" s="2"/>
      <c r="P526" s="2"/>
      <c r="Q526" s="2"/>
      <c r="R526" s="2"/>
      <c r="S526" s="2"/>
      <c r="T526" s="2"/>
      <c r="U526" s="2"/>
      <c r="V526" s="2"/>
      <c r="W526" s="2"/>
      <c r="X526" s="2"/>
      <c r="Y526" s="2"/>
      <c r="Z526" s="2"/>
      <c r="AA526" s="2"/>
      <c r="AB526" s="2"/>
      <c r="AC526" s="2"/>
    </row>
    <row r="527" spans="1:29" ht="13">
      <c r="A527" s="3"/>
      <c r="B527" s="2"/>
      <c r="C527" s="3"/>
      <c r="D527" s="3"/>
      <c r="E527" s="1"/>
      <c r="F527" s="1"/>
      <c r="G527" s="1"/>
      <c r="H527" s="2"/>
      <c r="I527" s="2"/>
      <c r="J527" s="2"/>
      <c r="K527" s="2"/>
      <c r="L527" s="2"/>
      <c r="M527" s="3"/>
      <c r="N527" s="3"/>
      <c r="O527" s="2"/>
      <c r="P527" s="2"/>
      <c r="Q527" s="2"/>
      <c r="R527" s="2"/>
      <c r="S527" s="2"/>
      <c r="T527" s="2"/>
      <c r="U527" s="2"/>
      <c r="V527" s="2"/>
      <c r="W527" s="2"/>
      <c r="X527" s="2"/>
      <c r="Y527" s="2"/>
      <c r="Z527" s="2"/>
      <c r="AA527" s="2"/>
      <c r="AB527" s="2"/>
      <c r="AC527" s="2"/>
    </row>
    <row r="528" spans="1:29" ht="13">
      <c r="A528" s="3"/>
      <c r="B528" s="2"/>
      <c r="C528" s="3"/>
      <c r="D528" s="3"/>
      <c r="E528" s="1"/>
      <c r="F528" s="1"/>
      <c r="G528" s="1"/>
      <c r="H528" s="2"/>
      <c r="I528" s="2"/>
      <c r="J528" s="2"/>
      <c r="K528" s="2"/>
      <c r="L528" s="2"/>
      <c r="M528" s="3"/>
      <c r="N528" s="3"/>
      <c r="O528" s="2"/>
      <c r="P528" s="2"/>
      <c r="Q528" s="2"/>
      <c r="R528" s="2"/>
      <c r="S528" s="2"/>
      <c r="T528" s="2"/>
      <c r="U528" s="2"/>
      <c r="V528" s="2"/>
      <c r="W528" s="2"/>
      <c r="X528" s="2"/>
      <c r="Y528" s="2"/>
      <c r="Z528" s="2"/>
      <c r="AA528" s="2"/>
      <c r="AB528" s="2"/>
      <c r="AC528" s="2"/>
    </row>
    <row r="529" spans="1:29" ht="13">
      <c r="A529" s="3"/>
      <c r="B529" s="2"/>
      <c r="C529" s="3"/>
      <c r="D529" s="3"/>
      <c r="E529" s="1"/>
      <c r="F529" s="1"/>
      <c r="G529" s="1"/>
      <c r="H529" s="2"/>
      <c r="I529" s="2"/>
      <c r="J529" s="2"/>
      <c r="K529" s="2"/>
      <c r="L529" s="2"/>
      <c r="M529" s="3"/>
      <c r="N529" s="3"/>
      <c r="O529" s="2"/>
      <c r="P529" s="2"/>
      <c r="Q529" s="2"/>
      <c r="R529" s="2"/>
      <c r="S529" s="2"/>
      <c r="T529" s="2"/>
      <c r="U529" s="2"/>
      <c r="V529" s="2"/>
      <c r="W529" s="2"/>
      <c r="X529" s="2"/>
      <c r="Y529" s="2"/>
      <c r="Z529" s="2"/>
      <c r="AA529" s="2"/>
      <c r="AB529" s="2"/>
      <c r="AC529" s="2"/>
    </row>
    <row r="530" spans="1:29" ht="13">
      <c r="A530" s="3"/>
      <c r="B530" s="2"/>
      <c r="C530" s="3"/>
      <c r="D530" s="3"/>
      <c r="E530" s="1"/>
      <c r="F530" s="1"/>
      <c r="G530" s="1"/>
      <c r="H530" s="2"/>
      <c r="I530" s="2"/>
      <c r="J530" s="2"/>
      <c r="K530" s="2"/>
      <c r="L530" s="2"/>
      <c r="M530" s="3"/>
      <c r="N530" s="3"/>
      <c r="O530" s="2"/>
      <c r="P530" s="2"/>
      <c r="Q530" s="2"/>
      <c r="R530" s="2"/>
      <c r="S530" s="2"/>
      <c r="T530" s="2"/>
      <c r="U530" s="2"/>
      <c r="V530" s="2"/>
      <c r="W530" s="2"/>
      <c r="X530" s="2"/>
      <c r="Y530" s="2"/>
      <c r="Z530" s="2"/>
      <c r="AA530" s="2"/>
      <c r="AB530" s="2"/>
      <c r="AC530" s="2"/>
    </row>
    <row r="531" spans="1:29" ht="13">
      <c r="A531" s="3"/>
      <c r="B531" s="2"/>
      <c r="C531" s="3"/>
      <c r="D531" s="3"/>
      <c r="E531" s="1"/>
      <c r="F531" s="1"/>
      <c r="G531" s="1"/>
      <c r="H531" s="2"/>
      <c r="I531" s="2"/>
      <c r="J531" s="2"/>
      <c r="K531" s="2"/>
      <c r="L531" s="2"/>
      <c r="M531" s="3"/>
      <c r="N531" s="3"/>
      <c r="O531" s="2"/>
      <c r="P531" s="2"/>
      <c r="Q531" s="2"/>
      <c r="R531" s="2"/>
      <c r="S531" s="2"/>
      <c r="T531" s="2"/>
      <c r="U531" s="2"/>
      <c r="V531" s="2"/>
      <c r="W531" s="2"/>
      <c r="X531" s="2"/>
      <c r="Y531" s="2"/>
      <c r="Z531" s="2"/>
      <c r="AA531" s="2"/>
      <c r="AB531" s="2"/>
      <c r="AC531" s="2"/>
    </row>
    <row r="532" spans="1:29" ht="13">
      <c r="A532" s="3"/>
      <c r="B532" s="2"/>
      <c r="C532" s="3"/>
      <c r="D532" s="3"/>
      <c r="E532" s="1"/>
      <c r="F532" s="1"/>
      <c r="G532" s="1"/>
      <c r="H532" s="2"/>
      <c r="I532" s="2"/>
      <c r="J532" s="2"/>
      <c r="K532" s="2"/>
      <c r="L532" s="2"/>
      <c r="M532" s="3"/>
      <c r="N532" s="3"/>
      <c r="O532" s="2"/>
      <c r="P532" s="2"/>
      <c r="Q532" s="2"/>
      <c r="R532" s="2"/>
      <c r="S532" s="2"/>
      <c r="T532" s="2"/>
      <c r="U532" s="2"/>
      <c r="V532" s="2"/>
      <c r="W532" s="2"/>
      <c r="X532" s="2"/>
      <c r="Y532" s="2"/>
      <c r="Z532" s="2"/>
      <c r="AA532" s="2"/>
      <c r="AB532" s="2"/>
      <c r="AC532" s="2"/>
    </row>
    <row r="533" spans="1:29" ht="13">
      <c r="A533" s="3"/>
      <c r="B533" s="2"/>
      <c r="C533" s="3"/>
      <c r="D533" s="3"/>
      <c r="E533" s="1"/>
      <c r="F533" s="1"/>
      <c r="G533" s="1"/>
      <c r="H533" s="2"/>
      <c r="I533" s="2"/>
      <c r="J533" s="2"/>
      <c r="K533" s="2"/>
      <c r="L533" s="2"/>
      <c r="M533" s="3"/>
      <c r="N533" s="3"/>
      <c r="O533" s="2"/>
      <c r="P533" s="2"/>
      <c r="Q533" s="2"/>
      <c r="R533" s="2"/>
      <c r="S533" s="2"/>
      <c r="T533" s="2"/>
      <c r="U533" s="2"/>
      <c r="V533" s="2"/>
      <c r="W533" s="2"/>
      <c r="X533" s="2"/>
      <c r="Y533" s="2"/>
      <c r="Z533" s="2"/>
      <c r="AA533" s="2"/>
      <c r="AB533" s="2"/>
      <c r="AC533" s="2"/>
    </row>
    <row r="534" spans="1:29" ht="13">
      <c r="A534" s="3"/>
      <c r="B534" s="2"/>
      <c r="C534" s="3"/>
      <c r="D534" s="3"/>
      <c r="E534" s="1"/>
      <c r="F534" s="1"/>
      <c r="G534" s="1"/>
      <c r="H534" s="2"/>
      <c r="I534" s="2"/>
      <c r="J534" s="2"/>
      <c r="K534" s="2"/>
      <c r="L534" s="2"/>
      <c r="M534" s="3"/>
      <c r="N534" s="3"/>
      <c r="O534" s="2"/>
      <c r="P534" s="2"/>
      <c r="Q534" s="2"/>
      <c r="R534" s="2"/>
      <c r="S534" s="2"/>
      <c r="T534" s="2"/>
      <c r="U534" s="2"/>
      <c r="V534" s="2"/>
      <c r="W534" s="2"/>
      <c r="X534" s="2"/>
      <c r="Y534" s="2"/>
      <c r="Z534" s="2"/>
      <c r="AA534" s="2"/>
      <c r="AB534" s="2"/>
      <c r="AC534" s="2"/>
    </row>
    <row r="535" spans="1:29" ht="13">
      <c r="A535" s="3"/>
      <c r="B535" s="2"/>
      <c r="C535" s="3"/>
      <c r="D535" s="3"/>
      <c r="E535" s="1"/>
      <c r="F535" s="1"/>
      <c r="G535" s="1"/>
      <c r="H535" s="2"/>
      <c r="I535" s="2"/>
      <c r="J535" s="2"/>
      <c r="K535" s="2"/>
      <c r="L535" s="2"/>
      <c r="M535" s="3"/>
      <c r="N535" s="3"/>
      <c r="O535" s="2"/>
      <c r="P535" s="2"/>
      <c r="Q535" s="2"/>
      <c r="R535" s="2"/>
      <c r="S535" s="2"/>
      <c r="T535" s="2"/>
      <c r="U535" s="2"/>
      <c r="V535" s="2"/>
      <c r="W535" s="2"/>
      <c r="X535" s="2"/>
      <c r="Y535" s="2"/>
      <c r="Z535" s="2"/>
      <c r="AA535" s="2"/>
      <c r="AB535" s="2"/>
      <c r="AC535" s="2"/>
    </row>
    <row r="536" spans="1:29" ht="13">
      <c r="A536" s="3"/>
      <c r="B536" s="2"/>
      <c r="C536" s="3"/>
      <c r="D536" s="3"/>
      <c r="E536" s="1"/>
      <c r="F536" s="1"/>
      <c r="G536" s="1"/>
      <c r="H536" s="2"/>
      <c r="I536" s="2"/>
      <c r="J536" s="2"/>
      <c r="K536" s="2"/>
      <c r="L536" s="2"/>
      <c r="M536" s="3"/>
      <c r="N536" s="3"/>
      <c r="O536" s="2"/>
      <c r="P536" s="2"/>
      <c r="Q536" s="2"/>
      <c r="R536" s="2"/>
      <c r="S536" s="2"/>
      <c r="T536" s="2"/>
      <c r="U536" s="2"/>
      <c r="V536" s="2"/>
      <c r="W536" s="2"/>
      <c r="X536" s="2"/>
      <c r="Y536" s="2"/>
      <c r="Z536" s="2"/>
      <c r="AA536" s="2"/>
      <c r="AB536" s="2"/>
      <c r="AC536" s="2"/>
    </row>
    <row r="537" spans="1:29" ht="13">
      <c r="A537" s="3"/>
      <c r="B537" s="2"/>
      <c r="C537" s="3"/>
      <c r="D537" s="3"/>
      <c r="E537" s="1"/>
      <c r="F537" s="1"/>
      <c r="G537" s="1"/>
      <c r="H537" s="2"/>
      <c r="I537" s="2"/>
      <c r="J537" s="2"/>
      <c r="K537" s="2"/>
      <c r="L537" s="2"/>
      <c r="M537" s="3"/>
      <c r="N537" s="3"/>
      <c r="O537" s="2"/>
      <c r="P537" s="2"/>
      <c r="Q537" s="2"/>
      <c r="R537" s="2"/>
      <c r="S537" s="2"/>
      <c r="T537" s="2"/>
      <c r="U537" s="2"/>
      <c r="V537" s="2"/>
      <c r="W537" s="2"/>
      <c r="X537" s="2"/>
      <c r="Y537" s="2"/>
      <c r="Z537" s="2"/>
      <c r="AA537" s="2"/>
      <c r="AB537" s="2"/>
      <c r="AC537" s="2"/>
    </row>
    <row r="538" spans="1:29" ht="13">
      <c r="A538" s="3"/>
      <c r="B538" s="2"/>
      <c r="C538" s="3"/>
      <c r="D538" s="3"/>
      <c r="E538" s="1"/>
      <c r="F538" s="1"/>
      <c r="G538" s="1"/>
      <c r="H538" s="2"/>
      <c r="I538" s="2"/>
      <c r="J538" s="2"/>
      <c r="K538" s="2"/>
      <c r="L538" s="2"/>
      <c r="M538" s="3"/>
      <c r="N538" s="3"/>
      <c r="O538" s="2"/>
      <c r="P538" s="2"/>
      <c r="Q538" s="2"/>
      <c r="R538" s="2"/>
      <c r="S538" s="2"/>
      <c r="T538" s="2"/>
      <c r="U538" s="2"/>
      <c r="V538" s="2"/>
      <c r="W538" s="2"/>
      <c r="X538" s="2"/>
      <c r="Y538" s="2"/>
      <c r="Z538" s="2"/>
      <c r="AA538" s="2"/>
      <c r="AB538" s="2"/>
      <c r="AC538" s="2"/>
    </row>
    <row r="539" spans="1:29" ht="13">
      <c r="A539" s="3"/>
      <c r="B539" s="2"/>
      <c r="C539" s="3"/>
      <c r="D539" s="3"/>
      <c r="E539" s="1"/>
      <c r="F539" s="1"/>
      <c r="G539" s="1"/>
      <c r="H539" s="2"/>
      <c r="I539" s="2"/>
      <c r="J539" s="2"/>
      <c r="K539" s="2"/>
      <c r="L539" s="2"/>
      <c r="M539" s="3"/>
      <c r="N539" s="3"/>
      <c r="O539" s="2"/>
      <c r="P539" s="2"/>
      <c r="Q539" s="2"/>
      <c r="R539" s="2"/>
      <c r="S539" s="2"/>
      <c r="T539" s="2"/>
      <c r="U539" s="2"/>
      <c r="V539" s="2"/>
      <c r="W539" s="2"/>
      <c r="X539" s="2"/>
      <c r="Y539" s="2"/>
      <c r="Z539" s="2"/>
      <c r="AA539" s="2"/>
      <c r="AB539" s="2"/>
      <c r="AC539" s="2"/>
    </row>
    <row r="540" spans="1:29" ht="13">
      <c r="A540" s="3"/>
      <c r="B540" s="2"/>
      <c r="C540" s="3"/>
      <c r="D540" s="3"/>
      <c r="E540" s="1"/>
      <c r="F540" s="1"/>
      <c r="G540" s="1"/>
      <c r="H540" s="2"/>
      <c r="I540" s="2"/>
      <c r="J540" s="2"/>
      <c r="K540" s="2"/>
      <c r="L540" s="2"/>
      <c r="M540" s="3"/>
      <c r="N540" s="3"/>
      <c r="O540" s="2"/>
      <c r="P540" s="2"/>
      <c r="Q540" s="2"/>
      <c r="R540" s="2"/>
      <c r="S540" s="2"/>
      <c r="T540" s="2"/>
      <c r="U540" s="2"/>
      <c r="V540" s="2"/>
      <c r="W540" s="2"/>
      <c r="X540" s="2"/>
      <c r="Y540" s="2"/>
      <c r="Z540" s="2"/>
      <c r="AA540" s="2"/>
      <c r="AB540" s="2"/>
      <c r="AC540" s="2"/>
    </row>
    <row r="541" spans="1:29" ht="13">
      <c r="A541" s="3"/>
      <c r="B541" s="2"/>
      <c r="C541" s="3"/>
      <c r="D541" s="3"/>
      <c r="E541" s="1"/>
      <c r="F541" s="1"/>
      <c r="G541" s="1"/>
      <c r="H541" s="2"/>
      <c r="I541" s="2"/>
      <c r="J541" s="2"/>
      <c r="K541" s="2"/>
      <c r="L541" s="2"/>
      <c r="M541" s="3"/>
      <c r="N541" s="3"/>
      <c r="O541" s="2"/>
      <c r="P541" s="2"/>
      <c r="Q541" s="2"/>
      <c r="R541" s="2"/>
      <c r="S541" s="2"/>
      <c r="T541" s="2"/>
      <c r="U541" s="2"/>
      <c r="V541" s="2"/>
      <c r="W541" s="2"/>
      <c r="X541" s="2"/>
      <c r="Y541" s="2"/>
      <c r="Z541" s="2"/>
      <c r="AA541" s="2"/>
      <c r="AB541" s="2"/>
      <c r="AC541" s="2"/>
    </row>
    <row r="542" spans="1:29" ht="13">
      <c r="A542" s="3"/>
      <c r="B542" s="2"/>
      <c r="C542" s="3"/>
      <c r="D542" s="3"/>
      <c r="E542" s="1"/>
      <c r="F542" s="1"/>
      <c r="G542" s="1"/>
      <c r="H542" s="2"/>
      <c r="I542" s="2"/>
      <c r="J542" s="2"/>
      <c r="K542" s="2"/>
      <c r="L542" s="2"/>
      <c r="M542" s="3"/>
      <c r="N542" s="3"/>
      <c r="O542" s="2"/>
      <c r="P542" s="2"/>
      <c r="Q542" s="2"/>
      <c r="R542" s="2"/>
      <c r="S542" s="2"/>
      <c r="T542" s="2"/>
      <c r="U542" s="2"/>
      <c r="V542" s="2"/>
      <c r="W542" s="2"/>
      <c r="X542" s="2"/>
      <c r="Y542" s="2"/>
      <c r="Z542" s="2"/>
      <c r="AA542" s="2"/>
      <c r="AB542" s="2"/>
      <c r="AC542" s="2"/>
    </row>
    <row r="543" spans="1:29" ht="13">
      <c r="A543" s="3"/>
      <c r="B543" s="2"/>
      <c r="C543" s="3"/>
      <c r="D543" s="3"/>
      <c r="E543" s="1"/>
      <c r="F543" s="1"/>
      <c r="G543" s="1"/>
      <c r="H543" s="2"/>
      <c r="I543" s="2"/>
      <c r="J543" s="2"/>
      <c r="K543" s="2"/>
      <c r="L543" s="2"/>
      <c r="M543" s="3"/>
      <c r="N543" s="3"/>
      <c r="O543" s="2"/>
      <c r="P543" s="2"/>
      <c r="Q543" s="2"/>
      <c r="R543" s="2"/>
      <c r="S543" s="2"/>
      <c r="T543" s="2"/>
      <c r="U543" s="2"/>
      <c r="V543" s="2"/>
      <c r="W543" s="2"/>
      <c r="X543" s="2"/>
      <c r="Y543" s="2"/>
      <c r="Z543" s="2"/>
      <c r="AA543" s="2"/>
      <c r="AB543" s="2"/>
      <c r="AC543" s="2"/>
    </row>
    <row r="544" spans="1:29" ht="13">
      <c r="A544" s="3"/>
      <c r="B544" s="2"/>
      <c r="C544" s="3"/>
      <c r="D544" s="3"/>
      <c r="E544" s="1"/>
      <c r="F544" s="1"/>
      <c r="G544" s="1"/>
      <c r="H544" s="2"/>
      <c r="I544" s="2"/>
      <c r="J544" s="2"/>
      <c r="K544" s="2"/>
      <c r="L544" s="2"/>
      <c r="M544" s="3"/>
      <c r="N544" s="3"/>
      <c r="O544" s="2"/>
      <c r="P544" s="2"/>
      <c r="Q544" s="2"/>
      <c r="R544" s="2"/>
      <c r="S544" s="2"/>
      <c r="T544" s="2"/>
      <c r="U544" s="2"/>
      <c r="V544" s="2"/>
      <c r="W544" s="2"/>
      <c r="X544" s="2"/>
      <c r="Y544" s="2"/>
      <c r="Z544" s="2"/>
      <c r="AA544" s="2"/>
      <c r="AB544" s="2"/>
      <c r="AC544" s="2"/>
    </row>
    <row r="545" spans="1:29" ht="13">
      <c r="A545" s="3"/>
      <c r="B545" s="2"/>
      <c r="C545" s="3"/>
      <c r="D545" s="3"/>
      <c r="E545" s="1"/>
      <c r="F545" s="1"/>
      <c r="G545" s="1"/>
      <c r="H545" s="2"/>
      <c r="I545" s="2"/>
      <c r="J545" s="2"/>
      <c r="K545" s="2"/>
      <c r="L545" s="2"/>
      <c r="M545" s="3"/>
      <c r="N545" s="3"/>
      <c r="O545" s="2"/>
      <c r="P545" s="2"/>
      <c r="Q545" s="2"/>
      <c r="R545" s="2"/>
      <c r="S545" s="2"/>
      <c r="T545" s="2"/>
      <c r="U545" s="2"/>
      <c r="V545" s="2"/>
      <c r="W545" s="2"/>
      <c r="X545" s="2"/>
      <c r="Y545" s="2"/>
      <c r="Z545" s="2"/>
      <c r="AA545" s="2"/>
      <c r="AB545" s="2"/>
      <c r="AC545" s="2"/>
    </row>
    <row r="546" spans="1:29" ht="13">
      <c r="A546" s="3"/>
      <c r="B546" s="2"/>
      <c r="C546" s="3"/>
      <c r="D546" s="3"/>
      <c r="E546" s="1"/>
      <c r="F546" s="1"/>
      <c r="G546" s="1"/>
      <c r="H546" s="2"/>
      <c r="I546" s="2"/>
      <c r="J546" s="2"/>
      <c r="K546" s="2"/>
      <c r="L546" s="2"/>
      <c r="M546" s="3"/>
      <c r="N546" s="3"/>
      <c r="O546" s="2"/>
      <c r="P546" s="2"/>
      <c r="Q546" s="2"/>
      <c r="R546" s="2"/>
      <c r="S546" s="2"/>
      <c r="T546" s="2"/>
      <c r="U546" s="2"/>
      <c r="V546" s="2"/>
      <c r="W546" s="2"/>
      <c r="X546" s="2"/>
      <c r="Y546" s="2"/>
      <c r="Z546" s="2"/>
      <c r="AA546" s="2"/>
      <c r="AB546" s="2"/>
      <c r="AC546" s="2"/>
    </row>
    <row r="547" spans="1:29" ht="13">
      <c r="A547" s="3"/>
      <c r="B547" s="2"/>
      <c r="C547" s="3"/>
      <c r="D547" s="3"/>
      <c r="E547" s="1"/>
      <c r="F547" s="1"/>
      <c r="G547" s="1"/>
      <c r="H547" s="2"/>
      <c r="I547" s="2"/>
      <c r="J547" s="2"/>
      <c r="K547" s="2"/>
      <c r="L547" s="2"/>
      <c r="M547" s="3"/>
      <c r="N547" s="3"/>
      <c r="O547" s="2"/>
      <c r="P547" s="2"/>
      <c r="Q547" s="2"/>
      <c r="R547" s="2"/>
      <c r="S547" s="2"/>
      <c r="T547" s="2"/>
      <c r="U547" s="2"/>
      <c r="V547" s="2"/>
      <c r="W547" s="2"/>
      <c r="X547" s="2"/>
      <c r="Y547" s="2"/>
      <c r="Z547" s="2"/>
      <c r="AA547" s="2"/>
      <c r="AB547" s="2"/>
      <c r="AC547" s="2"/>
    </row>
    <row r="548" spans="1:29" ht="13">
      <c r="A548" s="3"/>
      <c r="B548" s="2"/>
      <c r="C548" s="3"/>
      <c r="D548" s="3"/>
      <c r="E548" s="1"/>
      <c r="F548" s="1"/>
      <c r="G548" s="1"/>
      <c r="H548" s="2"/>
      <c r="I548" s="2"/>
      <c r="J548" s="2"/>
      <c r="K548" s="2"/>
      <c r="L548" s="2"/>
      <c r="M548" s="3"/>
      <c r="N548" s="3"/>
      <c r="O548" s="2"/>
      <c r="P548" s="2"/>
      <c r="Q548" s="2"/>
      <c r="R548" s="2"/>
      <c r="S548" s="2"/>
      <c r="T548" s="2"/>
      <c r="U548" s="2"/>
      <c r="V548" s="2"/>
      <c r="W548" s="2"/>
      <c r="X548" s="2"/>
      <c r="Y548" s="2"/>
      <c r="Z548" s="2"/>
      <c r="AA548" s="2"/>
      <c r="AB548" s="2"/>
      <c r="AC548" s="2"/>
    </row>
    <row r="549" spans="1:29" ht="13">
      <c r="A549" s="3"/>
      <c r="B549" s="2"/>
      <c r="C549" s="3"/>
      <c r="D549" s="3"/>
      <c r="E549" s="1"/>
      <c r="F549" s="1"/>
      <c r="G549" s="1"/>
      <c r="H549" s="2"/>
      <c r="I549" s="2"/>
      <c r="J549" s="2"/>
      <c r="K549" s="2"/>
      <c r="L549" s="2"/>
      <c r="M549" s="3"/>
      <c r="N549" s="3"/>
      <c r="O549" s="2"/>
      <c r="P549" s="2"/>
      <c r="Q549" s="2"/>
      <c r="R549" s="2"/>
      <c r="S549" s="2"/>
      <c r="T549" s="2"/>
      <c r="U549" s="2"/>
      <c r="V549" s="2"/>
      <c r="W549" s="2"/>
      <c r="X549" s="2"/>
      <c r="Y549" s="2"/>
      <c r="Z549" s="2"/>
      <c r="AA549" s="2"/>
      <c r="AB549" s="2"/>
      <c r="AC549" s="2"/>
    </row>
    <row r="550" spans="1:29" ht="13">
      <c r="A550" s="3"/>
      <c r="B550" s="2"/>
      <c r="C550" s="3"/>
      <c r="D550" s="3"/>
      <c r="E550" s="1"/>
      <c r="F550" s="1"/>
      <c r="G550" s="1"/>
      <c r="H550" s="2"/>
      <c r="I550" s="2"/>
      <c r="J550" s="2"/>
      <c r="K550" s="2"/>
      <c r="L550" s="2"/>
      <c r="M550" s="3"/>
      <c r="N550" s="3"/>
      <c r="O550" s="2"/>
      <c r="P550" s="2"/>
      <c r="Q550" s="2"/>
      <c r="R550" s="2"/>
      <c r="S550" s="2"/>
      <c r="T550" s="2"/>
      <c r="U550" s="2"/>
      <c r="V550" s="2"/>
      <c r="W550" s="2"/>
      <c r="X550" s="2"/>
      <c r="Y550" s="2"/>
      <c r="Z550" s="2"/>
      <c r="AA550" s="2"/>
      <c r="AB550" s="2"/>
      <c r="AC550" s="2"/>
    </row>
    <row r="551" spans="1:29" ht="13">
      <c r="A551" s="3"/>
      <c r="B551" s="2"/>
      <c r="C551" s="3"/>
      <c r="D551" s="3"/>
      <c r="E551" s="1"/>
      <c r="F551" s="1"/>
      <c r="G551" s="1"/>
      <c r="H551" s="2"/>
      <c r="I551" s="2"/>
      <c r="J551" s="2"/>
      <c r="K551" s="2"/>
      <c r="L551" s="2"/>
      <c r="M551" s="3"/>
      <c r="N551" s="3"/>
      <c r="O551" s="2"/>
      <c r="P551" s="2"/>
      <c r="Q551" s="2"/>
      <c r="R551" s="2"/>
      <c r="S551" s="2"/>
      <c r="T551" s="2"/>
      <c r="U551" s="2"/>
      <c r="V551" s="2"/>
      <c r="W551" s="2"/>
      <c r="X551" s="2"/>
      <c r="Y551" s="2"/>
      <c r="Z551" s="2"/>
      <c r="AA551" s="2"/>
      <c r="AB551" s="2"/>
      <c r="AC551" s="2"/>
    </row>
    <row r="552" spans="1:29" ht="13">
      <c r="A552" s="3"/>
      <c r="B552" s="2"/>
      <c r="C552" s="3"/>
      <c r="D552" s="3"/>
      <c r="E552" s="1"/>
      <c r="F552" s="1"/>
      <c r="G552" s="1"/>
      <c r="H552" s="2"/>
      <c r="I552" s="2"/>
      <c r="J552" s="2"/>
      <c r="K552" s="2"/>
      <c r="L552" s="2"/>
      <c r="M552" s="3"/>
      <c r="N552" s="3"/>
      <c r="O552" s="2"/>
      <c r="P552" s="2"/>
      <c r="Q552" s="2"/>
      <c r="R552" s="2"/>
      <c r="S552" s="2"/>
      <c r="T552" s="2"/>
      <c r="U552" s="2"/>
      <c r="V552" s="2"/>
      <c r="W552" s="2"/>
      <c r="X552" s="2"/>
      <c r="Y552" s="2"/>
      <c r="Z552" s="2"/>
      <c r="AA552" s="2"/>
      <c r="AB552" s="2"/>
      <c r="AC552" s="2"/>
    </row>
    <row r="553" spans="1:29" ht="13">
      <c r="A553" s="3"/>
      <c r="B553" s="2"/>
      <c r="C553" s="3"/>
      <c r="D553" s="3"/>
      <c r="E553" s="1"/>
      <c r="F553" s="1"/>
      <c r="G553" s="1"/>
      <c r="H553" s="2"/>
      <c r="I553" s="2"/>
      <c r="J553" s="2"/>
      <c r="K553" s="2"/>
      <c r="L553" s="2"/>
      <c r="M553" s="3"/>
      <c r="N553" s="3"/>
      <c r="O553" s="2"/>
      <c r="P553" s="2"/>
      <c r="Q553" s="2"/>
      <c r="R553" s="2"/>
      <c r="S553" s="2"/>
      <c r="T553" s="2"/>
      <c r="U553" s="2"/>
      <c r="V553" s="2"/>
      <c r="W553" s="2"/>
      <c r="X553" s="2"/>
      <c r="Y553" s="2"/>
      <c r="Z553" s="2"/>
      <c r="AA553" s="2"/>
      <c r="AB553" s="2"/>
      <c r="AC553" s="2"/>
    </row>
    <row r="554" spans="1:29" ht="13">
      <c r="A554" s="3"/>
      <c r="B554" s="2"/>
      <c r="C554" s="3"/>
      <c r="D554" s="3"/>
      <c r="E554" s="1"/>
      <c r="F554" s="1"/>
      <c r="G554" s="1"/>
      <c r="H554" s="2"/>
      <c r="I554" s="2"/>
      <c r="J554" s="2"/>
      <c r="K554" s="2"/>
      <c r="L554" s="2"/>
      <c r="M554" s="3"/>
      <c r="N554" s="3"/>
      <c r="O554" s="2"/>
      <c r="P554" s="2"/>
      <c r="Q554" s="2"/>
      <c r="R554" s="2"/>
      <c r="S554" s="2"/>
      <c r="T554" s="2"/>
      <c r="U554" s="2"/>
      <c r="V554" s="2"/>
      <c r="W554" s="2"/>
      <c r="X554" s="2"/>
      <c r="Y554" s="2"/>
      <c r="Z554" s="2"/>
      <c r="AA554" s="2"/>
      <c r="AB554" s="2"/>
      <c r="AC554" s="2"/>
    </row>
    <row r="555" spans="1:29" ht="13">
      <c r="A555" s="3"/>
      <c r="B555" s="2"/>
      <c r="C555" s="3"/>
      <c r="D555" s="3"/>
      <c r="E555" s="1"/>
      <c r="F555" s="1"/>
      <c r="G555" s="1"/>
      <c r="H555" s="2"/>
      <c r="I555" s="2"/>
      <c r="J555" s="2"/>
      <c r="K555" s="2"/>
      <c r="L555" s="2"/>
      <c r="M555" s="3"/>
      <c r="N555" s="3"/>
      <c r="O555" s="2"/>
      <c r="P555" s="2"/>
      <c r="Q555" s="2"/>
      <c r="R555" s="2"/>
      <c r="S555" s="2"/>
      <c r="T555" s="2"/>
      <c r="U555" s="2"/>
      <c r="V555" s="2"/>
      <c r="W555" s="2"/>
      <c r="X555" s="2"/>
      <c r="Y555" s="2"/>
      <c r="Z555" s="2"/>
      <c r="AA555" s="2"/>
      <c r="AB555" s="2"/>
      <c r="AC555" s="2"/>
    </row>
    <row r="556" spans="1:29" ht="13">
      <c r="A556" s="3"/>
      <c r="B556" s="2"/>
      <c r="C556" s="3"/>
      <c r="D556" s="3"/>
      <c r="E556" s="1"/>
      <c r="F556" s="1"/>
      <c r="G556" s="1"/>
      <c r="H556" s="2"/>
      <c r="I556" s="2"/>
      <c r="J556" s="2"/>
      <c r="K556" s="2"/>
      <c r="L556" s="2"/>
      <c r="M556" s="3"/>
      <c r="N556" s="3"/>
      <c r="O556" s="2"/>
      <c r="P556" s="2"/>
      <c r="Q556" s="2"/>
      <c r="R556" s="2"/>
      <c r="S556" s="2"/>
      <c r="T556" s="2"/>
      <c r="U556" s="2"/>
      <c r="V556" s="2"/>
      <c r="W556" s="2"/>
      <c r="X556" s="2"/>
      <c r="Y556" s="2"/>
      <c r="Z556" s="2"/>
      <c r="AA556" s="2"/>
      <c r="AB556" s="2"/>
      <c r="AC556" s="2"/>
    </row>
    <row r="557" spans="1:29" ht="13">
      <c r="A557" s="3"/>
      <c r="B557" s="2"/>
      <c r="C557" s="3"/>
      <c r="D557" s="3"/>
      <c r="E557" s="1"/>
      <c r="F557" s="1"/>
      <c r="G557" s="1"/>
      <c r="H557" s="2"/>
      <c r="I557" s="2"/>
      <c r="J557" s="2"/>
      <c r="K557" s="2"/>
      <c r="L557" s="2"/>
      <c r="M557" s="3"/>
      <c r="N557" s="3"/>
      <c r="O557" s="2"/>
      <c r="P557" s="2"/>
      <c r="Q557" s="2"/>
      <c r="R557" s="2"/>
      <c r="S557" s="2"/>
      <c r="T557" s="2"/>
      <c r="U557" s="2"/>
      <c r="V557" s="2"/>
      <c r="W557" s="2"/>
      <c r="X557" s="2"/>
      <c r="Y557" s="2"/>
      <c r="Z557" s="2"/>
      <c r="AA557" s="2"/>
      <c r="AB557" s="2"/>
      <c r="AC557" s="2"/>
    </row>
    <row r="558" spans="1:29" ht="13">
      <c r="A558" s="3"/>
      <c r="B558" s="2"/>
      <c r="C558" s="3"/>
      <c r="D558" s="3"/>
      <c r="E558" s="1"/>
      <c r="F558" s="1"/>
      <c r="G558" s="1"/>
      <c r="H558" s="2"/>
      <c r="I558" s="2"/>
      <c r="J558" s="2"/>
      <c r="K558" s="2"/>
      <c r="L558" s="2"/>
      <c r="M558" s="3"/>
      <c r="N558" s="3"/>
      <c r="O558" s="2"/>
      <c r="P558" s="2"/>
      <c r="Q558" s="2"/>
      <c r="R558" s="2"/>
      <c r="S558" s="2"/>
      <c r="T558" s="2"/>
      <c r="U558" s="2"/>
      <c r="V558" s="2"/>
      <c r="W558" s="2"/>
      <c r="X558" s="2"/>
      <c r="Y558" s="2"/>
      <c r="Z558" s="2"/>
      <c r="AA558" s="2"/>
      <c r="AB558" s="2"/>
      <c r="AC558" s="2"/>
    </row>
    <row r="559" spans="1:29" ht="13">
      <c r="A559" s="3"/>
      <c r="B559" s="2"/>
      <c r="C559" s="3"/>
      <c r="D559" s="3"/>
      <c r="E559" s="1"/>
      <c r="F559" s="1"/>
      <c r="G559" s="1"/>
      <c r="H559" s="2"/>
      <c r="I559" s="2"/>
      <c r="J559" s="2"/>
      <c r="K559" s="2"/>
      <c r="L559" s="2"/>
      <c r="M559" s="3"/>
      <c r="N559" s="3"/>
      <c r="O559" s="2"/>
      <c r="P559" s="2"/>
      <c r="Q559" s="2"/>
      <c r="R559" s="2"/>
      <c r="S559" s="2"/>
      <c r="T559" s="2"/>
      <c r="U559" s="2"/>
      <c r="V559" s="2"/>
      <c r="W559" s="2"/>
      <c r="X559" s="2"/>
      <c r="Y559" s="2"/>
      <c r="Z559" s="2"/>
      <c r="AA559" s="2"/>
      <c r="AB559" s="2"/>
      <c r="AC559" s="2"/>
    </row>
    <row r="560" spans="1:29" ht="13">
      <c r="A560" s="3"/>
      <c r="B560" s="2"/>
      <c r="C560" s="3"/>
      <c r="D560" s="3"/>
      <c r="E560" s="1"/>
      <c r="F560" s="1"/>
      <c r="G560" s="1"/>
      <c r="H560" s="2"/>
      <c r="I560" s="2"/>
      <c r="J560" s="2"/>
      <c r="K560" s="2"/>
      <c r="L560" s="2"/>
      <c r="M560" s="3"/>
      <c r="N560" s="3"/>
      <c r="O560" s="2"/>
      <c r="P560" s="2"/>
      <c r="Q560" s="2"/>
      <c r="R560" s="2"/>
      <c r="S560" s="2"/>
      <c r="T560" s="2"/>
      <c r="U560" s="2"/>
      <c r="V560" s="2"/>
      <c r="W560" s="2"/>
      <c r="X560" s="2"/>
      <c r="Y560" s="2"/>
      <c r="Z560" s="2"/>
      <c r="AA560" s="2"/>
      <c r="AB560" s="2"/>
      <c r="AC560" s="2"/>
    </row>
    <row r="561" spans="1:29" ht="13">
      <c r="A561" s="3"/>
      <c r="B561" s="2"/>
      <c r="C561" s="3"/>
      <c r="D561" s="3"/>
      <c r="E561" s="1"/>
      <c r="F561" s="1"/>
      <c r="G561" s="1"/>
      <c r="H561" s="2"/>
      <c r="I561" s="2"/>
      <c r="J561" s="2"/>
      <c r="K561" s="2"/>
      <c r="L561" s="2"/>
      <c r="M561" s="3"/>
      <c r="N561" s="3"/>
      <c r="O561" s="2"/>
      <c r="P561" s="2"/>
      <c r="Q561" s="2"/>
      <c r="R561" s="2"/>
      <c r="S561" s="2"/>
      <c r="T561" s="2"/>
      <c r="U561" s="2"/>
      <c r="V561" s="2"/>
      <c r="W561" s="2"/>
      <c r="X561" s="2"/>
      <c r="Y561" s="2"/>
      <c r="Z561" s="2"/>
      <c r="AA561" s="2"/>
      <c r="AB561" s="2"/>
      <c r="AC561" s="2"/>
    </row>
    <row r="562" spans="1:29" ht="13">
      <c r="A562" s="3"/>
      <c r="B562" s="2"/>
      <c r="C562" s="3"/>
      <c r="D562" s="3"/>
      <c r="E562" s="1"/>
      <c r="F562" s="1"/>
      <c r="G562" s="1"/>
      <c r="H562" s="2"/>
      <c r="I562" s="2"/>
      <c r="J562" s="2"/>
      <c r="K562" s="2"/>
      <c r="L562" s="2"/>
      <c r="M562" s="3"/>
      <c r="N562" s="3"/>
      <c r="O562" s="2"/>
      <c r="P562" s="2"/>
      <c r="Q562" s="2"/>
      <c r="R562" s="2"/>
      <c r="S562" s="2"/>
      <c r="T562" s="2"/>
      <c r="U562" s="2"/>
      <c r="V562" s="2"/>
      <c r="W562" s="2"/>
      <c r="X562" s="2"/>
      <c r="Y562" s="2"/>
      <c r="Z562" s="2"/>
      <c r="AA562" s="2"/>
      <c r="AB562" s="2"/>
      <c r="AC562" s="2"/>
    </row>
    <row r="563" spans="1:29" ht="13">
      <c r="A563" s="3"/>
      <c r="B563" s="2"/>
      <c r="C563" s="3"/>
      <c r="D563" s="3"/>
      <c r="E563" s="1"/>
      <c r="F563" s="1"/>
      <c r="G563" s="1"/>
      <c r="H563" s="2"/>
      <c r="I563" s="2"/>
      <c r="J563" s="2"/>
      <c r="K563" s="2"/>
      <c r="L563" s="2"/>
      <c r="M563" s="3"/>
      <c r="N563" s="3"/>
      <c r="O563" s="2"/>
      <c r="P563" s="2"/>
      <c r="Q563" s="2"/>
      <c r="R563" s="2"/>
      <c r="S563" s="2"/>
      <c r="T563" s="2"/>
      <c r="U563" s="2"/>
      <c r="V563" s="2"/>
      <c r="W563" s="2"/>
      <c r="X563" s="2"/>
      <c r="Y563" s="2"/>
      <c r="Z563" s="2"/>
      <c r="AA563" s="2"/>
      <c r="AB563" s="2"/>
      <c r="AC563" s="2"/>
    </row>
    <row r="564" spans="1:29" ht="13">
      <c r="A564" s="3"/>
      <c r="B564" s="2"/>
      <c r="C564" s="3"/>
      <c r="D564" s="3"/>
      <c r="E564" s="1"/>
      <c r="F564" s="1"/>
      <c r="G564" s="1"/>
      <c r="H564" s="2"/>
      <c r="I564" s="2"/>
      <c r="J564" s="2"/>
      <c r="K564" s="2"/>
      <c r="L564" s="2"/>
      <c r="M564" s="3"/>
      <c r="N564" s="3"/>
      <c r="O564" s="2"/>
      <c r="P564" s="2"/>
      <c r="Q564" s="2"/>
      <c r="R564" s="2"/>
      <c r="S564" s="2"/>
      <c r="T564" s="2"/>
      <c r="U564" s="2"/>
      <c r="V564" s="2"/>
      <c r="W564" s="2"/>
      <c r="X564" s="2"/>
      <c r="Y564" s="2"/>
      <c r="Z564" s="2"/>
      <c r="AA564" s="2"/>
      <c r="AB564" s="2"/>
      <c r="AC564" s="2"/>
    </row>
    <row r="565" spans="1:29" ht="13">
      <c r="A565" s="3"/>
      <c r="B565" s="2"/>
      <c r="C565" s="3"/>
      <c r="D565" s="3"/>
      <c r="E565" s="1"/>
      <c r="F565" s="1"/>
      <c r="G565" s="1"/>
      <c r="H565" s="2"/>
      <c r="I565" s="2"/>
      <c r="J565" s="2"/>
      <c r="K565" s="2"/>
      <c r="L565" s="2"/>
      <c r="M565" s="3"/>
      <c r="N565" s="3"/>
      <c r="O565" s="2"/>
      <c r="P565" s="2"/>
      <c r="Q565" s="2"/>
      <c r="R565" s="2"/>
      <c r="S565" s="2"/>
      <c r="T565" s="2"/>
      <c r="U565" s="2"/>
      <c r="V565" s="2"/>
      <c r="W565" s="2"/>
      <c r="X565" s="2"/>
      <c r="Y565" s="2"/>
      <c r="Z565" s="2"/>
      <c r="AA565" s="2"/>
      <c r="AB565" s="2"/>
      <c r="AC565" s="2"/>
    </row>
    <row r="566" spans="1:29" ht="13">
      <c r="A566" s="3"/>
      <c r="B566" s="2"/>
      <c r="C566" s="3"/>
      <c r="D566" s="3"/>
      <c r="E566" s="1"/>
      <c r="F566" s="1"/>
      <c r="G566" s="1"/>
      <c r="H566" s="2"/>
      <c r="I566" s="2"/>
      <c r="J566" s="2"/>
      <c r="K566" s="2"/>
      <c r="L566" s="2"/>
      <c r="M566" s="3"/>
      <c r="N566" s="3"/>
      <c r="O566" s="2"/>
      <c r="P566" s="2"/>
      <c r="Q566" s="2"/>
      <c r="R566" s="2"/>
      <c r="S566" s="2"/>
      <c r="T566" s="2"/>
      <c r="U566" s="2"/>
      <c r="V566" s="2"/>
      <c r="W566" s="2"/>
      <c r="X566" s="2"/>
      <c r="Y566" s="2"/>
      <c r="Z566" s="2"/>
      <c r="AA566" s="2"/>
      <c r="AB566" s="2"/>
      <c r="AC566" s="2"/>
    </row>
    <row r="567" spans="1:29" ht="13">
      <c r="A567" s="3"/>
      <c r="B567" s="2"/>
      <c r="C567" s="3"/>
      <c r="D567" s="3"/>
      <c r="E567" s="1"/>
      <c r="F567" s="1"/>
      <c r="G567" s="1"/>
      <c r="H567" s="2"/>
      <c r="I567" s="2"/>
      <c r="J567" s="2"/>
      <c r="K567" s="2"/>
      <c r="L567" s="2"/>
      <c r="M567" s="3"/>
      <c r="N567" s="3"/>
      <c r="O567" s="2"/>
      <c r="P567" s="2"/>
      <c r="Q567" s="2"/>
      <c r="R567" s="2"/>
      <c r="S567" s="2"/>
      <c r="T567" s="2"/>
      <c r="U567" s="2"/>
      <c r="V567" s="2"/>
      <c r="W567" s="2"/>
      <c r="X567" s="2"/>
      <c r="Y567" s="2"/>
      <c r="Z567" s="2"/>
      <c r="AA567" s="2"/>
      <c r="AB567" s="2"/>
      <c r="AC567" s="2"/>
    </row>
    <row r="568" spans="1:29" ht="13">
      <c r="A568" s="3"/>
      <c r="B568" s="2"/>
      <c r="C568" s="3"/>
      <c r="D568" s="3"/>
      <c r="E568" s="1"/>
      <c r="F568" s="1"/>
      <c r="G568" s="1"/>
      <c r="H568" s="2"/>
      <c r="I568" s="2"/>
      <c r="J568" s="2"/>
      <c r="K568" s="2"/>
      <c r="L568" s="2"/>
      <c r="M568" s="3"/>
      <c r="N568" s="3"/>
      <c r="O568" s="2"/>
      <c r="P568" s="2"/>
      <c r="Q568" s="2"/>
      <c r="R568" s="2"/>
      <c r="S568" s="2"/>
      <c r="T568" s="2"/>
      <c r="U568" s="2"/>
      <c r="V568" s="2"/>
      <c r="W568" s="2"/>
      <c r="X568" s="2"/>
      <c r="Y568" s="2"/>
      <c r="Z568" s="2"/>
      <c r="AA568" s="2"/>
      <c r="AB568" s="2"/>
      <c r="AC568" s="2"/>
    </row>
    <row r="569" spans="1:29" ht="13">
      <c r="A569" s="3"/>
      <c r="B569" s="2"/>
      <c r="C569" s="3"/>
      <c r="D569" s="3"/>
      <c r="E569" s="1"/>
      <c r="F569" s="1"/>
      <c r="G569" s="1"/>
      <c r="H569" s="2"/>
      <c r="I569" s="2"/>
      <c r="J569" s="2"/>
      <c r="K569" s="2"/>
      <c r="L569" s="2"/>
      <c r="M569" s="3"/>
      <c r="N569" s="3"/>
      <c r="O569" s="2"/>
      <c r="P569" s="2"/>
      <c r="Q569" s="2"/>
      <c r="R569" s="2"/>
      <c r="S569" s="2"/>
      <c r="T569" s="2"/>
      <c r="U569" s="2"/>
      <c r="V569" s="2"/>
      <c r="W569" s="2"/>
      <c r="X569" s="2"/>
      <c r="Y569" s="2"/>
      <c r="Z569" s="2"/>
      <c r="AA569" s="2"/>
      <c r="AB569" s="2"/>
      <c r="AC569" s="2"/>
    </row>
    <row r="570" spans="1:29" ht="13">
      <c r="A570" s="3"/>
      <c r="B570" s="2"/>
      <c r="C570" s="3"/>
      <c r="D570" s="3"/>
      <c r="E570" s="1"/>
      <c r="F570" s="1"/>
      <c r="G570" s="1"/>
      <c r="H570" s="2"/>
      <c r="I570" s="2"/>
      <c r="J570" s="2"/>
      <c r="K570" s="2"/>
      <c r="L570" s="2"/>
      <c r="M570" s="3"/>
      <c r="N570" s="3"/>
      <c r="O570" s="2"/>
      <c r="P570" s="2"/>
      <c r="Q570" s="2"/>
      <c r="R570" s="2"/>
      <c r="S570" s="2"/>
      <c r="T570" s="2"/>
      <c r="U570" s="2"/>
      <c r="V570" s="2"/>
      <c r="W570" s="2"/>
      <c r="X570" s="2"/>
      <c r="Y570" s="2"/>
      <c r="Z570" s="2"/>
      <c r="AA570" s="2"/>
      <c r="AB570" s="2"/>
      <c r="AC570" s="2"/>
    </row>
    <row r="571" spans="1:29" ht="13">
      <c r="A571" s="3"/>
      <c r="B571" s="2"/>
      <c r="C571" s="3"/>
      <c r="D571" s="3"/>
      <c r="E571" s="1"/>
      <c r="F571" s="1"/>
      <c r="G571" s="1"/>
      <c r="H571" s="2"/>
      <c r="I571" s="2"/>
      <c r="J571" s="2"/>
      <c r="K571" s="2"/>
      <c r="L571" s="2"/>
      <c r="M571" s="3"/>
      <c r="N571" s="3"/>
      <c r="O571" s="2"/>
      <c r="P571" s="2"/>
      <c r="Q571" s="2"/>
      <c r="R571" s="2"/>
      <c r="S571" s="2"/>
      <c r="T571" s="2"/>
      <c r="U571" s="2"/>
      <c r="V571" s="2"/>
      <c r="W571" s="2"/>
      <c r="X571" s="2"/>
      <c r="Y571" s="2"/>
      <c r="Z571" s="2"/>
      <c r="AA571" s="2"/>
      <c r="AB571" s="2"/>
      <c r="AC571" s="2"/>
    </row>
    <row r="572" spans="1:29" ht="13">
      <c r="A572" s="3"/>
      <c r="B572" s="2"/>
      <c r="C572" s="3"/>
      <c r="D572" s="3"/>
      <c r="E572" s="1"/>
      <c r="F572" s="1"/>
      <c r="G572" s="1"/>
      <c r="H572" s="2"/>
      <c r="I572" s="2"/>
      <c r="J572" s="2"/>
      <c r="K572" s="2"/>
      <c r="L572" s="2"/>
      <c r="M572" s="3"/>
      <c r="N572" s="3"/>
      <c r="O572" s="2"/>
      <c r="P572" s="2"/>
      <c r="Q572" s="2"/>
      <c r="R572" s="2"/>
      <c r="S572" s="2"/>
      <c r="T572" s="2"/>
      <c r="U572" s="2"/>
      <c r="V572" s="2"/>
      <c r="W572" s="2"/>
      <c r="X572" s="2"/>
      <c r="Y572" s="2"/>
      <c r="Z572" s="2"/>
      <c r="AA572" s="2"/>
      <c r="AB572" s="2"/>
      <c r="AC572" s="2"/>
    </row>
    <row r="573" spans="1:29" ht="13">
      <c r="A573" s="3"/>
      <c r="B573" s="2"/>
      <c r="C573" s="3"/>
      <c r="D573" s="3"/>
      <c r="E573" s="1"/>
      <c r="F573" s="1"/>
      <c r="G573" s="1"/>
      <c r="H573" s="2"/>
      <c r="I573" s="2"/>
      <c r="J573" s="2"/>
      <c r="K573" s="2"/>
      <c r="L573" s="2"/>
      <c r="M573" s="3"/>
      <c r="N573" s="3"/>
      <c r="O573" s="2"/>
      <c r="P573" s="2"/>
      <c r="Q573" s="2"/>
      <c r="R573" s="2"/>
      <c r="S573" s="2"/>
      <c r="T573" s="2"/>
      <c r="U573" s="2"/>
      <c r="V573" s="2"/>
      <c r="W573" s="2"/>
      <c r="X573" s="2"/>
      <c r="Y573" s="2"/>
      <c r="Z573" s="2"/>
      <c r="AA573" s="2"/>
      <c r="AB573" s="2"/>
      <c r="AC573" s="2"/>
    </row>
    <row r="574" spans="1:29" ht="13">
      <c r="A574" s="3"/>
      <c r="B574" s="2"/>
      <c r="C574" s="3"/>
      <c r="D574" s="3"/>
      <c r="E574" s="1"/>
      <c r="F574" s="1"/>
      <c r="G574" s="1"/>
      <c r="H574" s="2"/>
      <c r="I574" s="2"/>
      <c r="J574" s="2"/>
      <c r="K574" s="2"/>
      <c r="L574" s="2"/>
      <c r="M574" s="3"/>
      <c r="N574" s="3"/>
      <c r="O574" s="2"/>
      <c r="P574" s="2"/>
      <c r="Q574" s="2"/>
      <c r="R574" s="2"/>
      <c r="S574" s="2"/>
      <c r="T574" s="2"/>
      <c r="U574" s="2"/>
      <c r="V574" s="2"/>
      <c r="W574" s="2"/>
      <c r="X574" s="2"/>
      <c r="Y574" s="2"/>
      <c r="Z574" s="2"/>
      <c r="AA574" s="2"/>
      <c r="AB574" s="2"/>
      <c r="AC574" s="2"/>
    </row>
    <row r="575" spans="1:29" ht="13">
      <c r="A575" s="3"/>
      <c r="B575" s="2"/>
      <c r="C575" s="3"/>
      <c r="D575" s="3"/>
      <c r="E575" s="1"/>
      <c r="F575" s="1"/>
      <c r="G575" s="1"/>
      <c r="H575" s="2"/>
      <c r="I575" s="2"/>
      <c r="J575" s="2"/>
      <c r="K575" s="2"/>
      <c r="L575" s="2"/>
      <c r="M575" s="3"/>
      <c r="N575" s="3"/>
      <c r="O575" s="2"/>
      <c r="P575" s="2"/>
      <c r="Q575" s="2"/>
      <c r="R575" s="2"/>
      <c r="S575" s="2"/>
      <c r="T575" s="2"/>
      <c r="U575" s="2"/>
      <c r="V575" s="2"/>
      <c r="W575" s="2"/>
      <c r="X575" s="2"/>
      <c r="Y575" s="2"/>
      <c r="Z575" s="2"/>
      <c r="AA575" s="2"/>
      <c r="AB575" s="2"/>
      <c r="AC575" s="2"/>
    </row>
    <row r="576" spans="1:29" ht="13">
      <c r="A576" s="3"/>
      <c r="B576" s="2"/>
      <c r="C576" s="3"/>
      <c r="D576" s="3"/>
      <c r="E576" s="1"/>
      <c r="F576" s="1"/>
      <c r="G576" s="1"/>
      <c r="H576" s="2"/>
      <c r="I576" s="2"/>
      <c r="J576" s="2"/>
      <c r="K576" s="2"/>
      <c r="L576" s="2"/>
      <c r="M576" s="3"/>
      <c r="N576" s="3"/>
      <c r="O576" s="2"/>
      <c r="P576" s="2"/>
      <c r="Q576" s="2"/>
      <c r="R576" s="2"/>
      <c r="S576" s="2"/>
      <c r="T576" s="2"/>
      <c r="U576" s="2"/>
      <c r="V576" s="2"/>
      <c r="W576" s="2"/>
      <c r="X576" s="2"/>
      <c r="Y576" s="2"/>
      <c r="Z576" s="2"/>
      <c r="AA576" s="2"/>
      <c r="AB576" s="2"/>
      <c r="AC576" s="2"/>
    </row>
    <row r="577" spans="1:29" ht="13">
      <c r="A577" s="3"/>
      <c r="B577" s="2"/>
      <c r="C577" s="3"/>
      <c r="D577" s="3"/>
      <c r="E577" s="1"/>
      <c r="F577" s="1"/>
      <c r="G577" s="1"/>
      <c r="H577" s="2"/>
      <c r="I577" s="2"/>
      <c r="J577" s="2"/>
      <c r="K577" s="2"/>
      <c r="L577" s="2"/>
      <c r="M577" s="3"/>
      <c r="N577" s="3"/>
      <c r="O577" s="2"/>
      <c r="P577" s="2"/>
      <c r="Q577" s="2"/>
      <c r="R577" s="2"/>
      <c r="S577" s="2"/>
      <c r="T577" s="2"/>
      <c r="U577" s="2"/>
      <c r="V577" s="2"/>
      <c r="W577" s="2"/>
      <c r="X577" s="2"/>
      <c r="Y577" s="2"/>
      <c r="Z577" s="2"/>
      <c r="AA577" s="2"/>
      <c r="AB577" s="2"/>
      <c r="AC577" s="2"/>
    </row>
    <row r="578" spans="1:29" ht="13">
      <c r="A578" s="3"/>
      <c r="B578" s="2"/>
      <c r="C578" s="3"/>
      <c r="D578" s="3"/>
      <c r="E578" s="1"/>
      <c r="F578" s="1"/>
      <c r="G578" s="1"/>
      <c r="H578" s="2"/>
      <c r="I578" s="2"/>
      <c r="J578" s="2"/>
      <c r="K578" s="2"/>
      <c r="L578" s="2"/>
      <c r="M578" s="3"/>
      <c r="N578" s="3"/>
      <c r="O578" s="2"/>
      <c r="P578" s="2"/>
      <c r="Q578" s="2"/>
      <c r="R578" s="2"/>
      <c r="S578" s="2"/>
      <c r="T578" s="2"/>
      <c r="U578" s="2"/>
      <c r="V578" s="2"/>
      <c r="W578" s="2"/>
      <c r="X578" s="2"/>
      <c r="Y578" s="2"/>
      <c r="Z578" s="2"/>
      <c r="AA578" s="2"/>
      <c r="AB578" s="2"/>
      <c r="AC578" s="2"/>
    </row>
    <row r="579" spans="1:29" ht="13">
      <c r="A579" s="3"/>
      <c r="B579" s="2"/>
      <c r="C579" s="3"/>
      <c r="D579" s="3"/>
      <c r="E579" s="1"/>
      <c r="F579" s="1"/>
      <c r="G579" s="1"/>
      <c r="H579" s="2"/>
      <c r="I579" s="2"/>
      <c r="J579" s="2"/>
      <c r="K579" s="2"/>
      <c r="L579" s="2"/>
      <c r="M579" s="3"/>
      <c r="N579" s="3"/>
      <c r="O579" s="2"/>
      <c r="P579" s="2"/>
      <c r="Q579" s="2"/>
      <c r="R579" s="2"/>
      <c r="S579" s="2"/>
      <c r="T579" s="2"/>
      <c r="U579" s="2"/>
      <c r="V579" s="2"/>
      <c r="W579" s="2"/>
      <c r="X579" s="2"/>
      <c r="Y579" s="2"/>
      <c r="Z579" s="2"/>
      <c r="AA579" s="2"/>
      <c r="AB579" s="2"/>
      <c r="AC579" s="2"/>
    </row>
    <row r="580" spans="1:29" ht="13">
      <c r="A580" s="3"/>
      <c r="B580" s="2"/>
      <c r="C580" s="3"/>
      <c r="D580" s="3"/>
      <c r="E580" s="1"/>
      <c r="F580" s="1"/>
      <c r="G580" s="1"/>
      <c r="H580" s="2"/>
      <c r="I580" s="2"/>
      <c r="J580" s="2"/>
      <c r="K580" s="2"/>
      <c r="L580" s="2"/>
      <c r="M580" s="3"/>
      <c r="N580" s="3"/>
      <c r="O580" s="2"/>
      <c r="P580" s="2"/>
      <c r="Q580" s="2"/>
      <c r="R580" s="2"/>
      <c r="S580" s="2"/>
      <c r="T580" s="2"/>
      <c r="U580" s="2"/>
      <c r="V580" s="2"/>
      <c r="W580" s="2"/>
      <c r="X580" s="2"/>
      <c r="Y580" s="2"/>
      <c r="Z580" s="2"/>
      <c r="AA580" s="2"/>
      <c r="AB580" s="2"/>
      <c r="AC580" s="2"/>
    </row>
    <row r="581" spans="1:29" ht="13">
      <c r="A581" s="3"/>
      <c r="B581" s="2"/>
      <c r="C581" s="3"/>
      <c r="D581" s="3"/>
      <c r="E581" s="1"/>
      <c r="F581" s="1"/>
      <c r="G581" s="1"/>
      <c r="H581" s="2"/>
      <c r="I581" s="2"/>
      <c r="J581" s="2"/>
      <c r="K581" s="2"/>
      <c r="L581" s="2"/>
      <c r="M581" s="3"/>
      <c r="N581" s="3"/>
      <c r="O581" s="2"/>
      <c r="P581" s="2"/>
      <c r="Q581" s="2"/>
      <c r="R581" s="2"/>
      <c r="S581" s="2"/>
      <c r="T581" s="2"/>
      <c r="U581" s="2"/>
      <c r="V581" s="2"/>
      <c r="W581" s="2"/>
      <c r="X581" s="2"/>
      <c r="Y581" s="2"/>
      <c r="Z581" s="2"/>
      <c r="AA581" s="2"/>
      <c r="AB581" s="2"/>
      <c r="AC581" s="2"/>
    </row>
    <row r="582" spans="1:29" ht="13">
      <c r="A582" s="3"/>
      <c r="B582" s="2"/>
      <c r="C582" s="3"/>
      <c r="D582" s="3"/>
      <c r="E582" s="1"/>
      <c r="F582" s="1"/>
      <c r="G582" s="1"/>
      <c r="H582" s="2"/>
      <c r="I582" s="2"/>
      <c r="J582" s="2"/>
      <c r="K582" s="2"/>
      <c r="L582" s="2"/>
      <c r="M582" s="3"/>
      <c r="N582" s="3"/>
      <c r="O582" s="2"/>
      <c r="P582" s="2"/>
      <c r="Q582" s="2"/>
      <c r="R582" s="2"/>
      <c r="S582" s="2"/>
      <c r="T582" s="2"/>
      <c r="U582" s="2"/>
      <c r="V582" s="2"/>
      <c r="W582" s="2"/>
      <c r="X582" s="2"/>
      <c r="Y582" s="2"/>
      <c r="Z582" s="2"/>
      <c r="AA582" s="2"/>
      <c r="AB582" s="2"/>
      <c r="AC582" s="2"/>
    </row>
    <row r="583" spans="1:29" ht="13">
      <c r="A583" s="3"/>
      <c r="B583" s="2"/>
      <c r="C583" s="3"/>
      <c r="D583" s="3"/>
      <c r="E583" s="1"/>
      <c r="F583" s="1"/>
      <c r="G583" s="1"/>
      <c r="H583" s="2"/>
      <c r="I583" s="2"/>
      <c r="J583" s="2"/>
      <c r="K583" s="2"/>
      <c r="L583" s="2"/>
      <c r="M583" s="3"/>
      <c r="N583" s="3"/>
      <c r="O583" s="2"/>
      <c r="P583" s="2"/>
      <c r="Q583" s="2"/>
      <c r="R583" s="2"/>
      <c r="S583" s="2"/>
      <c r="T583" s="2"/>
      <c r="U583" s="2"/>
      <c r="V583" s="2"/>
      <c r="W583" s="2"/>
      <c r="X583" s="2"/>
      <c r="Y583" s="2"/>
      <c r="Z583" s="2"/>
      <c r="AA583" s="2"/>
      <c r="AB583" s="2"/>
      <c r="AC583" s="2"/>
    </row>
    <row r="584" spans="1:29" ht="13">
      <c r="A584" s="3"/>
      <c r="B584" s="2"/>
      <c r="C584" s="3"/>
      <c r="D584" s="3"/>
      <c r="E584" s="1"/>
      <c r="F584" s="1"/>
      <c r="G584" s="1"/>
      <c r="H584" s="2"/>
      <c r="I584" s="2"/>
      <c r="J584" s="2"/>
      <c r="K584" s="2"/>
      <c r="L584" s="2"/>
      <c r="M584" s="3"/>
      <c r="N584" s="3"/>
      <c r="O584" s="2"/>
      <c r="P584" s="2"/>
      <c r="Q584" s="2"/>
      <c r="R584" s="2"/>
      <c r="S584" s="2"/>
      <c r="T584" s="2"/>
      <c r="U584" s="2"/>
      <c r="V584" s="2"/>
      <c r="W584" s="2"/>
      <c r="X584" s="2"/>
      <c r="Y584" s="2"/>
      <c r="Z584" s="2"/>
      <c r="AA584" s="2"/>
      <c r="AB584" s="2"/>
      <c r="AC584" s="2"/>
    </row>
    <row r="585" spans="1:29" ht="13">
      <c r="A585" s="3"/>
      <c r="B585" s="2"/>
      <c r="C585" s="3"/>
      <c r="D585" s="3"/>
      <c r="E585" s="1"/>
      <c r="F585" s="1"/>
      <c r="G585" s="1"/>
      <c r="H585" s="2"/>
      <c r="I585" s="2"/>
      <c r="J585" s="2"/>
      <c r="K585" s="2"/>
      <c r="L585" s="2"/>
      <c r="M585" s="3"/>
      <c r="N585" s="3"/>
      <c r="O585" s="2"/>
      <c r="P585" s="2"/>
      <c r="Q585" s="2"/>
      <c r="R585" s="2"/>
      <c r="S585" s="2"/>
      <c r="T585" s="2"/>
      <c r="U585" s="2"/>
      <c r="V585" s="2"/>
      <c r="W585" s="2"/>
      <c r="X585" s="2"/>
      <c r="Y585" s="2"/>
      <c r="Z585" s="2"/>
      <c r="AA585" s="2"/>
      <c r="AB585" s="2"/>
      <c r="AC585" s="2"/>
    </row>
    <row r="586" spans="1:29" ht="13">
      <c r="A586" s="3"/>
      <c r="B586" s="2"/>
      <c r="C586" s="3"/>
      <c r="D586" s="3"/>
      <c r="E586" s="1"/>
      <c r="F586" s="1"/>
      <c r="G586" s="1"/>
      <c r="H586" s="2"/>
      <c r="I586" s="2"/>
      <c r="J586" s="2"/>
      <c r="K586" s="2"/>
      <c r="L586" s="2"/>
      <c r="M586" s="3"/>
      <c r="N586" s="3"/>
      <c r="O586" s="2"/>
      <c r="P586" s="2"/>
      <c r="Q586" s="2"/>
      <c r="R586" s="2"/>
      <c r="S586" s="2"/>
      <c r="T586" s="2"/>
      <c r="U586" s="2"/>
      <c r="V586" s="2"/>
      <c r="W586" s="2"/>
      <c r="X586" s="2"/>
      <c r="Y586" s="2"/>
      <c r="Z586" s="2"/>
      <c r="AA586" s="2"/>
      <c r="AB586" s="2"/>
      <c r="AC586" s="2"/>
    </row>
    <row r="587" spans="1:29" ht="13">
      <c r="A587" s="3"/>
      <c r="B587" s="2"/>
      <c r="C587" s="3"/>
      <c r="D587" s="3"/>
      <c r="E587" s="1"/>
      <c r="F587" s="1"/>
      <c r="G587" s="1"/>
      <c r="H587" s="2"/>
      <c r="I587" s="2"/>
      <c r="J587" s="2"/>
      <c r="K587" s="2"/>
      <c r="L587" s="2"/>
      <c r="M587" s="3"/>
      <c r="N587" s="3"/>
      <c r="O587" s="2"/>
      <c r="P587" s="2"/>
      <c r="Q587" s="2"/>
      <c r="R587" s="2"/>
      <c r="S587" s="2"/>
      <c r="T587" s="2"/>
      <c r="U587" s="2"/>
      <c r="V587" s="2"/>
      <c r="W587" s="2"/>
      <c r="X587" s="2"/>
      <c r="Y587" s="2"/>
      <c r="Z587" s="2"/>
      <c r="AA587" s="2"/>
      <c r="AB587" s="2"/>
      <c r="AC587" s="2"/>
    </row>
    <row r="588" spans="1:29" ht="13">
      <c r="A588" s="3"/>
      <c r="B588" s="2"/>
      <c r="C588" s="3"/>
      <c r="D588" s="3"/>
      <c r="E588" s="1"/>
      <c r="F588" s="1"/>
      <c r="G588" s="1"/>
      <c r="H588" s="2"/>
      <c r="I588" s="2"/>
      <c r="J588" s="2"/>
      <c r="K588" s="2"/>
      <c r="L588" s="2"/>
      <c r="M588" s="3"/>
      <c r="N588" s="3"/>
      <c r="O588" s="2"/>
      <c r="P588" s="2"/>
      <c r="Q588" s="2"/>
      <c r="R588" s="2"/>
      <c r="S588" s="2"/>
      <c r="T588" s="2"/>
      <c r="U588" s="2"/>
      <c r="V588" s="2"/>
      <c r="W588" s="2"/>
      <c r="X588" s="2"/>
      <c r="Y588" s="2"/>
      <c r="Z588" s="2"/>
      <c r="AA588" s="2"/>
      <c r="AB588" s="2"/>
      <c r="AC588" s="2"/>
    </row>
    <row r="589" spans="1:29" ht="13">
      <c r="A589" s="3"/>
      <c r="B589" s="2"/>
      <c r="C589" s="3"/>
      <c r="D589" s="3"/>
      <c r="E589" s="1"/>
      <c r="F589" s="1"/>
      <c r="G589" s="1"/>
      <c r="H589" s="2"/>
      <c r="I589" s="2"/>
      <c r="J589" s="2"/>
      <c r="K589" s="2"/>
      <c r="L589" s="2"/>
      <c r="M589" s="3"/>
      <c r="N589" s="3"/>
      <c r="O589" s="2"/>
      <c r="P589" s="2"/>
      <c r="Q589" s="2"/>
      <c r="R589" s="2"/>
      <c r="S589" s="2"/>
      <c r="T589" s="2"/>
      <c r="U589" s="2"/>
      <c r="V589" s="2"/>
      <c r="W589" s="2"/>
      <c r="X589" s="2"/>
      <c r="Y589" s="2"/>
      <c r="Z589" s="2"/>
      <c r="AA589" s="2"/>
      <c r="AB589" s="2"/>
      <c r="AC589" s="2"/>
    </row>
    <row r="590" spans="1:29" ht="13">
      <c r="A590" s="3"/>
      <c r="B590" s="2"/>
      <c r="C590" s="3"/>
      <c r="D590" s="3"/>
      <c r="E590" s="1"/>
      <c r="F590" s="1"/>
      <c r="G590" s="1"/>
      <c r="H590" s="2"/>
      <c r="I590" s="2"/>
      <c r="J590" s="2"/>
      <c r="K590" s="2"/>
      <c r="L590" s="2"/>
      <c r="M590" s="3"/>
      <c r="N590" s="3"/>
      <c r="O590" s="2"/>
      <c r="P590" s="2"/>
      <c r="Q590" s="2"/>
      <c r="R590" s="2"/>
      <c r="S590" s="2"/>
      <c r="T590" s="2"/>
      <c r="U590" s="2"/>
      <c r="V590" s="2"/>
      <c r="W590" s="2"/>
      <c r="X590" s="2"/>
      <c r="Y590" s="2"/>
      <c r="Z590" s="2"/>
      <c r="AA590" s="2"/>
      <c r="AB590" s="2"/>
      <c r="AC590" s="2"/>
    </row>
    <row r="591" spans="1:29" ht="13">
      <c r="A591" s="3"/>
      <c r="B591" s="2"/>
      <c r="C591" s="3"/>
      <c r="D591" s="3"/>
      <c r="E591" s="1"/>
      <c r="F591" s="1"/>
      <c r="G591" s="1"/>
      <c r="H591" s="2"/>
      <c r="I591" s="2"/>
      <c r="J591" s="2"/>
      <c r="K591" s="2"/>
      <c r="L591" s="2"/>
      <c r="M591" s="3"/>
      <c r="N591" s="3"/>
      <c r="O591" s="2"/>
      <c r="P591" s="2"/>
      <c r="Q591" s="2"/>
      <c r="R591" s="2"/>
      <c r="S591" s="2"/>
      <c r="T591" s="2"/>
      <c r="U591" s="2"/>
      <c r="V591" s="2"/>
      <c r="W591" s="2"/>
      <c r="X591" s="2"/>
      <c r="Y591" s="2"/>
      <c r="Z591" s="2"/>
      <c r="AA591" s="2"/>
      <c r="AB591" s="2"/>
      <c r="AC591" s="2"/>
    </row>
    <row r="592" spans="1:29" ht="13">
      <c r="A592" s="3"/>
      <c r="B592" s="2"/>
      <c r="C592" s="3"/>
      <c r="D592" s="3"/>
      <c r="E592" s="1"/>
      <c r="F592" s="1"/>
      <c r="G592" s="1"/>
      <c r="H592" s="2"/>
      <c r="I592" s="2"/>
      <c r="J592" s="2"/>
      <c r="K592" s="2"/>
      <c r="L592" s="2"/>
      <c r="M592" s="3"/>
      <c r="N592" s="3"/>
      <c r="O592" s="2"/>
      <c r="P592" s="2"/>
      <c r="Q592" s="2"/>
      <c r="R592" s="2"/>
      <c r="S592" s="2"/>
      <c r="T592" s="2"/>
      <c r="U592" s="2"/>
      <c r="V592" s="2"/>
      <c r="W592" s="2"/>
      <c r="X592" s="2"/>
      <c r="Y592" s="2"/>
      <c r="Z592" s="2"/>
      <c r="AA592" s="2"/>
      <c r="AB592" s="2"/>
      <c r="AC592" s="2"/>
    </row>
    <row r="593" spans="1:29" ht="13">
      <c r="A593" s="3"/>
      <c r="B593" s="2"/>
      <c r="C593" s="3"/>
      <c r="D593" s="3"/>
      <c r="E593" s="1"/>
      <c r="F593" s="1"/>
      <c r="G593" s="1"/>
      <c r="H593" s="2"/>
      <c r="I593" s="2"/>
      <c r="J593" s="2"/>
      <c r="K593" s="2"/>
      <c r="L593" s="2"/>
      <c r="M593" s="3"/>
      <c r="N593" s="3"/>
      <c r="O593" s="2"/>
      <c r="P593" s="2"/>
      <c r="Q593" s="2"/>
      <c r="R593" s="2"/>
      <c r="S593" s="2"/>
      <c r="T593" s="2"/>
      <c r="U593" s="2"/>
      <c r="V593" s="2"/>
      <c r="W593" s="2"/>
      <c r="X593" s="2"/>
      <c r="Y593" s="2"/>
      <c r="Z593" s="2"/>
      <c r="AA593" s="2"/>
      <c r="AB593" s="2"/>
      <c r="AC593" s="2"/>
    </row>
    <row r="594" spans="1:29" ht="13">
      <c r="A594" s="3"/>
      <c r="B594" s="2"/>
      <c r="C594" s="3"/>
      <c r="D594" s="3"/>
      <c r="E594" s="1"/>
      <c r="F594" s="1"/>
      <c r="G594" s="1"/>
      <c r="H594" s="2"/>
      <c r="I594" s="2"/>
      <c r="J594" s="2"/>
      <c r="K594" s="2"/>
      <c r="L594" s="2"/>
      <c r="M594" s="3"/>
      <c r="N594" s="3"/>
      <c r="O594" s="2"/>
      <c r="P594" s="2"/>
      <c r="Q594" s="2"/>
      <c r="R594" s="2"/>
      <c r="S594" s="2"/>
      <c r="T594" s="2"/>
      <c r="U594" s="2"/>
      <c r="V594" s="2"/>
      <c r="W594" s="2"/>
      <c r="X594" s="2"/>
      <c r="Y594" s="2"/>
      <c r="Z594" s="2"/>
      <c r="AA594" s="2"/>
      <c r="AB594" s="2"/>
      <c r="AC594" s="2"/>
    </row>
    <row r="595" spans="1:29" ht="13">
      <c r="A595" s="3"/>
      <c r="B595" s="2"/>
      <c r="C595" s="3"/>
      <c r="D595" s="3"/>
      <c r="E595" s="1"/>
      <c r="F595" s="1"/>
      <c r="G595" s="1"/>
      <c r="H595" s="2"/>
      <c r="I595" s="2"/>
      <c r="J595" s="2"/>
      <c r="K595" s="2"/>
      <c r="L595" s="2"/>
      <c r="M595" s="3"/>
      <c r="N595" s="3"/>
      <c r="O595" s="2"/>
      <c r="P595" s="2"/>
      <c r="Q595" s="2"/>
      <c r="R595" s="2"/>
      <c r="S595" s="2"/>
      <c r="T595" s="2"/>
      <c r="U595" s="2"/>
      <c r="V595" s="2"/>
      <c r="W595" s="2"/>
      <c r="X595" s="2"/>
      <c r="Y595" s="2"/>
      <c r="Z595" s="2"/>
      <c r="AA595" s="2"/>
      <c r="AB595" s="2"/>
      <c r="AC595" s="2"/>
    </row>
    <row r="596" spans="1:29" ht="13">
      <c r="A596" s="3"/>
      <c r="B596" s="2"/>
      <c r="C596" s="3"/>
      <c r="D596" s="3"/>
      <c r="E596" s="1"/>
      <c r="F596" s="1"/>
      <c r="G596" s="1"/>
      <c r="H596" s="2"/>
      <c r="I596" s="2"/>
      <c r="J596" s="2"/>
      <c r="K596" s="2"/>
      <c r="L596" s="2"/>
      <c r="M596" s="3"/>
      <c r="N596" s="3"/>
      <c r="O596" s="2"/>
      <c r="P596" s="2"/>
      <c r="Q596" s="2"/>
      <c r="R596" s="2"/>
      <c r="S596" s="2"/>
      <c r="T596" s="2"/>
      <c r="U596" s="2"/>
      <c r="V596" s="2"/>
      <c r="W596" s="2"/>
      <c r="X596" s="2"/>
      <c r="Y596" s="2"/>
      <c r="Z596" s="2"/>
      <c r="AA596" s="2"/>
      <c r="AB596" s="2"/>
      <c r="AC596" s="2"/>
    </row>
    <row r="597" spans="1:29" ht="13">
      <c r="A597" s="3"/>
      <c r="B597" s="2"/>
      <c r="C597" s="3"/>
      <c r="D597" s="3"/>
      <c r="E597" s="1"/>
      <c r="F597" s="1"/>
      <c r="G597" s="1"/>
      <c r="H597" s="2"/>
      <c r="I597" s="2"/>
      <c r="J597" s="2"/>
      <c r="K597" s="2"/>
      <c r="L597" s="2"/>
      <c r="M597" s="3"/>
      <c r="N597" s="3"/>
      <c r="O597" s="2"/>
      <c r="P597" s="2"/>
      <c r="Q597" s="2"/>
      <c r="R597" s="2"/>
      <c r="S597" s="2"/>
      <c r="T597" s="2"/>
      <c r="U597" s="2"/>
      <c r="V597" s="2"/>
      <c r="W597" s="2"/>
      <c r="X597" s="2"/>
      <c r="Y597" s="2"/>
      <c r="Z597" s="2"/>
      <c r="AA597" s="2"/>
      <c r="AB597" s="2"/>
      <c r="AC597" s="2"/>
    </row>
    <row r="598" spans="1:29" ht="13">
      <c r="A598" s="3"/>
      <c r="B598" s="2"/>
      <c r="C598" s="3"/>
      <c r="D598" s="3"/>
      <c r="E598" s="1"/>
      <c r="F598" s="1"/>
      <c r="G598" s="1"/>
      <c r="H598" s="2"/>
      <c r="I598" s="2"/>
      <c r="J598" s="2"/>
      <c r="K598" s="2"/>
      <c r="L598" s="2"/>
      <c r="M598" s="3"/>
      <c r="N598" s="3"/>
      <c r="O598" s="2"/>
      <c r="P598" s="2"/>
      <c r="Q598" s="2"/>
      <c r="R598" s="2"/>
      <c r="S598" s="2"/>
      <c r="T598" s="2"/>
      <c r="U598" s="2"/>
      <c r="V598" s="2"/>
      <c r="W598" s="2"/>
      <c r="X598" s="2"/>
      <c r="Y598" s="2"/>
      <c r="Z598" s="2"/>
      <c r="AA598" s="2"/>
      <c r="AB598" s="2"/>
      <c r="AC598" s="2"/>
    </row>
    <row r="599" spans="1:29" ht="13">
      <c r="A599" s="3"/>
      <c r="B599" s="2"/>
      <c r="C599" s="3"/>
      <c r="D599" s="3"/>
      <c r="E599" s="1"/>
      <c r="F599" s="1"/>
      <c r="G599" s="1"/>
      <c r="H599" s="2"/>
      <c r="I599" s="2"/>
      <c r="J599" s="2"/>
      <c r="K599" s="2"/>
      <c r="L599" s="2"/>
      <c r="M599" s="3"/>
      <c r="N599" s="3"/>
      <c r="O599" s="2"/>
      <c r="P599" s="2"/>
      <c r="Q599" s="2"/>
      <c r="R599" s="2"/>
      <c r="S599" s="2"/>
      <c r="T599" s="2"/>
      <c r="U599" s="2"/>
      <c r="V599" s="2"/>
      <c r="W599" s="2"/>
      <c r="X599" s="2"/>
      <c r="Y599" s="2"/>
      <c r="Z599" s="2"/>
      <c r="AA599" s="2"/>
      <c r="AB599" s="2"/>
      <c r="AC599" s="2"/>
    </row>
    <row r="600" spans="1:29" ht="13">
      <c r="A600" s="3"/>
      <c r="B600" s="2"/>
      <c r="C600" s="3"/>
      <c r="D600" s="3"/>
      <c r="E600" s="1"/>
      <c r="F600" s="1"/>
      <c r="G600" s="1"/>
      <c r="H600" s="2"/>
      <c r="I600" s="2"/>
      <c r="J600" s="2"/>
      <c r="K600" s="2"/>
      <c r="L600" s="2"/>
      <c r="M600" s="3"/>
      <c r="N600" s="3"/>
      <c r="O600" s="2"/>
      <c r="P600" s="2"/>
      <c r="Q600" s="2"/>
      <c r="R600" s="2"/>
      <c r="S600" s="2"/>
      <c r="T600" s="2"/>
      <c r="U600" s="2"/>
      <c r="V600" s="2"/>
      <c r="W600" s="2"/>
      <c r="X600" s="2"/>
      <c r="Y600" s="2"/>
      <c r="Z600" s="2"/>
      <c r="AA600" s="2"/>
      <c r="AB600" s="2"/>
      <c r="AC600" s="2"/>
    </row>
    <row r="601" spans="1:29" ht="13">
      <c r="A601" s="3"/>
      <c r="B601" s="2"/>
      <c r="C601" s="3"/>
      <c r="D601" s="3"/>
      <c r="E601" s="1"/>
      <c r="F601" s="1"/>
      <c r="G601" s="1"/>
      <c r="H601" s="2"/>
      <c r="I601" s="2"/>
      <c r="J601" s="2"/>
      <c r="K601" s="2"/>
      <c r="L601" s="2"/>
      <c r="M601" s="3"/>
      <c r="N601" s="3"/>
      <c r="O601" s="2"/>
      <c r="P601" s="2"/>
      <c r="Q601" s="2"/>
      <c r="R601" s="2"/>
      <c r="S601" s="2"/>
      <c r="T601" s="2"/>
      <c r="U601" s="2"/>
      <c r="V601" s="2"/>
      <c r="W601" s="2"/>
      <c r="X601" s="2"/>
      <c r="Y601" s="2"/>
      <c r="Z601" s="2"/>
      <c r="AA601" s="2"/>
      <c r="AB601" s="2"/>
      <c r="AC601" s="2"/>
    </row>
    <row r="602" spans="1:29" ht="13">
      <c r="A602" s="3"/>
      <c r="B602" s="2"/>
      <c r="C602" s="3"/>
      <c r="D602" s="3"/>
      <c r="E602" s="1"/>
      <c r="F602" s="1"/>
      <c r="G602" s="1"/>
      <c r="H602" s="2"/>
      <c r="I602" s="2"/>
      <c r="J602" s="2"/>
      <c r="K602" s="2"/>
      <c r="L602" s="2"/>
      <c r="M602" s="3"/>
      <c r="N602" s="3"/>
      <c r="O602" s="2"/>
      <c r="P602" s="2"/>
      <c r="Q602" s="2"/>
      <c r="R602" s="2"/>
      <c r="S602" s="2"/>
      <c r="T602" s="2"/>
      <c r="U602" s="2"/>
      <c r="V602" s="2"/>
      <c r="W602" s="2"/>
      <c r="X602" s="2"/>
      <c r="Y602" s="2"/>
      <c r="Z602" s="2"/>
      <c r="AA602" s="2"/>
      <c r="AB602" s="2"/>
      <c r="AC602" s="2"/>
    </row>
    <row r="603" spans="1:29" ht="13">
      <c r="A603" s="3"/>
      <c r="B603" s="2"/>
      <c r="C603" s="3"/>
      <c r="D603" s="3"/>
      <c r="E603" s="1"/>
      <c r="F603" s="1"/>
      <c r="G603" s="1"/>
      <c r="H603" s="2"/>
      <c r="I603" s="2"/>
      <c r="J603" s="2"/>
      <c r="K603" s="2"/>
      <c r="L603" s="2"/>
      <c r="M603" s="3"/>
      <c r="N603" s="3"/>
      <c r="O603" s="2"/>
      <c r="P603" s="2"/>
      <c r="Q603" s="2"/>
      <c r="R603" s="2"/>
      <c r="S603" s="2"/>
      <c r="T603" s="2"/>
      <c r="U603" s="2"/>
      <c r="V603" s="2"/>
      <c r="W603" s="2"/>
      <c r="X603" s="2"/>
      <c r="Y603" s="2"/>
      <c r="Z603" s="2"/>
      <c r="AA603" s="2"/>
      <c r="AB603" s="2"/>
      <c r="AC603" s="2"/>
    </row>
    <row r="604" spans="1:29" ht="13">
      <c r="A604" s="3"/>
      <c r="B604" s="2"/>
      <c r="C604" s="3"/>
      <c r="D604" s="3"/>
      <c r="E604" s="1"/>
      <c r="F604" s="1"/>
      <c r="G604" s="1"/>
      <c r="H604" s="2"/>
      <c r="I604" s="2"/>
      <c r="J604" s="2"/>
      <c r="K604" s="2"/>
      <c r="L604" s="2"/>
      <c r="M604" s="3"/>
      <c r="N604" s="3"/>
      <c r="O604" s="2"/>
      <c r="P604" s="2"/>
      <c r="Q604" s="2"/>
      <c r="R604" s="2"/>
      <c r="S604" s="2"/>
      <c r="T604" s="2"/>
      <c r="U604" s="2"/>
      <c r="V604" s="2"/>
      <c r="W604" s="2"/>
      <c r="X604" s="2"/>
      <c r="Y604" s="2"/>
      <c r="Z604" s="2"/>
      <c r="AA604" s="2"/>
      <c r="AB604" s="2"/>
      <c r="AC604" s="2"/>
    </row>
    <row r="605" spans="1:29" ht="13">
      <c r="A605" s="3"/>
      <c r="B605" s="2"/>
      <c r="C605" s="3"/>
      <c r="D605" s="3"/>
      <c r="E605" s="1"/>
      <c r="F605" s="1"/>
      <c r="G605" s="1"/>
      <c r="H605" s="2"/>
      <c r="I605" s="2"/>
      <c r="J605" s="2"/>
      <c r="K605" s="2"/>
      <c r="L605" s="2"/>
      <c r="M605" s="3"/>
      <c r="N605" s="3"/>
      <c r="O605" s="2"/>
      <c r="P605" s="2"/>
      <c r="Q605" s="2"/>
      <c r="R605" s="2"/>
      <c r="S605" s="2"/>
      <c r="T605" s="2"/>
      <c r="U605" s="2"/>
      <c r="V605" s="2"/>
      <c r="W605" s="2"/>
      <c r="X605" s="2"/>
      <c r="Y605" s="2"/>
      <c r="Z605" s="2"/>
      <c r="AA605" s="2"/>
      <c r="AB605" s="2"/>
      <c r="AC605" s="2"/>
    </row>
    <row r="606" spans="1:29" ht="13">
      <c r="A606" s="3"/>
      <c r="B606" s="2"/>
      <c r="C606" s="3"/>
      <c r="D606" s="3"/>
      <c r="E606" s="1"/>
      <c r="F606" s="1"/>
      <c r="G606" s="1"/>
      <c r="H606" s="2"/>
      <c r="I606" s="2"/>
      <c r="J606" s="2"/>
      <c r="K606" s="2"/>
      <c r="L606" s="2"/>
      <c r="M606" s="3"/>
      <c r="N606" s="3"/>
      <c r="O606" s="2"/>
      <c r="P606" s="2"/>
      <c r="Q606" s="2"/>
      <c r="R606" s="2"/>
      <c r="S606" s="2"/>
      <c r="T606" s="2"/>
      <c r="U606" s="2"/>
      <c r="V606" s="2"/>
      <c r="W606" s="2"/>
      <c r="X606" s="2"/>
      <c r="Y606" s="2"/>
      <c r="Z606" s="2"/>
      <c r="AA606" s="2"/>
      <c r="AB606" s="2"/>
      <c r="AC606" s="2"/>
    </row>
    <row r="607" spans="1:29" ht="13">
      <c r="A607" s="3"/>
      <c r="B607" s="2"/>
      <c r="C607" s="3"/>
      <c r="D607" s="3"/>
      <c r="E607" s="1"/>
      <c r="F607" s="1"/>
      <c r="G607" s="1"/>
      <c r="H607" s="2"/>
      <c r="I607" s="2"/>
      <c r="J607" s="2"/>
      <c r="K607" s="2"/>
      <c r="L607" s="2"/>
      <c r="M607" s="3"/>
      <c r="N607" s="3"/>
      <c r="O607" s="2"/>
      <c r="P607" s="2"/>
      <c r="Q607" s="2"/>
      <c r="R607" s="2"/>
      <c r="S607" s="2"/>
      <c r="T607" s="2"/>
      <c r="U607" s="2"/>
      <c r="V607" s="2"/>
      <c r="W607" s="2"/>
      <c r="X607" s="2"/>
      <c r="Y607" s="2"/>
      <c r="Z607" s="2"/>
      <c r="AA607" s="2"/>
      <c r="AB607" s="2"/>
      <c r="AC607" s="2"/>
    </row>
    <row r="608" spans="1:29" ht="13">
      <c r="A608" s="3"/>
      <c r="B608" s="2"/>
      <c r="C608" s="3"/>
      <c r="D608" s="3"/>
      <c r="E608" s="1"/>
      <c r="F608" s="1"/>
      <c r="G608" s="1"/>
      <c r="H608" s="2"/>
      <c r="I608" s="2"/>
      <c r="J608" s="2"/>
      <c r="K608" s="2"/>
      <c r="L608" s="2"/>
      <c r="M608" s="3"/>
      <c r="N608" s="3"/>
      <c r="O608" s="2"/>
      <c r="P608" s="2"/>
      <c r="Q608" s="2"/>
      <c r="R608" s="2"/>
      <c r="S608" s="2"/>
      <c r="T608" s="2"/>
      <c r="U608" s="2"/>
      <c r="V608" s="2"/>
      <c r="W608" s="2"/>
      <c r="X608" s="2"/>
      <c r="Y608" s="2"/>
      <c r="Z608" s="2"/>
      <c r="AA608" s="2"/>
      <c r="AB608" s="2"/>
      <c r="AC608" s="2"/>
    </row>
    <row r="609" spans="1:29" ht="13">
      <c r="A609" s="3"/>
      <c r="B609" s="2"/>
      <c r="C609" s="3"/>
      <c r="D609" s="3"/>
      <c r="E609" s="1"/>
      <c r="F609" s="1"/>
      <c r="G609" s="1"/>
      <c r="H609" s="2"/>
      <c r="I609" s="2"/>
      <c r="J609" s="2"/>
      <c r="K609" s="2"/>
      <c r="L609" s="2"/>
      <c r="M609" s="3"/>
      <c r="N609" s="3"/>
      <c r="O609" s="2"/>
      <c r="P609" s="2"/>
      <c r="Q609" s="2"/>
      <c r="R609" s="2"/>
      <c r="S609" s="2"/>
      <c r="T609" s="2"/>
      <c r="U609" s="2"/>
      <c r="V609" s="2"/>
      <c r="W609" s="2"/>
      <c r="X609" s="2"/>
      <c r="Y609" s="2"/>
      <c r="Z609" s="2"/>
      <c r="AA609" s="2"/>
      <c r="AB609" s="2"/>
      <c r="AC609" s="2"/>
    </row>
    <row r="610" spans="1:29" ht="13">
      <c r="A610" s="3"/>
      <c r="B610" s="2"/>
      <c r="C610" s="3"/>
      <c r="D610" s="3"/>
      <c r="E610" s="1"/>
      <c r="F610" s="1"/>
      <c r="G610" s="1"/>
      <c r="H610" s="2"/>
      <c r="I610" s="2"/>
      <c r="J610" s="2"/>
      <c r="K610" s="2"/>
      <c r="L610" s="2"/>
      <c r="M610" s="3"/>
      <c r="N610" s="3"/>
      <c r="O610" s="2"/>
      <c r="P610" s="2"/>
      <c r="Q610" s="2"/>
      <c r="R610" s="2"/>
      <c r="S610" s="2"/>
      <c r="T610" s="2"/>
      <c r="U610" s="2"/>
      <c r="V610" s="2"/>
      <c r="W610" s="2"/>
      <c r="X610" s="2"/>
      <c r="Y610" s="2"/>
      <c r="Z610" s="2"/>
      <c r="AA610" s="2"/>
      <c r="AB610" s="2"/>
      <c r="AC610" s="2"/>
    </row>
    <row r="611" spans="1:29" ht="13">
      <c r="A611" s="3"/>
      <c r="B611" s="2"/>
      <c r="C611" s="3"/>
      <c r="D611" s="3"/>
      <c r="E611" s="1"/>
      <c r="F611" s="1"/>
      <c r="G611" s="1"/>
      <c r="H611" s="2"/>
      <c r="I611" s="2"/>
      <c r="J611" s="2"/>
      <c r="K611" s="2"/>
      <c r="L611" s="2"/>
      <c r="M611" s="3"/>
      <c r="N611" s="3"/>
      <c r="O611" s="2"/>
      <c r="P611" s="2"/>
      <c r="Q611" s="2"/>
      <c r="R611" s="2"/>
      <c r="S611" s="2"/>
      <c r="T611" s="2"/>
      <c r="U611" s="2"/>
      <c r="V611" s="2"/>
      <c r="W611" s="2"/>
      <c r="X611" s="2"/>
      <c r="Y611" s="2"/>
      <c r="Z611" s="2"/>
      <c r="AA611" s="2"/>
      <c r="AB611" s="2"/>
      <c r="AC611" s="2"/>
    </row>
    <row r="612" spans="1:29" ht="13">
      <c r="A612" s="3"/>
      <c r="B612" s="2"/>
      <c r="C612" s="3"/>
      <c r="D612" s="3"/>
      <c r="E612" s="1"/>
      <c r="F612" s="1"/>
      <c r="G612" s="1"/>
      <c r="H612" s="2"/>
      <c r="I612" s="2"/>
      <c r="J612" s="2"/>
      <c r="K612" s="2"/>
      <c r="L612" s="2"/>
      <c r="M612" s="3"/>
      <c r="N612" s="3"/>
      <c r="O612" s="2"/>
      <c r="P612" s="2"/>
      <c r="Q612" s="2"/>
      <c r="R612" s="2"/>
      <c r="S612" s="2"/>
      <c r="T612" s="2"/>
      <c r="U612" s="2"/>
      <c r="V612" s="2"/>
      <c r="W612" s="2"/>
      <c r="X612" s="2"/>
      <c r="Y612" s="2"/>
      <c r="Z612" s="2"/>
      <c r="AA612" s="2"/>
      <c r="AB612" s="2"/>
      <c r="AC612" s="2"/>
    </row>
    <row r="613" spans="1:29" ht="13">
      <c r="A613" s="3"/>
      <c r="B613" s="2"/>
      <c r="C613" s="3"/>
      <c r="D613" s="3"/>
      <c r="E613" s="1"/>
      <c r="F613" s="1"/>
      <c r="G613" s="1"/>
      <c r="H613" s="2"/>
      <c r="I613" s="2"/>
      <c r="J613" s="2"/>
      <c r="K613" s="2"/>
      <c r="L613" s="2"/>
      <c r="M613" s="3"/>
      <c r="N613" s="3"/>
      <c r="O613" s="2"/>
      <c r="P613" s="2"/>
      <c r="Q613" s="2"/>
      <c r="R613" s="2"/>
      <c r="S613" s="2"/>
      <c r="T613" s="2"/>
      <c r="U613" s="2"/>
      <c r="V613" s="2"/>
      <c r="W613" s="2"/>
      <c r="X613" s="2"/>
      <c r="Y613" s="2"/>
      <c r="Z613" s="2"/>
      <c r="AA613" s="2"/>
      <c r="AB613" s="2"/>
      <c r="AC613" s="2"/>
    </row>
    <row r="614" spans="1:29" ht="13">
      <c r="A614" s="3"/>
      <c r="B614" s="2"/>
      <c r="C614" s="3"/>
      <c r="D614" s="3"/>
      <c r="E614" s="1"/>
      <c r="F614" s="1"/>
      <c r="G614" s="1"/>
      <c r="H614" s="2"/>
      <c r="I614" s="2"/>
      <c r="J614" s="2"/>
      <c r="K614" s="2"/>
      <c r="L614" s="2"/>
      <c r="M614" s="3"/>
      <c r="N614" s="3"/>
      <c r="O614" s="2"/>
      <c r="P614" s="2"/>
      <c r="Q614" s="2"/>
      <c r="R614" s="2"/>
      <c r="S614" s="2"/>
      <c r="T614" s="2"/>
      <c r="U614" s="2"/>
      <c r="V614" s="2"/>
      <c r="W614" s="2"/>
      <c r="X614" s="2"/>
      <c r="Y614" s="2"/>
      <c r="Z614" s="2"/>
      <c r="AA614" s="2"/>
      <c r="AB614" s="2"/>
      <c r="AC614" s="2"/>
    </row>
    <row r="615" spans="1:29" ht="13">
      <c r="A615" s="3"/>
      <c r="B615" s="2"/>
      <c r="C615" s="3"/>
      <c r="D615" s="3"/>
      <c r="E615" s="1"/>
      <c r="F615" s="1"/>
      <c r="G615" s="1"/>
      <c r="H615" s="2"/>
      <c r="I615" s="2"/>
      <c r="J615" s="2"/>
      <c r="K615" s="2"/>
      <c r="L615" s="2"/>
      <c r="M615" s="3"/>
      <c r="N615" s="3"/>
      <c r="O615" s="2"/>
      <c r="P615" s="2"/>
      <c r="Q615" s="2"/>
      <c r="R615" s="2"/>
      <c r="S615" s="2"/>
      <c r="T615" s="2"/>
      <c r="U615" s="2"/>
      <c r="V615" s="2"/>
      <c r="W615" s="2"/>
      <c r="X615" s="2"/>
      <c r="Y615" s="2"/>
      <c r="Z615" s="2"/>
      <c r="AA615" s="2"/>
      <c r="AB615" s="2"/>
      <c r="AC615" s="2"/>
    </row>
    <row r="616" spans="1:29" ht="13">
      <c r="A616" s="3"/>
      <c r="B616" s="2"/>
      <c r="C616" s="3"/>
      <c r="D616" s="3"/>
      <c r="E616" s="1"/>
      <c r="F616" s="1"/>
      <c r="G616" s="1"/>
      <c r="H616" s="2"/>
      <c r="I616" s="2"/>
      <c r="J616" s="2"/>
      <c r="K616" s="2"/>
      <c r="L616" s="2"/>
      <c r="M616" s="3"/>
      <c r="N616" s="3"/>
      <c r="O616" s="2"/>
      <c r="P616" s="2"/>
      <c r="Q616" s="2"/>
      <c r="R616" s="2"/>
      <c r="S616" s="2"/>
      <c r="T616" s="2"/>
      <c r="U616" s="2"/>
      <c r="V616" s="2"/>
      <c r="W616" s="2"/>
      <c r="X616" s="2"/>
      <c r="Y616" s="2"/>
      <c r="Z616" s="2"/>
      <c r="AA616" s="2"/>
      <c r="AB616" s="2"/>
      <c r="AC616" s="2"/>
    </row>
    <row r="617" spans="1:29" ht="13">
      <c r="A617" s="3"/>
      <c r="B617" s="2"/>
      <c r="C617" s="3"/>
      <c r="D617" s="3"/>
      <c r="E617" s="1"/>
      <c r="F617" s="1"/>
      <c r="G617" s="1"/>
      <c r="H617" s="2"/>
      <c r="I617" s="2"/>
      <c r="J617" s="2"/>
      <c r="K617" s="2"/>
      <c r="L617" s="2"/>
      <c r="M617" s="3"/>
      <c r="N617" s="3"/>
      <c r="O617" s="2"/>
      <c r="P617" s="2"/>
      <c r="Q617" s="2"/>
      <c r="R617" s="2"/>
      <c r="S617" s="2"/>
      <c r="T617" s="2"/>
      <c r="U617" s="2"/>
      <c r="V617" s="2"/>
      <c r="W617" s="2"/>
      <c r="X617" s="2"/>
      <c r="Y617" s="2"/>
      <c r="Z617" s="2"/>
      <c r="AA617" s="2"/>
      <c r="AB617" s="2"/>
      <c r="AC617" s="2"/>
    </row>
    <row r="618" spans="1:29" ht="13">
      <c r="A618" s="3"/>
      <c r="B618" s="2"/>
      <c r="C618" s="3"/>
      <c r="D618" s="3"/>
      <c r="E618" s="1"/>
      <c r="F618" s="1"/>
      <c r="G618" s="1"/>
      <c r="H618" s="2"/>
      <c r="I618" s="2"/>
      <c r="J618" s="2"/>
      <c r="K618" s="2"/>
      <c r="L618" s="2"/>
      <c r="M618" s="3"/>
      <c r="N618" s="3"/>
      <c r="O618" s="2"/>
      <c r="P618" s="2"/>
      <c r="Q618" s="2"/>
      <c r="R618" s="2"/>
      <c r="S618" s="2"/>
      <c r="T618" s="2"/>
      <c r="U618" s="2"/>
      <c r="V618" s="2"/>
      <c r="W618" s="2"/>
      <c r="X618" s="2"/>
      <c r="Y618" s="2"/>
      <c r="Z618" s="2"/>
      <c r="AA618" s="2"/>
      <c r="AB618" s="2"/>
      <c r="AC618" s="2"/>
    </row>
    <row r="619" spans="1:29" ht="13">
      <c r="A619" s="3"/>
      <c r="B619" s="2"/>
      <c r="C619" s="3"/>
      <c r="D619" s="3"/>
      <c r="E619" s="1"/>
      <c r="F619" s="1"/>
      <c r="G619" s="1"/>
      <c r="H619" s="2"/>
      <c r="I619" s="2"/>
      <c r="J619" s="2"/>
      <c r="K619" s="2"/>
      <c r="L619" s="2"/>
      <c r="M619" s="3"/>
      <c r="N619" s="3"/>
      <c r="O619" s="2"/>
      <c r="P619" s="2"/>
      <c r="Q619" s="2"/>
      <c r="R619" s="2"/>
      <c r="S619" s="2"/>
      <c r="T619" s="2"/>
      <c r="U619" s="2"/>
      <c r="V619" s="2"/>
      <c r="W619" s="2"/>
      <c r="X619" s="2"/>
      <c r="Y619" s="2"/>
      <c r="Z619" s="2"/>
      <c r="AA619" s="2"/>
      <c r="AB619" s="2"/>
      <c r="AC619" s="2"/>
    </row>
    <row r="620" spans="1:29" ht="13">
      <c r="A620" s="3"/>
      <c r="B620" s="2"/>
      <c r="C620" s="3"/>
      <c r="D620" s="3"/>
      <c r="E620" s="1"/>
      <c r="F620" s="1"/>
      <c r="G620" s="1"/>
      <c r="H620" s="2"/>
      <c r="I620" s="2"/>
      <c r="J620" s="2"/>
      <c r="K620" s="2"/>
      <c r="L620" s="2"/>
      <c r="M620" s="3"/>
      <c r="N620" s="3"/>
      <c r="O620" s="2"/>
      <c r="P620" s="2"/>
      <c r="Q620" s="2"/>
      <c r="R620" s="2"/>
      <c r="S620" s="2"/>
      <c r="T620" s="2"/>
      <c r="U620" s="2"/>
      <c r="V620" s="2"/>
      <c r="W620" s="2"/>
      <c r="X620" s="2"/>
      <c r="Y620" s="2"/>
      <c r="Z620" s="2"/>
      <c r="AA620" s="2"/>
      <c r="AB620" s="2"/>
      <c r="AC620" s="2"/>
    </row>
    <row r="621" spans="1:29" ht="13">
      <c r="A621" s="3"/>
      <c r="B621" s="2"/>
      <c r="C621" s="3"/>
      <c r="D621" s="3"/>
      <c r="E621" s="1"/>
      <c r="F621" s="1"/>
      <c r="G621" s="1"/>
      <c r="H621" s="2"/>
      <c r="I621" s="2"/>
      <c r="J621" s="2"/>
      <c r="K621" s="2"/>
      <c r="L621" s="2"/>
      <c r="M621" s="3"/>
      <c r="N621" s="3"/>
      <c r="O621" s="2"/>
      <c r="P621" s="2"/>
      <c r="Q621" s="2"/>
      <c r="R621" s="2"/>
      <c r="S621" s="2"/>
      <c r="T621" s="2"/>
      <c r="U621" s="2"/>
      <c r="V621" s="2"/>
      <c r="W621" s="2"/>
      <c r="X621" s="2"/>
      <c r="Y621" s="2"/>
      <c r="Z621" s="2"/>
      <c r="AA621" s="2"/>
      <c r="AB621" s="2"/>
      <c r="AC621" s="2"/>
    </row>
    <row r="622" spans="1:29" ht="13">
      <c r="A622" s="3"/>
      <c r="B622" s="2"/>
      <c r="C622" s="3"/>
      <c r="D622" s="3"/>
      <c r="E622" s="1"/>
      <c r="F622" s="1"/>
      <c r="G622" s="1"/>
      <c r="H622" s="2"/>
      <c r="I622" s="2"/>
      <c r="J622" s="2"/>
      <c r="K622" s="2"/>
      <c r="L622" s="2"/>
      <c r="M622" s="3"/>
      <c r="N622" s="3"/>
      <c r="O622" s="2"/>
      <c r="P622" s="2"/>
      <c r="Q622" s="2"/>
      <c r="R622" s="2"/>
      <c r="S622" s="2"/>
      <c r="T622" s="2"/>
      <c r="U622" s="2"/>
      <c r="V622" s="2"/>
      <c r="W622" s="2"/>
      <c r="X622" s="2"/>
      <c r="Y622" s="2"/>
      <c r="Z622" s="2"/>
      <c r="AA622" s="2"/>
      <c r="AB622" s="2"/>
      <c r="AC622" s="2"/>
    </row>
    <row r="623" spans="1:29" ht="13">
      <c r="A623" s="3"/>
      <c r="B623" s="2"/>
      <c r="C623" s="3"/>
      <c r="D623" s="3"/>
      <c r="E623" s="1"/>
      <c r="F623" s="1"/>
      <c r="G623" s="1"/>
      <c r="H623" s="2"/>
      <c r="I623" s="2"/>
      <c r="J623" s="2"/>
      <c r="K623" s="2"/>
      <c r="L623" s="2"/>
      <c r="M623" s="3"/>
      <c r="N623" s="3"/>
      <c r="O623" s="2"/>
      <c r="P623" s="2"/>
      <c r="Q623" s="2"/>
      <c r="R623" s="2"/>
      <c r="S623" s="2"/>
      <c r="T623" s="2"/>
      <c r="U623" s="2"/>
      <c r="V623" s="2"/>
      <c r="W623" s="2"/>
      <c r="X623" s="2"/>
      <c r="Y623" s="2"/>
      <c r="Z623" s="2"/>
      <c r="AA623" s="2"/>
      <c r="AB623" s="2"/>
      <c r="AC623" s="2"/>
    </row>
    <row r="624" spans="1:29" ht="13">
      <c r="A624" s="3"/>
      <c r="B624" s="2"/>
      <c r="C624" s="3"/>
      <c r="D624" s="3"/>
      <c r="E624" s="1"/>
      <c r="F624" s="1"/>
      <c r="G624" s="1"/>
      <c r="H624" s="2"/>
      <c r="I624" s="2"/>
      <c r="J624" s="2"/>
      <c r="K624" s="2"/>
      <c r="L624" s="2"/>
      <c r="M624" s="3"/>
      <c r="N624" s="3"/>
      <c r="O624" s="2"/>
      <c r="P624" s="2"/>
      <c r="Q624" s="2"/>
      <c r="R624" s="2"/>
      <c r="S624" s="2"/>
      <c r="T624" s="2"/>
      <c r="U624" s="2"/>
      <c r="V624" s="2"/>
      <c r="W624" s="2"/>
      <c r="X624" s="2"/>
      <c r="Y624" s="2"/>
      <c r="Z624" s="2"/>
      <c r="AA624" s="2"/>
      <c r="AB624" s="2"/>
      <c r="AC624" s="2"/>
    </row>
    <row r="625" spans="1:29" ht="13">
      <c r="A625" s="3"/>
      <c r="B625" s="2"/>
      <c r="C625" s="3"/>
      <c r="D625" s="3"/>
      <c r="E625" s="1"/>
      <c r="F625" s="1"/>
      <c r="G625" s="1"/>
      <c r="H625" s="2"/>
      <c r="I625" s="2"/>
      <c r="J625" s="2"/>
      <c r="K625" s="2"/>
      <c r="L625" s="2"/>
      <c r="M625" s="3"/>
      <c r="N625" s="3"/>
      <c r="O625" s="2"/>
      <c r="P625" s="2"/>
      <c r="Q625" s="2"/>
      <c r="R625" s="2"/>
      <c r="S625" s="2"/>
      <c r="T625" s="2"/>
      <c r="U625" s="2"/>
      <c r="V625" s="2"/>
      <c r="W625" s="2"/>
      <c r="X625" s="2"/>
      <c r="Y625" s="2"/>
      <c r="Z625" s="2"/>
      <c r="AA625" s="2"/>
      <c r="AB625" s="2"/>
      <c r="AC625" s="2"/>
    </row>
    <row r="626" spans="1:29" ht="13">
      <c r="A626" s="3"/>
      <c r="B626" s="2"/>
      <c r="C626" s="3"/>
      <c r="D626" s="3"/>
      <c r="E626" s="1"/>
      <c r="F626" s="1"/>
      <c r="G626" s="1"/>
      <c r="H626" s="2"/>
      <c r="I626" s="2"/>
      <c r="J626" s="2"/>
      <c r="K626" s="2"/>
      <c r="L626" s="2"/>
      <c r="M626" s="3"/>
      <c r="N626" s="3"/>
      <c r="O626" s="2"/>
      <c r="P626" s="2"/>
      <c r="Q626" s="2"/>
      <c r="R626" s="2"/>
      <c r="S626" s="2"/>
      <c r="T626" s="2"/>
      <c r="U626" s="2"/>
      <c r="V626" s="2"/>
      <c r="W626" s="2"/>
      <c r="X626" s="2"/>
      <c r="Y626" s="2"/>
      <c r="Z626" s="2"/>
      <c r="AA626" s="2"/>
      <c r="AB626" s="2"/>
      <c r="AC626" s="2"/>
    </row>
    <row r="627" spans="1:29" ht="13">
      <c r="A627" s="3"/>
      <c r="B627" s="2"/>
      <c r="C627" s="3"/>
      <c r="D627" s="3"/>
      <c r="E627" s="1"/>
      <c r="F627" s="1"/>
      <c r="G627" s="1"/>
      <c r="H627" s="2"/>
      <c r="I627" s="2"/>
      <c r="J627" s="2"/>
      <c r="K627" s="2"/>
      <c r="L627" s="2"/>
      <c r="M627" s="3"/>
      <c r="N627" s="3"/>
      <c r="O627" s="2"/>
      <c r="P627" s="2"/>
      <c r="Q627" s="2"/>
      <c r="R627" s="2"/>
      <c r="S627" s="2"/>
      <c r="T627" s="2"/>
      <c r="U627" s="2"/>
      <c r="V627" s="2"/>
      <c r="W627" s="2"/>
      <c r="X627" s="2"/>
      <c r="Y627" s="2"/>
      <c r="Z627" s="2"/>
      <c r="AA627" s="2"/>
      <c r="AB627" s="2"/>
      <c r="AC627" s="2"/>
    </row>
    <row r="628" spans="1:29" ht="13">
      <c r="A628" s="3"/>
      <c r="B628" s="2"/>
      <c r="C628" s="3"/>
      <c r="D628" s="3"/>
      <c r="E628" s="1"/>
      <c r="F628" s="1"/>
      <c r="G628" s="1"/>
      <c r="H628" s="2"/>
      <c r="I628" s="2"/>
      <c r="J628" s="2"/>
      <c r="K628" s="2"/>
      <c r="L628" s="2"/>
      <c r="M628" s="3"/>
      <c r="N628" s="3"/>
      <c r="O628" s="2"/>
      <c r="P628" s="2"/>
      <c r="Q628" s="2"/>
      <c r="R628" s="2"/>
      <c r="S628" s="2"/>
      <c r="T628" s="2"/>
      <c r="U628" s="2"/>
      <c r="V628" s="2"/>
      <c r="W628" s="2"/>
      <c r="X628" s="2"/>
      <c r="Y628" s="2"/>
      <c r="Z628" s="2"/>
      <c r="AA628" s="2"/>
      <c r="AB628" s="2"/>
      <c r="AC628" s="2"/>
    </row>
    <row r="629" spans="1:29" ht="13">
      <c r="A629" s="3"/>
      <c r="B629" s="2"/>
      <c r="C629" s="3"/>
      <c r="D629" s="3"/>
      <c r="E629" s="1"/>
      <c r="F629" s="1"/>
      <c r="G629" s="1"/>
      <c r="H629" s="2"/>
      <c r="I629" s="2"/>
      <c r="J629" s="2"/>
      <c r="K629" s="2"/>
      <c r="L629" s="2"/>
      <c r="M629" s="3"/>
      <c r="N629" s="3"/>
      <c r="O629" s="2"/>
      <c r="P629" s="2"/>
      <c r="Q629" s="2"/>
      <c r="R629" s="2"/>
      <c r="S629" s="2"/>
      <c r="T629" s="2"/>
      <c r="U629" s="2"/>
      <c r="V629" s="2"/>
      <c r="W629" s="2"/>
      <c r="X629" s="2"/>
      <c r="Y629" s="2"/>
      <c r="Z629" s="2"/>
      <c r="AA629" s="2"/>
      <c r="AB629" s="2"/>
      <c r="AC629" s="2"/>
    </row>
    <row r="630" spans="1:29" ht="13">
      <c r="A630" s="3"/>
      <c r="B630" s="2"/>
      <c r="C630" s="3"/>
      <c r="D630" s="3"/>
      <c r="E630" s="1"/>
      <c r="F630" s="1"/>
      <c r="G630" s="1"/>
      <c r="H630" s="2"/>
      <c r="I630" s="2"/>
      <c r="J630" s="2"/>
      <c r="K630" s="2"/>
      <c r="L630" s="2"/>
      <c r="M630" s="3"/>
      <c r="N630" s="3"/>
      <c r="O630" s="2"/>
      <c r="P630" s="2"/>
      <c r="Q630" s="2"/>
      <c r="R630" s="2"/>
      <c r="S630" s="2"/>
      <c r="T630" s="2"/>
      <c r="U630" s="2"/>
      <c r="V630" s="2"/>
      <c r="W630" s="2"/>
      <c r="X630" s="2"/>
      <c r="Y630" s="2"/>
      <c r="Z630" s="2"/>
      <c r="AA630" s="2"/>
      <c r="AB630" s="2"/>
      <c r="AC630" s="2"/>
    </row>
    <row r="631" spans="1:29" ht="13">
      <c r="A631" s="3"/>
      <c r="B631" s="2"/>
      <c r="C631" s="3"/>
      <c r="D631" s="3"/>
      <c r="E631" s="1"/>
      <c r="F631" s="1"/>
      <c r="G631" s="1"/>
      <c r="H631" s="2"/>
      <c r="I631" s="2"/>
      <c r="J631" s="2"/>
      <c r="K631" s="2"/>
      <c r="L631" s="2"/>
      <c r="M631" s="3"/>
      <c r="N631" s="3"/>
      <c r="O631" s="2"/>
      <c r="P631" s="2"/>
      <c r="Q631" s="2"/>
      <c r="R631" s="2"/>
      <c r="S631" s="2"/>
      <c r="T631" s="2"/>
      <c r="U631" s="2"/>
      <c r="V631" s="2"/>
      <c r="W631" s="2"/>
      <c r="X631" s="2"/>
      <c r="Y631" s="2"/>
      <c r="Z631" s="2"/>
      <c r="AA631" s="2"/>
      <c r="AB631" s="2"/>
      <c r="AC631" s="2"/>
    </row>
    <row r="632" spans="1:29" ht="13">
      <c r="A632" s="3"/>
      <c r="B632" s="2"/>
      <c r="C632" s="3"/>
      <c r="D632" s="3"/>
      <c r="E632" s="1"/>
      <c r="F632" s="1"/>
      <c r="G632" s="1"/>
      <c r="H632" s="2"/>
      <c r="I632" s="2"/>
      <c r="J632" s="2"/>
      <c r="K632" s="2"/>
      <c r="L632" s="2"/>
      <c r="M632" s="3"/>
      <c r="N632" s="3"/>
      <c r="O632" s="2"/>
      <c r="P632" s="2"/>
      <c r="Q632" s="2"/>
      <c r="R632" s="2"/>
      <c r="S632" s="2"/>
      <c r="T632" s="2"/>
      <c r="U632" s="2"/>
      <c r="V632" s="2"/>
      <c r="W632" s="2"/>
      <c r="X632" s="2"/>
      <c r="Y632" s="2"/>
      <c r="Z632" s="2"/>
      <c r="AA632" s="2"/>
      <c r="AB632" s="2"/>
      <c r="AC632" s="2"/>
    </row>
    <row r="633" spans="1:29" ht="13">
      <c r="A633" s="3"/>
      <c r="B633" s="2"/>
      <c r="C633" s="3"/>
      <c r="D633" s="3"/>
      <c r="E633" s="1"/>
      <c r="F633" s="1"/>
      <c r="G633" s="1"/>
      <c r="H633" s="2"/>
      <c r="I633" s="2"/>
      <c r="J633" s="2"/>
      <c r="K633" s="2"/>
      <c r="L633" s="2"/>
      <c r="M633" s="3"/>
      <c r="N633" s="3"/>
      <c r="O633" s="2"/>
      <c r="P633" s="2"/>
      <c r="Q633" s="2"/>
      <c r="R633" s="2"/>
      <c r="S633" s="2"/>
      <c r="T633" s="2"/>
      <c r="U633" s="2"/>
      <c r="V633" s="2"/>
      <c r="W633" s="2"/>
      <c r="X633" s="2"/>
      <c r="Y633" s="2"/>
      <c r="Z633" s="2"/>
      <c r="AA633" s="2"/>
      <c r="AB633" s="2"/>
      <c r="AC633" s="2"/>
    </row>
    <row r="634" spans="1:29" ht="13">
      <c r="A634" s="3"/>
      <c r="B634" s="2"/>
      <c r="C634" s="3"/>
      <c r="D634" s="3"/>
      <c r="E634" s="1"/>
      <c r="F634" s="1"/>
      <c r="G634" s="1"/>
      <c r="H634" s="2"/>
      <c r="I634" s="2"/>
      <c r="J634" s="2"/>
      <c r="K634" s="2"/>
      <c r="L634" s="2"/>
      <c r="M634" s="3"/>
      <c r="N634" s="3"/>
      <c r="O634" s="2"/>
      <c r="P634" s="2"/>
      <c r="Q634" s="2"/>
      <c r="R634" s="2"/>
      <c r="S634" s="2"/>
      <c r="T634" s="2"/>
      <c r="U634" s="2"/>
      <c r="V634" s="2"/>
      <c r="W634" s="2"/>
      <c r="X634" s="2"/>
      <c r="Y634" s="2"/>
      <c r="Z634" s="2"/>
      <c r="AA634" s="2"/>
      <c r="AB634" s="2"/>
      <c r="AC634" s="2"/>
    </row>
    <row r="635" spans="1:29" ht="13">
      <c r="A635" s="3"/>
      <c r="B635" s="2"/>
      <c r="C635" s="3"/>
      <c r="D635" s="3"/>
      <c r="E635" s="1"/>
      <c r="F635" s="1"/>
      <c r="G635" s="1"/>
      <c r="H635" s="2"/>
      <c r="I635" s="2"/>
      <c r="J635" s="2"/>
      <c r="K635" s="2"/>
      <c r="L635" s="2"/>
      <c r="M635" s="3"/>
      <c r="N635" s="3"/>
      <c r="O635" s="2"/>
      <c r="P635" s="2"/>
      <c r="Q635" s="2"/>
      <c r="R635" s="2"/>
      <c r="S635" s="2"/>
      <c r="T635" s="2"/>
      <c r="U635" s="2"/>
      <c r="V635" s="2"/>
      <c r="W635" s="2"/>
      <c r="X635" s="2"/>
      <c r="Y635" s="2"/>
      <c r="Z635" s="2"/>
      <c r="AA635" s="2"/>
      <c r="AB635" s="2"/>
      <c r="AC635" s="2"/>
    </row>
    <row r="636" spans="1:29" ht="13">
      <c r="A636" s="3"/>
      <c r="B636" s="2"/>
      <c r="C636" s="3"/>
      <c r="D636" s="3"/>
      <c r="E636" s="1"/>
      <c r="F636" s="1"/>
      <c r="G636" s="1"/>
      <c r="H636" s="2"/>
      <c r="I636" s="2"/>
      <c r="J636" s="2"/>
      <c r="K636" s="2"/>
      <c r="L636" s="2"/>
      <c r="M636" s="3"/>
      <c r="N636" s="3"/>
      <c r="O636" s="2"/>
      <c r="P636" s="2"/>
      <c r="Q636" s="2"/>
      <c r="R636" s="2"/>
      <c r="S636" s="2"/>
      <c r="T636" s="2"/>
      <c r="U636" s="2"/>
      <c r="V636" s="2"/>
      <c r="W636" s="2"/>
      <c r="X636" s="2"/>
      <c r="Y636" s="2"/>
      <c r="Z636" s="2"/>
      <c r="AA636" s="2"/>
      <c r="AB636" s="2"/>
      <c r="AC636" s="2"/>
    </row>
    <row r="637" spans="1:29" ht="13">
      <c r="A637" s="3"/>
      <c r="B637" s="2"/>
      <c r="C637" s="3"/>
      <c r="D637" s="3"/>
      <c r="E637" s="1"/>
      <c r="F637" s="1"/>
      <c r="G637" s="1"/>
      <c r="H637" s="2"/>
      <c r="I637" s="2"/>
      <c r="J637" s="2"/>
      <c r="K637" s="2"/>
      <c r="L637" s="2"/>
      <c r="M637" s="3"/>
      <c r="N637" s="3"/>
      <c r="O637" s="2"/>
      <c r="P637" s="2"/>
      <c r="Q637" s="2"/>
      <c r="R637" s="2"/>
      <c r="S637" s="2"/>
      <c r="T637" s="2"/>
      <c r="U637" s="2"/>
      <c r="V637" s="2"/>
      <c r="W637" s="2"/>
      <c r="X637" s="2"/>
      <c r="Y637" s="2"/>
      <c r="Z637" s="2"/>
      <c r="AA637" s="2"/>
      <c r="AB637" s="2"/>
      <c r="AC637" s="2"/>
    </row>
    <row r="638" spans="1:29" ht="13">
      <c r="A638" s="3"/>
      <c r="B638" s="2"/>
      <c r="C638" s="3"/>
      <c r="D638" s="3"/>
      <c r="E638" s="1"/>
      <c r="F638" s="1"/>
      <c r="G638" s="1"/>
      <c r="H638" s="2"/>
      <c r="I638" s="2"/>
      <c r="J638" s="2"/>
      <c r="K638" s="2"/>
      <c r="L638" s="2"/>
      <c r="M638" s="3"/>
      <c r="N638" s="3"/>
      <c r="O638" s="2"/>
      <c r="P638" s="2"/>
      <c r="Q638" s="2"/>
      <c r="R638" s="2"/>
      <c r="S638" s="2"/>
      <c r="T638" s="2"/>
      <c r="U638" s="2"/>
      <c r="V638" s="2"/>
      <c r="W638" s="2"/>
      <c r="X638" s="2"/>
      <c r="Y638" s="2"/>
      <c r="Z638" s="2"/>
      <c r="AA638" s="2"/>
      <c r="AB638" s="2"/>
      <c r="AC638" s="2"/>
    </row>
    <row r="639" spans="1:29" ht="13">
      <c r="A639" s="3"/>
      <c r="B639" s="2"/>
      <c r="C639" s="3"/>
      <c r="D639" s="3"/>
      <c r="E639" s="1"/>
      <c r="F639" s="1"/>
      <c r="G639" s="1"/>
      <c r="H639" s="2"/>
      <c r="I639" s="2"/>
      <c r="J639" s="2"/>
      <c r="K639" s="2"/>
      <c r="L639" s="2"/>
      <c r="M639" s="3"/>
      <c r="N639" s="3"/>
      <c r="O639" s="2"/>
      <c r="P639" s="2"/>
      <c r="Q639" s="2"/>
      <c r="R639" s="2"/>
      <c r="S639" s="2"/>
      <c r="T639" s="2"/>
      <c r="U639" s="2"/>
      <c r="V639" s="2"/>
      <c r="W639" s="2"/>
      <c r="X639" s="2"/>
      <c r="Y639" s="2"/>
      <c r="Z639" s="2"/>
      <c r="AA639" s="2"/>
      <c r="AB639" s="2"/>
      <c r="AC639" s="2"/>
    </row>
    <row r="640" spans="1:29" ht="13">
      <c r="A640" s="3"/>
      <c r="B640" s="2"/>
      <c r="C640" s="3"/>
      <c r="D640" s="3"/>
      <c r="E640" s="1"/>
      <c r="F640" s="1"/>
      <c r="G640" s="1"/>
      <c r="H640" s="2"/>
      <c r="I640" s="2"/>
      <c r="J640" s="2"/>
      <c r="K640" s="2"/>
      <c r="L640" s="2"/>
      <c r="M640" s="3"/>
      <c r="N640" s="3"/>
      <c r="O640" s="2"/>
      <c r="P640" s="2"/>
      <c r="Q640" s="2"/>
      <c r="R640" s="2"/>
      <c r="S640" s="2"/>
      <c r="T640" s="2"/>
      <c r="U640" s="2"/>
      <c r="V640" s="2"/>
      <c r="W640" s="2"/>
      <c r="X640" s="2"/>
      <c r="Y640" s="2"/>
      <c r="Z640" s="2"/>
      <c r="AA640" s="2"/>
      <c r="AB640" s="2"/>
      <c r="AC640" s="2"/>
    </row>
    <row r="641" spans="1:29" ht="13">
      <c r="A641" s="3"/>
      <c r="B641" s="2"/>
      <c r="C641" s="3"/>
      <c r="D641" s="3"/>
      <c r="E641" s="1"/>
      <c r="F641" s="1"/>
      <c r="G641" s="1"/>
      <c r="H641" s="2"/>
      <c r="I641" s="2"/>
      <c r="J641" s="2"/>
      <c r="K641" s="2"/>
      <c r="L641" s="2"/>
      <c r="M641" s="3"/>
      <c r="N641" s="3"/>
      <c r="O641" s="2"/>
      <c r="P641" s="2"/>
      <c r="Q641" s="2"/>
      <c r="R641" s="2"/>
      <c r="S641" s="2"/>
      <c r="T641" s="2"/>
      <c r="U641" s="2"/>
      <c r="V641" s="2"/>
      <c r="W641" s="2"/>
      <c r="X641" s="2"/>
      <c r="Y641" s="2"/>
      <c r="Z641" s="2"/>
      <c r="AA641" s="2"/>
      <c r="AB641" s="2"/>
      <c r="AC641" s="2"/>
    </row>
    <row r="642" spans="1:29" ht="13">
      <c r="A642" s="3"/>
      <c r="B642" s="2"/>
      <c r="C642" s="3"/>
      <c r="D642" s="3"/>
      <c r="E642" s="1"/>
      <c r="F642" s="1"/>
      <c r="G642" s="1"/>
      <c r="H642" s="2"/>
      <c r="I642" s="2"/>
      <c r="J642" s="2"/>
      <c r="K642" s="2"/>
      <c r="L642" s="2"/>
      <c r="M642" s="3"/>
      <c r="N642" s="3"/>
      <c r="O642" s="2"/>
      <c r="P642" s="2"/>
      <c r="Q642" s="2"/>
      <c r="R642" s="2"/>
      <c r="S642" s="2"/>
      <c r="T642" s="2"/>
      <c r="U642" s="2"/>
      <c r="V642" s="2"/>
      <c r="W642" s="2"/>
      <c r="X642" s="2"/>
      <c r="Y642" s="2"/>
      <c r="Z642" s="2"/>
      <c r="AA642" s="2"/>
      <c r="AB642" s="2"/>
      <c r="AC642" s="2"/>
    </row>
    <row r="643" spans="1:29" ht="13">
      <c r="A643" s="3"/>
      <c r="B643" s="2"/>
      <c r="C643" s="3"/>
      <c r="D643" s="3"/>
      <c r="E643" s="1"/>
      <c r="F643" s="1"/>
      <c r="G643" s="1"/>
      <c r="H643" s="2"/>
      <c r="I643" s="2"/>
      <c r="J643" s="2"/>
      <c r="K643" s="2"/>
      <c r="L643" s="2"/>
      <c r="M643" s="3"/>
      <c r="N643" s="3"/>
      <c r="O643" s="2"/>
      <c r="P643" s="2"/>
      <c r="Q643" s="2"/>
      <c r="R643" s="2"/>
      <c r="S643" s="2"/>
      <c r="T643" s="2"/>
      <c r="U643" s="2"/>
      <c r="V643" s="2"/>
      <c r="W643" s="2"/>
      <c r="X643" s="2"/>
      <c r="Y643" s="2"/>
      <c r="Z643" s="2"/>
      <c r="AA643" s="2"/>
      <c r="AB643" s="2"/>
      <c r="AC643" s="2"/>
    </row>
    <row r="644" spans="1:29" ht="13">
      <c r="A644" s="3"/>
      <c r="B644" s="2"/>
      <c r="C644" s="3"/>
      <c r="D644" s="3"/>
      <c r="E644" s="1"/>
      <c r="F644" s="1"/>
      <c r="G644" s="1"/>
      <c r="H644" s="2"/>
      <c r="I644" s="2"/>
      <c r="J644" s="2"/>
      <c r="K644" s="2"/>
      <c r="L644" s="2"/>
      <c r="M644" s="3"/>
      <c r="N644" s="3"/>
      <c r="O644" s="2"/>
      <c r="P644" s="2"/>
      <c r="Q644" s="2"/>
      <c r="R644" s="2"/>
      <c r="S644" s="2"/>
      <c r="T644" s="2"/>
      <c r="U644" s="2"/>
      <c r="V644" s="2"/>
      <c r="W644" s="2"/>
      <c r="X644" s="2"/>
      <c r="Y644" s="2"/>
      <c r="Z644" s="2"/>
      <c r="AA644" s="2"/>
      <c r="AB644" s="2"/>
      <c r="AC644" s="2"/>
    </row>
    <row r="645" spans="1:29" ht="13">
      <c r="A645" s="3"/>
      <c r="B645" s="2"/>
      <c r="C645" s="3"/>
      <c r="D645" s="3"/>
      <c r="E645" s="1"/>
      <c r="F645" s="1"/>
      <c r="G645" s="1"/>
      <c r="H645" s="2"/>
      <c r="I645" s="2"/>
      <c r="J645" s="2"/>
      <c r="K645" s="2"/>
      <c r="L645" s="2"/>
      <c r="M645" s="3"/>
      <c r="N645" s="3"/>
      <c r="O645" s="2"/>
      <c r="P645" s="2"/>
      <c r="Q645" s="2"/>
      <c r="R645" s="2"/>
      <c r="S645" s="2"/>
      <c r="T645" s="2"/>
      <c r="U645" s="2"/>
      <c r="V645" s="2"/>
      <c r="W645" s="2"/>
      <c r="X645" s="2"/>
      <c r="Y645" s="2"/>
      <c r="Z645" s="2"/>
      <c r="AA645" s="2"/>
      <c r="AB645" s="2"/>
      <c r="AC645" s="2"/>
    </row>
    <row r="646" spans="1:29" ht="13">
      <c r="A646" s="3"/>
      <c r="B646" s="2"/>
      <c r="C646" s="3"/>
      <c r="D646" s="3"/>
      <c r="E646" s="1"/>
      <c r="F646" s="1"/>
      <c r="G646" s="1"/>
      <c r="H646" s="2"/>
      <c r="I646" s="2"/>
      <c r="J646" s="2"/>
      <c r="K646" s="2"/>
      <c r="L646" s="2"/>
      <c r="M646" s="3"/>
      <c r="N646" s="3"/>
      <c r="O646" s="2"/>
      <c r="P646" s="2"/>
      <c r="Q646" s="2"/>
      <c r="R646" s="2"/>
      <c r="S646" s="2"/>
      <c r="T646" s="2"/>
      <c r="U646" s="2"/>
      <c r="V646" s="2"/>
      <c r="W646" s="2"/>
      <c r="X646" s="2"/>
      <c r="Y646" s="2"/>
      <c r="Z646" s="2"/>
      <c r="AA646" s="2"/>
      <c r="AB646" s="2"/>
      <c r="AC646" s="2"/>
    </row>
    <row r="647" spans="1:29" ht="13">
      <c r="A647" s="3"/>
      <c r="B647" s="2"/>
      <c r="C647" s="3"/>
      <c r="D647" s="3"/>
      <c r="E647" s="1"/>
      <c r="F647" s="1"/>
      <c r="G647" s="1"/>
      <c r="H647" s="2"/>
      <c r="I647" s="2"/>
      <c r="J647" s="2"/>
      <c r="K647" s="2"/>
      <c r="L647" s="2"/>
      <c r="M647" s="3"/>
      <c r="N647" s="3"/>
      <c r="O647" s="2"/>
      <c r="P647" s="2"/>
      <c r="Q647" s="2"/>
      <c r="R647" s="2"/>
      <c r="S647" s="2"/>
      <c r="T647" s="2"/>
      <c r="U647" s="2"/>
      <c r="V647" s="2"/>
      <c r="W647" s="2"/>
      <c r="X647" s="2"/>
      <c r="Y647" s="2"/>
      <c r="Z647" s="2"/>
      <c r="AA647" s="2"/>
      <c r="AB647" s="2"/>
      <c r="AC647" s="2"/>
    </row>
    <row r="648" spans="1:29" ht="13">
      <c r="A648" s="3"/>
      <c r="B648" s="2"/>
      <c r="C648" s="3"/>
      <c r="D648" s="3"/>
      <c r="E648" s="1"/>
      <c r="F648" s="1"/>
      <c r="G648" s="1"/>
      <c r="H648" s="2"/>
      <c r="I648" s="2"/>
      <c r="J648" s="2"/>
      <c r="K648" s="2"/>
      <c r="L648" s="2"/>
      <c r="M648" s="3"/>
      <c r="N648" s="3"/>
      <c r="O648" s="2"/>
      <c r="P648" s="2"/>
      <c r="Q648" s="2"/>
      <c r="R648" s="2"/>
      <c r="S648" s="2"/>
      <c r="T648" s="2"/>
      <c r="U648" s="2"/>
      <c r="V648" s="2"/>
      <c r="W648" s="2"/>
      <c r="X648" s="2"/>
      <c r="Y648" s="2"/>
      <c r="Z648" s="2"/>
      <c r="AA648" s="2"/>
      <c r="AB648" s="2"/>
      <c r="AC648" s="2"/>
    </row>
    <row r="649" spans="1:29" ht="13">
      <c r="A649" s="3"/>
      <c r="B649" s="2"/>
      <c r="C649" s="3"/>
      <c r="D649" s="3"/>
      <c r="E649" s="1"/>
      <c r="F649" s="1"/>
      <c r="G649" s="1"/>
      <c r="H649" s="2"/>
      <c r="I649" s="2"/>
      <c r="J649" s="2"/>
      <c r="K649" s="2"/>
      <c r="L649" s="2"/>
      <c r="M649" s="3"/>
      <c r="N649" s="3"/>
      <c r="O649" s="2"/>
      <c r="P649" s="2"/>
      <c r="Q649" s="2"/>
      <c r="R649" s="2"/>
      <c r="S649" s="2"/>
      <c r="T649" s="2"/>
      <c r="U649" s="2"/>
      <c r="V649" s="2"/>
      <c r="W649" s="2"/>
      <c r="X649" s="2"/>
      <c r="Y649" s="2"/>
      <c r="Z649" s="2"/>
      <c r="AA649" s="2"/>
      <c r="AB649" s="2"/>
      <c r="AC649" s="2"/>
    </row>
    <row r="650" spans="1:29" ht="13">
      <c r="A650" s="3"/>
      <c r="B650" s="2"/>
      <c r="C650" s="3"/>
      <c r="D650" s="3"/>
      <c r="E650" s="1"/>
      <c r="F650" s="1"/>
      <c r="G650" s="1"/>
      <c r="H650" s="2"/>
      <c r="I650" s="2"/>
      <c r="J650" s="2"/>
      <c r="K650" s="2"/>
      <c r="L650" s="2"/>
      <c r="M650" s="3"/>
      <c r="N650" s="3"/>
      <c r="O650" s="2"/>
      <c r="P650" s="2"/>
      <c r="Q650" s="2"/>
      <c r="R650" s="2"/>
      <c r="S650" s="2"/>
      <c r="T650" s="2"/>
      <c r="U650" s="2"/>
      <c r="V650" s="2"/>
      <c r="W650" s="2"/>
      <c r="X650" s="2"/>
      <c r="Y650" s="2"/>
      <c r="Z650" s="2"/>
      <c r="AA650" s="2"/>
      <c r="AB650" s="2"/>
      <c r="AC650" s="2"/>
    </row>
    <row r="651" spans="1:29" ht="13">
      <c r="A651" s="3"/>
      <c r="B651" s="2"/>
      <c r="C651" s="3"/>
      <c r="D651" s="3"/>
      <c r="E651" s="1"/>
      <c r="F651" s="1"/>
      <c r="G651" s="1"/>
      <c r="H651" s="2"/>
      <c r="I651" s="2"/>
      <c r="J651" s="2"/>
      <c r="K651" s="2"/>
      <c r="L651" s="2"/>
      <c r="M651" s="3"/>
      <c r="N651" s="3"/>
      <c r="O651" s="2"/>
      <c r="P651" s="2"/>
      <c r="Q651" s="2"/>
      <c r="R651" s="2"/>
      <c r="S651" s="2"/>
      <c r="T651" s="2"/>
      <c r="U651" s="2"/>
      <c r="V651" s="2"/>
      <c r="W651" s="2"/>
      <c r="X651" s="2"/>
      <c r="Y651" s="2"/>
      <c r="Z651" s="2"/>
      <c r="AA651" s="2"/>
      <c r="AB651" s="2"/>
      <c r="AC651" s="2"/>
    </row>
    <row r="652" spans="1:29" ht="13">
      <c r="A652" s="3"/>
      <c r="B652" s="2"/>
      <c r="C652" s="3"/>
      <c r="D652" s="3"/>
      <c r="E652" s="1"/>
      <c r="F652" s="1"/>
      <c r="G652" s="1"/>
      <c r="H652" s="2"/>
      <c r="I652" s="2"/>
      <c r="J652" s="2"/>
      <c r="K652" s="2"/>
      <c r="L652" s="2"/>
      <c r="M652" s="3"/>
      <c r="N652" s="3"/>
      <c r="O652" s="2"/>
      <c r="P652" s="2"/>
      <c r="Q652" s="2"/>
      <c r="R652" s="2"/>
      <c r="S652" s="2"/>
      <c r="T652" s="2"/>
      <c r="U652" s="2"/>
      <c r="V652" s="2"/>
      <c r="W652" s="2"/>
      <c r="X652" s="2"/>
      <c r="Y652" s="2"/>
      <c r="Z652" s="2"/>
      <c r="AA652" s="2"/>
      <c r="AB652" s="2"/>
      <c r="AC652" s="2"/>
    </row>
    <row r="653" spans="1:29" ht="13">
      <c r="A653" s="3"/>
      <c r="B653" s="2"/>
      <c r="C653" s="3"/>
      <c r="D653" s="3"/>
      <c r="E653" s="1"/>
      <c r="F653" s="1"/>
      <c r="G653" s="1"/>
      <c r="H653" s="2"/>
      <c r="I653" s="2"/>
      <c r="J653" s="2"/>
      <c r="K653" s="2"/>
      <c r="L653" s="2"/>
      <c r="M653" s="3"/>
      <c r="N653" s="3"/>
      <c r="O653" s="2"/>
      <c r="P653" s="2"/>
      <c r="Q653" s="2"/>
      <c r="R653" s="2"/>
      <c r="S653" s="2"/>
      <c r="T653" s="2"/>
      <c r="U653" s="2"/>
      <c r="V653" s="2"/>
      <c r="W653" s="2"/>
      <c r="X653" s="2"/>
      <c r="Y653" s="2"/>
      <c r="Z653" s="2"/>
      <c r="AA653" s="2"/>
      <c r="AB653" s="2"/>
      <c r="AC653" s="2"/>
    </row>
    <row r="654" spans="1:29" ht="13">
      <c r="A654" s="3"/>
      <c r="B654" s="2"/>
      <c r="C654" s="3"/>
      <c r="D654" s="3"/>
      <c r="E654" s="1"/>
      <c r="F654" s="1"/>
      <c r="G654" s="1"/>
      <c r="H654" s="2"/>
      <c r="I654" s="2"/>
      <c r="J654" s="2"/>
      <c r="K654" s="2"/>
      <c r="L654" s="2"/>
      <c r="M654" s="3"/>
      <c r="N654" s="3"/>
      <c r="O654" s="2"/>
      <c r="P654" s="2"/>
      <c r="Q654" s="2"/>
      <c r="R654" s="2"/>
      <c r="S654" s="2"/>
      <c r="T654" s="2"/>
      <c r="U654" s="2"/>
      <c r="V654" s="2"/>
      <c r="W654" s="2"/>
      <c r="X654" s="2"/>
      <c r="Y654" s="2"/>
      <c r="Z654" s="2"/>
      <c r="AA654" s="2"/>
      <c r="AB654" s="2"/>
      <c r="AC654" s="2"/>
    </row>
    <row r="655" spans="1:29" ht="13">
      <c r="A655" s="3"/>
      <c r="B655" s="2"/>
      <c r="C655" s="3"/>
      <c r="D655" s="3"/>
      <c r="E655" s="1"/>
      <c r="F655" s="1"/>
      <c r="G655" s="1"/>
      <c r="H655" s="2"/>
      <c r="I655" s="2"/>
      <c r="J655" s="2"/>
      <c r="K655" s="2"/>
      <c r="L655" s="2"/>
      <c r="M655" s="3"/>
      <c r="N655" s="3"/>
      <c r="O655" s="2"/>
      <c r="P655" s="2"/>
      <c r="Q655" s="2"/>
      <c r="R655" s="2"/>
      <c r="S655" s="2"/>
      <c r="T655" s="2"/>
      <c r="U655" s="2"/>
      <c r="V655" s="2"/>
      <c r="W655" s="2"/>
      <c r="X655" s="2"/>
      <c r="Y655" s="2"/>
      <c r="Z655" s="2"/>
      <c r="AA655" s="2"/>
      <c r="AB655" s="2"/>
      <c r="AC655" s="2"/>
    </row>
    <row r="656" spans="1:29" ht="13">
      <c r="A656" s="3"/>
      <c r="B656" s="2"/>
      <c r="C656" s="3"/>
      <c r="D656" s="3"/>
      <c r="E656" s="1"/>
      <c r="F656" s="1"/>
      <c r="G656" s="1"/>
      <c r="H656" s="2"/>
      <c r="I656" s="2"/>
      <c r="J656" s="2"/>
      <c r="K656" s="2"/>
      <c r="L656" s="2"/>
      <c r="M656" s="3"/>
      <c r="N656" s="3"/>
      <c r="O656" s="2"/>
      <c r="P656" s="2"/>
      <c r="Q656" s="2"/>
      <c r="R656" s="2"/>
      <c r="S656" s="2"/>
      <c r="T656" s="2"/>
      <c r="U656" s="2"/>
      <c r="V656" s="2"/>
      <c r="W656" s="2"/>
      <c r="X656" s="2"/>
      <c r="Y656" s="2"/>
      <c r="Z656" s="2"/>
      <c r="AA656" s="2"/>
      <c r="AB656" s="2"/>
      <c r="AC656" s="2"/>
    </row>
    <row r="657" spans="1:29" ht="13">
      <c r="A657" s="3"/>
      <c r="B657" s="2"/>
      <c r="C657" s="3"/>
      <c r="D657" s="3"/>
      <c r="E657" s="1"/>
      <c r="F657" s="1"/>
      <c r="G657" s="1"/>
      <c r="H657" s="2"/>
      <c r="I657" s="2"/>
      <c r="J657" s="2"/>
      <c r="K657" s="2"/>
      <c r="L657" s="2"/>
      <c r="M657" s="3"/>
      <c r="N657" s="3"/>
      <c r="O657" s="2"/>
      <c r="P657" s="2"/>
      <c r="Q657" s="2"/>
      <c r="R657" s="2"/>
      <c r="S657" s="2"/>
      <c r="T657" s="2"/>
      <c r="U657" s="2"/>
      <c r="V657" s="2"/>
      <c r="W657" s="2"/>
      <c r="X657" s="2"/>
      <c r="Y657" s="2"/>
      <c r="Z657" s="2"/>
      <c r="AA657" s="2"/>
      <c r="AB657" s="2"/>
      <c r="AC657" s="2"/>
    </row>
    <row r="658" spans="1:29" ht="13">
      <c r="A658" s="3"/>
      <c r="B658" s="2"/>
      <c r="C658" s="3"/>
      <c r="D658" s="3"/>
      <c r="E658" s="1"/>
      <c r="F658" s="1"/>
      <c r="G658" s="1"/>
      <c r="H658" s="2"/>
      <c r="I658" s="2"/>
      <c r="J658" s="2"/>
      <c r="K658" s="2"/>
      <c r="L658" s="2"/>
      <c r="M658" s="3"/>
      <c r="N658" s="3"/>
      <c r="O658" s="2"/>
      <c r="P658" s="2"/>
      <c r="Q658" s="2"/>
      <c r="R658" s="2"/>
      <c r="S658" s="2"/>
      <c r="T658" s="2"/>
      <c r="U658" s="2"/>
      <c r="V658" s="2"/>
      <c r="W658" s="2"/>
      <c r="X658" s="2"/>
      <c r="Y658" s="2"/>
      <c r="Z658" s="2"/>
      <c r="AA658" s="2"/>
      <c r="AB658" s="2"/>
      <c r="AC658" s="2"/>
    </row>
    <row r="659" spans="1:29" ht="13">
      <c r="A659" s="3"/>
      <c r="B659" s="2"/>
      <c r="C659" s="3"/>
      <c r="D659" s="3"/>
      <c r="E659" s="1"/>
      <c r="F659" s="1"/>
      <c r="G659" s="1"/>
      <c r="H659" s="2"/>
      <c r="I659" s="2"/>
      <c r="J659" s="2"/>
      <c r="K659" s="2"/>
      <c r="L659" s="2"/>
      <c r="M659" s="3"/>
      <c r="N659" s="3"/>
      <c r="O659" s="2"/>
      <c r="P659" s="2"/>
      <c r="Q659" s="2"/>
      <c r="R659" s="2"/>
      <c r="S659" s="2"/>
      <c r="T659" s="2"/>
      <c r="U659" s="2"/>
      <c r="V659" s="2"/>
      <c r="W659" s="2"/>
      <c r="X659" s="2"/>
      <c r="Y659" s="2"/>
      <c r="Z659" s="2"/>
      <c r="AA659" s="2"/>
      <c r="AB659" s="2"/>
      <c r="AC659" s="2"/>
    </row>
    <row r="660" spans="1:29" ht="13">
      <c r="A660" s="3"/>
      <c r="B660" s="2"/>
      <c r="C660" s="3"/>
      <c r="D660" s="3"/>
      <c r="E660" s="1"/>
      <c r="F660" s="1"/>
      <c r="G660" s="1"/>
      <c r="H660" s="2"/>
      <c r="I660" s="2"/>
      <c r="J660" s="2"/>
      <c r="K660" s="2"/>
      <c r="L660" s="2"/>
      <c r="M660" s="3"/>
      <c r="N660" s="3"/>
      <c r="O660" s="2"/>
      <c r="P660" s="2"/>
      <c r="Q660" s="2"/>
      <c r="R660" s="2"/>
      <c r="S660" s="2"/>
      <c r="T660" s="2"/>
      <c r="U660" s="2"/>
      <c r="V660" s="2"/>
      <c r="W660" s="2"/>
      <c r="X660" s="2"/>
      <c r="Y660" s="2"/>
      <c r="Z660" s="2"/>
      <c r="AA660" s="2"/>
      <c r="AB660" s="2"/>
      <c r="AC660" s="2"/>
    </row>
    <row r="661" spans="1:29" ht="13">
      <c r="A661" s="3"/>
      <c r="B661" s="2"/>
      <c r="C661" s="3"/>
      <c r="D661" s="3"/>
      <c r="E661" s="1"/>
      <c r="F661" s="1"/>
      <c r="G661" s="1"/>
      <c r="H661" s="2"/>
      <c r="I661" s="2"/>
      <c r="J661" s="2"/>
      <c r="K661" s="2"/>
      <c r="L661" s="2"/>
      <c r="M661" s="3"/>
      <c r="N661" s="3"/>
      <c r="O661" s="2"/>
      <c r="P661" s="2"/>
      <c r="Q661" s="2"/>
      <c r="R661" s="2"/>
      <c r="S661" s="2"/>
      <c r="T661" s="2"/>
      <c r="U661" s="2"/>
      <c r="V661" s="2"/>
      <c r="W661" s="2"/>
      <c r="X661" s="2"/>
      <c r="Y661" s="2"/>
      <c r="Z661" s="2"/>
      <c r="AA661" s="2"/>
      <c r="AB661" s="2"/>
      <c r="AC661" s="2"/>
    </row>
    <row r="662" spans="1:29" ht="13">
      <c r="A662" s="3"/>
      <c r="B662" s="2"/>
      <c r="C662" s="3"/>
      <c r="D662" s="3"/>
      <c r="E662" s="1"/>
      <c r="F662" s="1"/>
      <c r="G662" s="1"/>
      <c r="H662" s="2"/>
      <c r="I662" s="2"/>
      <c r="J662" s="2"/>
      <c r="K662" s="2"/>
      <c r="L662" s="2"/>
      <c r="M662" s="3"/>
      <c r="N662" s="3"/>
      <c r="O662" s="2"/>
      <c r="P662" s="2"/>
      <c r="Q662" s="2"/>
      <c r="R662" s="2"/>
      <c r="S662" s="2"/>
      <c r="T662" s="2"/>
      <c r="U662" s="2"/>
      <c r="V662" s="2"/>
      <c r="W662" s="2"/>
      <c r="X662" s="2"/>
      <c r="Y662" s="2"/>
      <c r="Z662" s="2"/>
      <c r="AA662" s="2"/>
      <c r="AB662" s="2"/>
      <c r="AC662" s="2"/>
    </row>
    <row r="663" spans="1:29" ht="13">
      <c r="A663" s="3"/>
      <c r="B663" s="2"/>
      <c r="C663" s="3"/>
      <c r="D663" s="3"/>
      <c r="E663" s="1"/>
      <c r="F663" s="1"/>
      <c r="G663" s="1"/>
      <c r="H663" s="2"/>
      <c r="I663" s="2"/>
      <c r="J663" s="2"/>
      <c r="K663" s="2"/>
      <c r="L663" s="2"/>
      <c r="M663" s="3"/>
      <c r="N663" s="3"/>
      <c r="O663" s="2"/>
      <c r="P663" s="2"/>
      <c r="Q663" s="2"/>
      <c r="R663" s="2"/>
      <c r="S663" s="2"/>
      <c r="T663" s="2"/>
      <c r="U663" s="2"/>
      <c r="V663" s="2"/>
      <c r="W663" s="2"/>
      <c r="X663" s="2"/>
      <c r="Y663" s="2"/>
      <c r="Z663" s="2"/>
      <c r="AA663" s="2"/>
      <c r="AB663" s="2"/>
      <c r="AC663" s="2"/>
    </row>
    <row r="664" spans="1:29" ht="13">
      <c r="A664" s="3"/>
      <c r="B664" s="2"/>
      <c r="C664" s="3"/>
      <c r="D664" s="3"/>
      <c r="E664" s="1"/>
      <c r="F664" s="1"/>
      <c r="G664" s="1"/>
      <c r="H664" s="2"/>
      <c r="I664" s="2"/>
      <c r="J664" s="2"/>
      <c r="K664" s="2"/>
      <c r="L664" s="2"/>
      <c r="M664" s="3"/>
      <c r="N664" s="3"/>
      <c r="O664" s="2"/>
      <c r="P664" s="2"/>
      <c r="Q664" s="2"/>
      <c r="R664" s="2"/>
      <c r="S664" s="2"/>
      <c r="T664" s="2"/>
      <c r="U664" s="2"/>
      <c r="V664" s="2"/>
      <c r="W664" s="2"/>
      <c r="X664" s="2"/>
      <c r="Y664" s="2"/>
      <c r="Z664" s="2"/>
      <c r="AA664" s="2"/>
      <c r="AB664" s="2"/>
      <c r="AC664" s="2"/>
    </row>
    <row r="665" spans="1:29" ht="13">
      <c r="A665" s="3"/>
      <c r="B665" s="2"/>
      <c r="C665" s="3"/>
      <c r="D665" s="3"/>
      <c r="E665" s="1"/>
      <c r="F665" s="1"/>
      <c r="G665" s="1"/>
      <c r="H665" s="2"/>
      <c r="I665" s="2"/>
      <c r="J665" s="2"/>
      <c r="K665" s="2"/>
      <c r="L665" s="2"/>
      <c r="M665" s="3"/>
      <c r="N665" s="3"/>
      <c r="O665" s="2"/>
      <c r="P665" s="2"/>
      <c r="Q665" s="2"/>
      <c r="R665" s="2"/>
      <c r="S665" s="2"/>
      <c r="T665" s="2"/>
      <c r="U665" s="2"/>
      <c r="V665" s="2"/>
      <c r="W665" s="2"/>
      <c r="X665" s="2"/>
      <c r="Y665" s="2"/>
      <c r="Z665" s="2"/>
      <c r="AA665" s="2"/>
      <c r="AB665" s="2"/>
      <c r="AC665" s="2"/>
    </row>
    <row r="666" spans="1:29" ht="13">
      <c r="A666" s="3"/>
      <c r="B666" s="2"/>
      <c r="C666" s="3"/>
      <c r="D666" s="3"/>
      <c r="E666" s="1"/>
      <c r="F666" s="1"/>
      <c r="G666" s="1"/>
      <c r="H666" s="2"/>
      <c r="I666" s="2"/>
      <c r="J666" s="2"/>
      <c r="K666" s="2"/>
      <c r="L666" s="2"/>
      <c r="M666" s="3"/>
      <c r="N666" s="3"/>
      <c r="O666" s="2"/>
      <c r="P666" s="2"/>
      <c r="Q666" s="2"/>
      <c r="R666" s="2"/>
      <c r="S666" s="2"/>
      <c r="T666" s="2"/>
      <c r="U666" s="2"/>
      <c r="V666" s="2"/>
      <c r="W666" s="2"/>
      <c r="X666" s="2"/>
      <c r="Y666" s="2"/>
      <c r="Z666" s="2"/>
      <c r="AA666" s="2"/>
      <c r="AB666" s="2"/>
      <c r="AC666" s="2"/>
    </row>
    <row r="667" spans="1:29" ht="13">
      <c r="A667" s="3"/>
      <c r="B667" s="2"/>
      <c r="C667" s="3"/>
      <c r="D667" s="3"/>
      <c r="E667" s="1"/>
      <c r="F667" s="1"/>
      <c r="G667" s="1"/>
      <c r="H667" s="2"/>
      <c r="I667" s="2"/>
      <c r="J667" s="2"/>
      <c r="K667" s="2"/>
      <c r="L667" s="2"/>
      <c r="M667" s="3"/>
      <c r="N667" s="3"/>
      <c r="O667" s="2"/>
      <c r="P667" s="2"/>
      <c r="Q667" s="2"/>
      <c r="R667" s="2"/>
      <c r="S667" s="2"/>
      <c r="T667" s="2"/>
      <c r="U667" s="2"/>
      <c r="V667" s="2"/>
      <c r="W667" s="2"/>
      <c r="X667" s="2"/>
      <c r="Y667" s="2"/>
      <c r="Z667" s="2"/>
      <c r="AA667" s="2"/>
      <c r="AB667" s="2"/>
      <c r="AC667" s="2"/>
    </row>
    <row r="668" spans="1:29" ht="13">
      <c r="A668" s="3"/>
      <c r="B668" s="2"/>
      <c r="C668" s="3"/>
      <c r="D668" s="3"/>
      <c r="E668" s="1"/>
      <c r="F668" s="1"/>
      <c r="G668" s="1"/>
      <c r="H668" s="2"/>
      <c r="I668" s="2"/>
      <c r="J668" s="2"/>
      <c r="K668" s="2"/>
      <c r="L668" s="2"/>
      <c r="M668" s="3"/>
      <c r="N668" s="3"/>
      <c r="O668" s="2"/>
      <c r="P668" s="2"/>
      <c r="Q668" s="2"/>
      <c r="R668" s="2"/>
      <c r="S668" s="2"/>
      <c r="T668" s="2"/>
      <c r="U668" s="2"/>
      <c r="V668" s="2"/>
      <c r="W668" s="2"/>
      <c r="X668" s="2"/>
      <c r="Y668" s="2"/>
      <c r="Z668" s="2"/>
      <c r="AA668" s="2"/>
      <c r="AB668" s="2"/>
      <c r="AC668" s="2"/>
    </row>
    <row r="669" spans="1:29" ht="13">
      <c r="A669" s="3"/>
      <c r="B669" s="2"/>
      <c r="C669" s="3"/>
      <c r="D669" s="3"/>
      <c r="E669" s="1"/>
      <c r="F669" s="1"/>
      <c r="G669" s="1"/>
      <c r="H669" s="2"/>
      <c r="I669" s="2"/>
      <c r="J669" s="2"/>
      <c r="K669" s="2"/>
      <c r="L669" s="2"/>
      <c r="M669" s="3"/>
      <c r="N669" s="3"/>
      <c r="O669" s="2"/>
      <c r="P669" s="2"/>
      <c r="Q669" s="2"/>
      <c r="R669" s="2"/>
      <c r="S669" s="2"/>
      <c r="T669" s="2"/>
      <c r="U669" s="2"/>
      <c r="V669" s="2"/>
      <c r="W669" s="2"/>
      <c r="X669" s="2"/>
      <c r="Y669" s="2"/>
      <c r="Z669" s="2"/>
      <c r="AA669" s="2"/>
      <c r="AB669" s="2"/>
      <c r="AC669" s="2"/>
    </row>
    <row r="670" spans="1:29" ht="13">
      <c r="A670" s="3"/>
      <c r="B670" s="2"/>
      <c r="C670" s="3"/>
      <c r="D670" s="3"/>
      <c r="E670" s="1"/>
      <c r="F670" s="1"/>
      <c r="G670" s="1"/>
      <c r="H670" s="2"/>
      <c r="I670" s="2"/>
      <c r="J670" s="2"/>
      <c r="K670" s="2"/>
      <c r="L670" s="2"/>
      <c r="M670" s="3"/>
      <c r="N670" s="3"/>
      <c r="O670" s="2"/>
      <c r="P670" s="2"/>
      <c r="Q670" s="2"/>
      <c r="R670" s="2"/>
      <c r="S670" s="2"/>
      <c r="T670" s="2"/>
      <c r="U670" s="2"/>
      <c r="V670" s="2"/>
      <c r="W670" s="2"/>
      <c r="X670" s="2"/>
      <c r="Y670" s="2"/>
      <c r="Z670" s="2"/>
      <c r="AA670" s="2"/>
      <c r="AB670" s="2"/>
      <c r="AC670" s="2"/>
    </row>
    <row r="671" spans="1:29" ht="13">
      <c r="A671" s="3"/>
      <c r="B671" s="2"/>
      <c r="C671" s="3"/>
      <c r="D671" s="3"/>
      <c r="E671" s="1"/>
      <c r="F671" s="1"/>
      <c r="G671" s="1"/>
      <c r="H671" s="2"/>
      <c r="I671" s="2"/>
      <c r="J671" s="2"/>
      <c r="K671" s="2"/>
      <c r="L671" s="2"/>
      <c r="M671" s="3"/>
      <c r="N671" s="3"/>
      <c r="O671" s="2"/>
      <c r="P671" s="2"/>
      <c r="Q671" s="2"/>
      <c r="R671" s="2"/>
      <c r="S671" s="2"/>
      <c r="T671" s="2"/>
      <c r="U671" s="2"/>
      <c r="V671" s="2"/>
      <c r="W671" s="2"/>
      <c r="X671" s="2"/>
      <c r="Y671" s="2"/>
      <c r="Z671" s="2"/>
      <c r="AA671" s="2"/>
      <c r="AB671" s="2"/>
      <c r="AC671" s="2"/>
    </row>
    <row r="672" spans="1:29" ht="13">
      <c r="A672" s="3"/>
      <c r="B672" s="2"/>
      <c r="C672" s="3"/>
      <c r="D672" s="3"/>
      <c r="E672" s="1"/>
      <c r="F672" s="1"/>
      <c r="G672" s="1"/>
      <c r="H672" s="2"/>
      <c r="I672" s="2"/>
      <c r="J672" s="2"/>
      <c r="K672" s="2"/>
      <c r="L672" s="2"/>
      <c r="M672" s="3"/>
      <c r="N672" s="3"/>
      <c r="O672" s="2"/>
      <c r="P672" s="2"/>
      <c r="Q672" s="2"/>
      <c r="R672" s="2"/>
      <c r="S672" s="2"/>
      <c r="T672" s="2"/>
      <c r="U672" s="2"/>
      <c r="V672" s="2"/>
      <c r="W672" s="2"/>
      <c r="X672" s="2"/>
      <c r="Y672" s="2"/>
      <c r="Z672" s="2"/>
      <c r="AA672" s="2"/>
      <c r="AB672" s="2"/>
      <c r="AC672" s="2"/>
    </row>
    <row r="673" spans="1:29" ht="13">
      <c r="A673" s="3"/>
      <c r="B673" s="2"/>
      <c r="C673" s="3"/>
      <c r="D673" s="3"/>
      <c r="E673" s="1"/>
      <c r="F673" s="1"/>
      <c r="G673" s="1"/>
      <c r="H673" s="2"/>
      <c r="I673" s="2"/>
      <c r="J673" s="2"/>
      <c r="K673" s="2"/>
      <c r="L673" s="2"/>
      <c r="M673" s="3"/>
      <c r="N673" s="3"/>
      <c r="O673" s="2"/>
      <c r="P673" s="2"/>
      <c r="Q673" s="2"/>
      <c r="R673" s="2"/>
      <c r="S673" s="2"/>
      <c r="T673" s="2"/>
      <c r="U673" s="2"/>
      <c r="V673" s="2"/>
      <c r="W673" s="2"/>
      <c r="X673" s="2"/>
      <c r="Y673" s="2"/>
      <c r="Z673" s="2"/>
      <c r="AA673" s="2"/>
      <c r="AB673" s="2"/>
      <c r="AC673" s="2"/>
    </row>
    <row r="674" spans="1:29" ht="13">
      <c r="A674" s="3"/>
      <c r="B674" s="2"/>
      <c r="C674" s="3"/>
      <c r="D674" s="3"/>
      <c r="E674" s="1"/>
      <c r="F674" s="1"/>
      <c r="G674" s="1"/>
      <c r="H674" s="2"/>
      <c r="I674" s="2"/>
      <c r="J674" s="2"/>
      <c r="K674" s="2"/>
      <c r="L674" s="2"/>
      <c r="M674" s="3"/>
      <c r="N674" s="3"/>
      <c r="O674" s="2"/>
      <c r="P674" s="2"/>
      <c r="Q674" s="2"/>
      <c r="R674" s="2"/>
      <c r="S674" s="2"/>
      <c r="T674" s="2"/>
      <c r="U674" s="2"/>
      <c r="V674" s="2"/>
      <c r="W674" s="2"/>
      <c r="X674" s="2"/>
      <c r="Y674" s="2"/>
      <c r="Z674" s="2"/>
      <c r="AA674" s="2"/>
      <c r="AB674" s="2"/>
      <c r="AC674" s="2"/>
    </row>
    <row r="675" spans="1:29" ht="13">
      <c r="A675" s="3"/>
      <c r="B675" s="2"/>
      <c r="C675" s="3"/>
      <c r="D675" s="3"/>
      <c r="E675" s="1"/>
      <c r="F675" s="1"/>
      <c r="G675" s="1"/>
      <c r="H675" s="2"/>
      <c r="I675" s="2"/>
      <c r="J675" s="2"/>
      <c r="K675" s="2"/>
      <c r="L675" s="2"/>
      <c r="M675" s="3"/>
      <c r="N675" s="3"/>
      <c r="O675" s="2"/>
      <c r="P675" s="2"/>
      <c r="Q675" s="2"/>
      <c r="R675" s="2"/>
      <c r="S675" s="2"/>
      <c r="T675" s="2"/>
      <c r="U675" s="2"/>
      <c r="V675" s="2"/>
      <c r="W675" s="2"/>
      <c r="X675" s="2"/>
      <c r="Y675" s="2"/>
      <c r="Z675" s="2"/>
      <c r="AA675" s="2"/>
      <c r="AB675" s="2"/>
      <c r="AC675" s="2"/>
    </row>
    <row r="676" spans="1:29" ht="13">
      <c r="A676" s="3"/>
      <c r="B676" s="2"/>
      <c r="C676" s="3"/>
      <c r="D676" s="3"/>
      <c r="E676" s="1"/>
      <c r="F676" s="1"/>
      <c r="G676" s="1"/>
      <c r="H676" s="2"/>
      <c r="I676" s="2"/>
      <c r="J676" s="2"/>
      <c r="K676" s="2"/>
      <c r="L676" s="2"/>
      <c r="M676" s="3"/>
      <c r="N676" s="3"/>
      <c r="O676" s="2"/>
      <c r="P676" s="2"/>
      <c r="Q676" s="2"/>
      <c r="R676" s="2"/>
      <c r="S676" s="2"/>
      <c r="T676" s="2"/>
      <c r="U676" s="2"/>
      <c r="V676" s="2"/>
      <c r="W676" s="2"/>
      <c r="X676" s="2"/>
      <c r="Y676" s="2"/>
      <c r="Z676" s="2"/>
      <c r="AA676" s="2"/>
      <c r="AB676" s="2"/>
      <c r="AC676" s="2"/>
    </row>
    <row r="677" spans="1:29" ht="13">
      <c r="A677" s="3"/>
      <c r="B677" s="2"/>
      <c r="C677" s="3"/>
      <c r="D677" s="3"/>
      <c r="E677" s="1"/>
      <c r="F677" s="1"/>
      <c r="G677" s="1"/>
      <c r="H677" s="2"/>
      <c r="I677" s="2"/>
      <c r="J677" s="2"/>
      <c r="K677" s="2"/>
      <c r="L677" s="2"/>
      <c r="M677" s="3"/>
      <c r="N677" s="3"/>
      <c r="O677" s="2"/>
      <c r="P677" s="2"/>
      <c r="Q677" s="2"/>
      <c r="R677" s="2"/>
      <c r="S677" s="2"/>
      <c r="T677" s="2"/>
      <c r="U677" s="2"/>
      <c r="V677" s="2"/>
      <c r="W677" s="2"/>
      <c r="X677" s="2"/>
      <c r="Y677" s="2"/>
      <c r="Z677" s="2"/>
      <c r="AA677" s="2"/>
      <c r="AB677" s="2"/>
      <c r="AC677" s="2"/>
    </row>
    <row r="678" spans="1:29" ht="13">
      <c r="A678" s="3"/>
      <c r="B678" s="2"/>
      <c r="C678" s="3"/>
      <c r="D678" s="3"/>
      <c r="E678" s="1"/>
      <c r="F678" s="1"/>
      <c r="G678" s="1"/>
      <c r="H678" s="2"/>
      <c r="I678" s="2"/>
      <c r="J678" s="2"/>
      <c r="K678" s="2"/>
      <c r="L678" s="2"/>
      <c r="M678" s="3"/>
      <c r="N678" s="3"/>
      <c r="O678" s="2"/>
      <c r="P678" s="2"/>
      <c r="Q678" s="2"/>
      <c r="R678" s="2"/>
      <c r="S678" s="2"/>
      <c r="T678" s="2"/>
      <c r="U678" s="2"/>
      <c r="V678" s="2"/>
      <c r="W678" s="2"/>
      <c r="X678" s="2"/>
      <c r="Y678" s="2"/>
      <c r="Z678" s="2"/>
      <c r="AA678" s="2"/>
      <c r="AB678" s="2"/>
      <c r="AC678" s="2"/>
    </row>
    <row r="679" spans="1:29" ht="13">
      <c r="A679" s="3"/>
      <c r="B679" s="2"/>
      <c r="C679" s="3"/>
      <c r="D679" s="3"/>
      <c r="E679" s="1"/>
      <c r="F679" s="1"/>
      <c r="G679" s="1"/>
      <c r="H679" s="2"/>
      <c r="I679" s="2"/>
      <c r="J679" s="2"/>
      <c r="K679" s="2"/>
      <c r="L679" s="2"/>
      <c r="M679" s="3"/>
      <c r="N679" s="3"/>
      <c r="O679" s="2"/>
      <c r="P679" s="2"/>
      <c r="Q679" s="2"/>
      <c r="R679" s="2"/>
      <c r="S679" s="2"/>
      <c r="T679" s="2"/>
      <c r="U679" s="2"/>
      <c r="V679" s="2"/>
      <c r="W679" s="2"/>
      <c r="X679" s="2"/>
      <c r="Y679" s="2"/>
      <c r="Z679" s="2"/>
      <c r="AA679" s="2"/>
      <c r="AB679" s="2"/>
      <c r="AC679" s="2"/>
    </row>
    <row r="680" spans="1:29" ht="13">
      <c r="A680" s="3"/>
      <c r="B680" s="2"/>
      <c r="C680" s="3"/>
      <c r="D680" s="3"/>
      <c r="E680" s="1"/>
      <c r="F680" s="1"/>
      <c r="G680" s="1"/>
      <c r="H680" s="2"/>
      <c r="I680" s="2"/>
      <c r="J680" s="2"/>
      <c r="K680" s="2"/>
      <c r="L680" s="2"/>
      <c r="M680" s="3"/>
      <c r="N680" s="3"/>
      <c r="O680" s="2"/>
      <c r="P680" s="2"/>
      <c r="Q680" s="2"/>
      <c r="R680" s="2"/>
      <c r="S680" s="2"/>
      <c r="T680" s="2"/>
      <c r="U680" s="2"/>
      <c r="V680" s="2"/>
      <c r="W680" s="2"/>
      <c r="X680" s="2"/>
      <c r="Y680" s="2"/>
      <c r="Z680" s="2"/>
      <c r="AA680" s="2"/>
      <c r="AB680" s="2"/>
      <c r="AC680" s="2"/>
    </row>
    <row r="681" spans="1:29" ht="13">
      <c r="A681" s="3"/>
      <c r="B681" s="2"/>
      <c r="C681" s="3"/>
      <c r="D681" s="3"/>
      <c r="E681" s="1"/>
      <c r="F681" s="1"/>
      <c r="G681" s="1"/>
      <c r="H681" s="2"/>
      <c r="I681" s="2"/>
      <c r="J681" s="2"/>
      <c r="K681" s="2"/>
      <c r="L681" s="2"/>
      <c r="M681" s="3"/>
      <c r="N681" s="3"/>
      <c r="O681" s="2"/>
      <c r="P681" s="2"/>
      <c r="Q681" s="2"/>
      <c r="R681" s="2"/>
      <c r="S681" s="2"/>
      <c r="T681" s="2"/>
      <c r="U681" s="2"/>
      <c r="V681" s="2"/>
      <c r="W681" s="2"/>
      <c r="X681" s="2"/>
      <c r="Y681" s="2"/>
      <c r="Z681" s="2"/>
      <c r="AA681" s="2"/>
      <c r="AB681" s="2"/>
      <c r="AC681" s="2"/>
    </row>
    <row r="682" spans="1:29" ht="13">
      <c r="A682" s="3"/>
      <c r="B682" s="2"/>
      <c r="C682" s="3"/>
      <c r="D682" s="3"/>
      <c r="E682" s="1"/>
      <c r="F682" s="1"/>
      <c r="G682" s="1"/>
      <c r="H682" s="2"/>
      <c r="I682" s="2"/>
      <c r="J682" s="2"/>
      <c r="K682" s="2"/>
      <c r="L682" s="2"/>
      <c r="M682" s="3"/>
      <c r="N682" s="3"/>
      <c r="O682" s="2"/>
      <c r="P682" s="2"/>
      <c r="Q682" s="2"/>
      <c r="R682" s="2"/>
      <c r="S682" s="2"/>
      <c r="T682" s="2"/>
      <c r="U682" s="2"/>
      <c r="V682" s="2"/>
      <c r="W682" s="2"/>
      <c r="X682" s="2"/>
      <c r="Y682" s="2"/>
      <c r="Z682" s="2"/>
      <c r="AA682" s="2"/>
      <c r="AB682" s="2"/>
      <c r="AC682" s="2"/>
    </row>
    <row r="683" spans="1:29" ht="13">
      <c r="A683" s="3"/>
      <c r="B683" s="2"/>
      <c r="C683" s="3"/>
      <c r="D683" s="3"/>
      <c r="E683" s="1"/>
      <c r="F683" s="1"/>
      <c r="G683" s="1"/>
      <c r="H683" s="2"/>
      <c r="I683" s="2"/>
      <c r="J683" s="2"/>
      <c r="K683" s="2"/>
      <c r="L683" s="2"/>
      <c r="M683" s="3"/>
      <c r="N683" s="3"/>
      <c r="O683" s="2"/>
      <c r="P683" s="2"/>
      <c r="Q683" s="2"/>
      <c r="R683" s="2"/>
      <c r="S683" s="2"/>
      <c r="T683" s="2"/>
      <c r="U683" s="2"/>
      <c r="V683" s="2"/>
      <c r="W683" s="2"/>
      <c r="X683" s="2"/>
      <c r="Y683" s="2"/>
      <c r="Z683" s="2"/>
      <c r="AA683" s="2"/>
      <c r="AB683" s="2"/>
      <c r="AC683" s="2"/>
    </row>
    <row r="684" spans="1:29" ht="13">
      <c r="A684" s="3"/>
      <c r="B684" s="2"/>
      <c r="C684" s="3"/>
      <c r="D684" s="3"/>
      <c r="E684" s="1"/>
      <c r="F684" s="1"/>
      <c r="G684" s="1"/>
      <c r="H684" s="2"/>
      <c r="I684" s="2"/>
      <c r="J684" s="2"/>
      <c r="K684" s="2"/>
      <c r="L684" s="2"/>
      <c r="M684" s="3"/>
      <c r="N684" s="3"/>
      <c r="O684" s="2"/>
      <c r="P684" s="2"/>
      <c r="Q684" s="2"/>
      <c r="R684" s="2"/>
      <c r="S684" s="2"/>
      <c r="T684" s="2"/>
      <c r="U684" s="2"/>
      <c r="V684" s="2"/>
      <c r="W684" s="2"/>
      <c r="X684" s="2"/>
      <c r="Y684" s="2"/>
      <c r="Z684" s="2"/>
      <c r="AA684" s="2"/>
      <c r="AB684" s="2"/>
      <c r="AC684" s="2"/>
    </row>
    <row r="685" spans="1:29" ht="13">
      <c r="A685" s="3"/>
      <c r="B685" s="2"/>
      <c r="C685" s="3"/>
      <c r="D685" s="3"/>
      <c r="E685" s="1"/>
      <c r="F685" s="1"/>
      <c r="G685" s="1"/>
      <c r="H685" s="2"/>
      <c r="I685" s="2"/>
      <c r="J685" s="2"/>
      <c r="K685" s="2"/>
      <c r="L685" s="2"/>
      <c r="M685" s="3"/>
      <c r="N685" s="3"/>
      <c r="O685" s="2"/>
      <c r="P685" s="2"/>
      <c r="Q685" s="2"/>
      <c r="R685" s="2"/>
      <c r="S685" s="2"/>
      <c r="T685" s="2"/>
      <c r="U685" s="2"/>
      <c r="V685" s="2"/>
      <c r="W685" s="2"/>
      <c r="X685" s="2"/>
      <c r="Y685" s="2"/>
      <c r="Z685" s="2"/>
      <c r="AA685" s="2"/>
      <c r="AB685" s="2"/>
      <c r="AC685" s="2"/>
    </row>
    <row r="686" spans="1:29" ht="13">
      <c r="A686" s="3"/>
      <c r="B686" s="2"/>
      <c r="C686" s="3"/>
      <c r="D686" s="3"/>
      <c r="E686" s="1"/>
      <c r="F686" s="1"/>
      <c r="G686" s="1"/>
      <c r="H686" s="2"/>
      <c r="I686" s="2"/>
      <c r="J686" s="2"/>
      <c r="K686" s="2"/>
      <c r="L686" s="2"/>
      <c r="M686" s="3"/>
      <c r="N686" s="3"/>
      <c r="O686" s="2"/>
      <c r="P686" s="2"/>
      <c r="Q686" s="2"/>
      <c r="R686" s="2"/>
      <c r="S686" s="2"/>
      <c r="T686" s="2"/>
      <c r="U686" s="2"/>
      <c r="V686" s="2"/>
      <c r="W686" s="2"/>
      <c r="X686" s="2"/>
      <c r="Y686" s="2"/>
      <c r="Z686" s="2"/>
      <c r="AA686" s="2"/>
      <c r="AB686" s="2"/>
      <c r="AC686" s="2"/>
    </row>
    <row r="687" spans="1:29" ht="13">
      <c r="A687" s="3"/>
      <c r="B687" s="2"/>
      <c r="C687" s="3"/>
      <c r="D687" s="3"/>
      <c r="E687" s="1"/>
      <c r="F687" s="1"/>
      <c r="G687" s="1"/>
      <c r="H687" s="2"/>
      <c r="I687" s="2"/>
      <c r="J687" s="2"/>
      <c r="K687" s="2"/>
      <c r="L687" s="2"/>
      <c r="M687" s="3"/>
      <c r="N687" s="3"/>
      <c r="O687" s="2"/>
      <c r="P687" s="2"/>
      <c r="Q687" s="2"/>
      <c r="R687" s="2"/>
      <c r="S687" s="2"/>
      <c r="T687" s="2"/>
      <c r="U687" s="2"/>
      <c r="V687" s="2"/>
      <c r="W687" s="2"/>
      <c r="X687" s="2"/>
      <c r="Y687" s="2"/>
      <c r="Z687" s="2"/>
      <c r="AA687" s="2"/>
      <c r="AB687" s="2"/>
      <c r="AC687" s="2"/>
    </row>
    <row r="688" spans="1:29" ht="13">
      <c r="A688" s="3"/>
      <c r="B688" s="2"/>
      <c r="C688" s="3"/>
      <c r="D688" s="3"/>
      <c r="E688" s="1"/>
      <c r="F688" s="1"/>
      <c r="G688" s="1"/>
      <c r="H688" s="2"/>
      <c r="I688" s="2"/>
      <c r="J688" s="2"/>
      <c r="K688" s="2"/>
      <c r="L688" s="2"/>
      <c r="M688" s="3"/>
      <c r="N688" s="3"/>
      <c r="O688" s="2"/>
      <c r="P688" s="2"/>
      <c r="Q688" s="2"/>
      <c r="R688" s="2"/>
      <c r="S688" s="2"/>
      <c r="T688" s="2"/>
      <c r="U688" s="2"/>
      <c r="V688" s="2"/>
      <c r="W688" s="2"/>
      <c r="X688" s="2"/>
      <c r="Y688" s="2"/>
      <c r="Z688" s="2"/>
      <c r="AA688" s="2"/>
      <c r="AB688" s="2"/>
      <c r="AC688" s="2"/>
    </row>
    <row r="689" spans="1:29" ht="13">
      <c r="A689" s="3"/>
      <c r="B689" s="2"/>
      <c r="C689" s="3"/>
      <c r="D689" s="3"/>
      <c r="E689" s="1"/>
      <c r="F689" s="1"/>
      <c r="G689" s="1"/>
      <c r="H689" s="2"/>
      <c r="I689" s="2"/>
      <c r="J689" s="2"/>
      <c r="K689" s="2"/>
      <c r="L689" s="2"/>
      <c r="M689" s="3"/>
      <c r="N689" s="3"/>
      <c r="O689" s="2"/>
      <c r="P689" s="2"/>
      <c r="Q689" s="2"/>
      <c r="R689" s="2"/>
      <c r="S689" s="2"/>
      <c r="T689" s="2"/>
      <c r="U689" s="2"/>
      <c r="V689" s="2"/>
      <c r="W689" s="2"/>
      <c r="X689" s="2"/>
      <c r="Y689" s="2"/>
      <c r="Z689" s="2"/>
      <c r="AA689" s="2"/>
      <c r="AB689" s="2"/>
      <c r="AC689" s="2"/>
    </row>
    <row r="690" spans="1:29" ht="13">
      <c r="A690" s="3"/>
      <c r="B690" s="2"/>
      <c r="C690" s="3"/>
      <c r="D690" s="3"/>
      <c r="E690" s="1"/>
      <c r="F690" s="1"/>
      <c r="G690" s="1"/>
      <c r="H690" s="2"/>
      <c r="I690" s="2"/>
      <c r="J690" s="2"/>
      <c r="K690" s="2"/>
      <c r="L690" s="2"/>
      <c r="M690" s="3"/>
      <c r="N690" s="3"/>
      <c r="O690" s="2"/>
      <c r="P690" s="2"/>
      <c r="Q690" s="2"/>
      <c r="R690" s="2"/>
      <c r="S690" s="2"/>
      <c r="T690" s="2"/>
      <c r="U690" s="2"/>
      <c r="V690" s="2"/>
      <c r="W690" s="2"/>
      <c r="X690" s="2"/>
      <c r="Y690" s="2"/>
      <c r="Z690" s="2"/>
      <c r="AA690" s="2"/>
      <c r="AB690" s="2"/>
      <c r="AC690" s="2"/>
    </row>
    <row r="691" spans="1:29" ht="13">
      <c r="A691" s="3"/>
      <c r="B691" s="2"/>
      <c r="C691" s="3"/>
      <c r="D691" s="3"/>
      <c r="E691" s="1"/>
      <c r="F691" s="1"/>
      <c r="G691" s="1"/>
      <c r="H691" s="2"/>
      <c r="I691" s="2"/>
      <c r="J691" s="2"/>
      <c r="K691" s="2"/>
      <c r="L691" s="2"/>
      <c r="M691" s="3"/>
      <c r="N691" s="3"/>
      <c r="O691" s="2"/>
      <c r="P691" s="2"/>
      <c r="Q691" s="2"/>
      <c r="R691" s="2"/>
      <c r="S691" s="2"/>
      <c r="T691" s="2"/>
      <c r="U691" s="2"/>
      <c r="V691" s="2"/>
      <c r="W691" s="2"/>
      <c r="X691" s="2"/>
      <c r="Y691" s="2"/>
      <c r="Z691" s="2"/>
      <c r="AA691" s="2"/>
      <c r="AB691" s="2"/>
      <c r="AC691" s="2"/>
    </row>
    <row r="692" spans="1:29" ht="13">
      <c r="A692" s="3"/>
      <c r="B692" s="2"/>
      <c r="C692" s="3"/>
      <c r="D692" s="3"/>
      <c r="E692" s="1"/>
      <c r="F692" s="1"/>
      <c r="G692" s="1"/>
      <c r="H692" s="2"/>
      <c r="I692" s="2"/>
      <c r="J692" s="2"/>
      <c r="K692" s="2"/>
      <c r="L692" s="2"/>
      <c r="M692" s="3"/>
      <c r="N692" s="3"/>
      <c r="O692" s="2"/>
      <c r="P692" s="2"/>
      <c r="Q692" s="2"/>
      <c r="R692" s="2"/>
      <c r="S692" s="2"/>
      <c r="T692" s="2"/>
      <c r="U692" s="2"/>
      <c r="V692" s="2"/>
      <c r="W692" s="2"/>
      <c r="X692" s="2"/>
      <c r="Y692" s="2"/>
      <c r="Z692" s="2"/>
      <c r="AA692" s="2"/>
      <c r="AB692" s="2"/>
      <c r="AC692" s="2"/>
    </row>
    <row r="693" spans="1:29" ht="13">
      <c r="A693" s="3"/>
      <c r="B693" s="2"/>
      <c r="C693" s="3"/>
      <c r="D693" s="3"/>
      <c r="E693" s="1"/>
      <c r="F693" s="1"/>
      <c r="G693" s="1"/>
      <c r="H693" s="2"/>
      <c r="I693" s="2"/>
      <c r="J693" s="2"/>
      <c r="K693" s="2"/>
      <c r="L693" s="2"/>
      <c r="M693" s="3"/>
      <c r="N693" s="3"/>
      <c r="O693" s="2"/>
      <c r="P693" s="2"/>
      <c r="Q693" s="2"/>
      <c r="R693" s="2"/>
      <c r="S693" s="2"/>
      <c r="T693" s="2"/>
      <c r="U693" s="2"/>
      <c r="V693" s="2"/>
      <c r="W693" s="2"/>
      <c r="X693" s="2"/>
      <c r="Y693" s="2"/>
      <c r="Z693" s="2"/>
      <c r="AA693" s="2"/>
      <c r="AB693" s="2"/>
      <c r="AC693" s="2"/>
    </row>
    <row r="694" spans="1:29" ht="13">
      <c r="A694" s="3"/>
      <c r="B694" s="2"/>
      <c r="C694" s="3"/>
      <c r="D694" s="3"/>
      <c r="E694" s="1"/>
      <c r="F694" s="1"/>
      <c r="G694" s="1"/>
      <c r="H694" s="2"/>
      <c r="I694" s="2"/>
      <c r="J694" s="2"/>
      <c r="K694" s="2"/>
      <c r="L694" s="2"/>
      <c r="M694" s="3"/>
      <c r="N694" s="3"/>
      <c r="O694" s="2"/>
      <c r="P694" s="2"/>
      <c r="Q694" s="2"/>
      <c r="R694" s="2"/>
      <c r="S694" s="2"/>
      <c r="T694" s="2"/>
      <c r="U694" s="2"/>
      <c r="V694" s="2"/>
      <c r="W694" s="2"/>
      <c r="X694" s="2"/>
      <c r="Y694" s="2"/>
      <c r="Z694" s="2"/>
      <c r="AA694" s="2"/>
      <c r="AB694" s="2"/>
      <c r="AC694" s="2"/>
    </row>
    <row r="695" spans="1:29" ht="13">
      <c r="A695" s="3"/>
      <c r="B695" s="2"/>
      <c r="C695" s="3"/>
      <c r="D695" s="3"/>
      <c r="E695" s="1"/>
      <c r="F695" s="1"/>
      <c r="G695" s="1"/>
      <c r="H695" s="2"/>
      <c r="I695" s="2"/>
      <c r="J695" s="2"/>
      <c r="K695" s="2"/>
      <c r="L695" s="2"/>
      <c r="M695" s="3"/>
      <c r="N695" s="3"/>
      <c r="O695" s="2"/>
      <c r="P695" s="2"/>
      <c r="Q695" s="2"/>
      <c r="R695" s="2"/>
      <c r="S695" s="2"/>
      <c r="T695" s="2"/>
      <c r="U695" s="2"/>
      <c r="V695" s="2"/>
      <c r="W695" s="2"/>
      <c r="X695" s="2"/>
      <c r="Y695" s="2"/>
      <c r="Z695" s="2"/>
      <c r="AA695" s="2"/>
      <c r="AB695" s="2"/>
      <c r="AC695" s="2"/>
    </row>
    <row r="696" spans="1:29" ht="13">
      <c r="A696" s="3"/>
      <c r="B696" s="2"/>
      <c r="C696" s="3"/>
      <c r="D696" s="3"/>
      <c r="E696" s="1"/>
      <c r="F696" s="1"/>
      <c r="G696" s="1"/>
      <c r="H696" s="2"/>
      <c r="I696" s="2"/>
      <c r="J696" s="2"/>
      <c r="K696" s="2"/>
      <c r="L696" s="2"/>
      <c r="M696" s="3"/>
      <c r="N696" s="3"/>
      <c r="O696" s="2"/>
      <c r="P696" s="2"/>
      <c r="Q696" s="2"/>
      <c r="R696" s="2"/>
      <c r="S696" s="2"/>
      <c r="T696" s="2"/>
      <c r="U696" s="2"/>
      <c r="V696" s="2"/>
      <c r="W696" s="2"/>
      <c r="X696" s="2"/>
      <c r="Y696" s="2"/>
      <c r="Z696" s="2"/>
      <c r="AA696" s="2"/>
      <c r="AB696" s="2"/>
      <c r="AC696" s="2"/>
    </row>
    <row r="697" spans="1:29" ht="13">
      <c r="A697" s="3"/>
      <c r="B697" s="2"/>
      <c r="C697" s="3"/>
      <c r="D697" s="3"/>
      <c r="E697" s="1"/>
      <c r="F697" s="1"/>
      <c r="G697" s="1"/>
      <c r="H697" s="2"/>
      <c r="I697" s="2"/>
      <c r="J697" s="2"/>
      <c r="K697" s="2"/>
      <c r="L697" s="2"/>
      <c r="M697" s="3"/>
      <c r="N697" s="3"/>
      <c r="O697" s="2"/>
      <c r="P697" s="2"/>
      <c r="Q697" s="2"/>
      <c r="R697" s="2"/>
      <c r="S697" s="2"/>
      <c r="T697" s="2"/>
      <c r="U697" s="2"/>
      <c r="V697" s="2"/>
      <c r="W697" s="2"/>
      <c r="X697" s="2"/>
      <c r="Y697" s="2"/>
      <c r="Z697" s="2"/>
      <c r="AA697" s="2"/>
      <c r="AB697" s="2"/>
      <c r="AC697" s="2"/>
    </row>
    <row r="698" spans="1:29" ht="13">
      <c r="A698" s="3"/>
      <c r="B698" s="2"/>
      <c r="C698" s="3"/>
      <c r="D698" s="3"/>
      <c r="E698" s="1"/>
      <c r="F698" s="1"/>
      <c r="G698" s="1"/>
      <c r="H698" s="2"/>
      <c r="I698" s="2"/>
      <c r="J698" s="2"/>
      <c r="K698" s="2"/>
      <c r="L698" s="2"/>
      <c r="M698" s="3"/>
      <c r="N698" s="3"/>
      <c r="O698" s="2"/>
      <c r="P698" s="2"/>
      <c r="Q698" s="2"/>
      <c r="R698" s="2"/>
      <c r="S698" s="2"/>
      <c r="T698" s="2"/>
      <c r="U698" s="2"/>
      <c r="V698" s="2"/>
      <c r="W698" s="2"/>
      <c r="X698" s="2"/>
      <c r="Y698" s="2"/>
      <c r="Z698" s="2"/>
      <c r="AA698" s="2"/>
      <c r="AB698" s="2"/>
      <c r="AC698" s="2"/>
    </row>
    <row r="699" spans="1:29" ht="13">
      <c r="A699" s="3"/>
      <c r="B699" s="2"/>
      <c r="C699" s="3"/>
      <c r="D699" s="3"/>
      <c r="E699" s="1"/>
      <c r="F699" s="1"/>
      <c r="G699" s="1"/>
      <c r="H699" s="2"/>
      <c r="I699" s="2"/>
      <c r="J699" s="2"/>
      <c r="K699" s="2"/>
      <c r="L699" s="2"/>
      <c r="M699" s="3"/>
      <c r="N699" s="3"/>
      <c r="O699" s="2"/>
      <c r="P699" s="2"/>
      <c r="Q699" s="2"/>
      <c r="R699" s="2"/>
      <c r="S699" s="2"/>
      <c r="T699" s="2"/>
      <c r="U699" s="2"/>
      <c r="V699" s="2"/>
      <c r="W699" s="2"/>
      <c r="X699" s="2"/>
      <c r="Y699" s="2"/>
      <c r="Z699" s="2"/>
      <c r="AA699" s="2"/>
      <c r="AB699" s="2"/>
      <c r="AC699" s="2"/>
    </row>
    <row r="700" spans="1:29" ht="13">
      <c r="A700" s="3"/>
      <c r="B700" s="2"/>
      <c r="C700" s="3"/>
      <c r="D700" s="3"/>
      <c r="E700" s="1"/>
      <c r="F700" s="1"/>
      <c r="G700" s="1"/>
      <c r="H700" s="2"/>
      <c r="I700" s="2"/>
      <c r="J700" s="2"/>
      <c r="K700" s="2"/>
      <c r="L700" s="2"/>
      <c r="M700" s="3"/>
      <c r="N700" s="3"/>
      <c r="O700" s="2"/>
      <c r="P700" s="2"/>
      <c r="Q700" s="2"/>
      <c r="R700" s="2"/>
      <c r="S700" s="2"/>
      <c r="T700" s="2"/>
      <c r="U700" s="2"/>
      <c r="V700" s="2"/>
      <c r="W700" s="2"/>
      <c r="X700" s="2"/>
      <c r="Y700" s="2"/>
      <c r="Z700" s="2"/>
      <c r="AA700" s="2"/>
      <c r="AB700" s="2"/>
      <c r="AC700" s="2"/>
    </row>
    <row r="701" spans="1:29" ht="13">
      <c r="A701" s="3"/>
      <c r="B701" s="2"/>
      <c r="C701" s="3"/>
      <c r="D701" s="3"/>
      <c r="E701" s="1"/>
      <c r="F701" s="1"/>
      <c r="G701" s="1"/>
      <c r="H701" s="2"/>
      <c r="I701" s="2"/>
      <c r="J701" s="2"/>
      <c r="K701" s="2"/>
      <c r="L701" s="2"/>
      <c r="M701" s="3"/>
      <c r="N701" s="3"/>
      <c r="O701" s="2"/>
      <c r="P701" s="2"/>
      <c r="Q701" s="2"/>
      <c r="R701" s="2"/>
      <c r="S701" s="2"/>
      <c r="T701" s="2"/>
      <c r="U701" s="2"/>
      <c r="V701" s="2"/>
      <c r="W701" s="2"/>
      <c r="X701" s="2"/>
      <c r="Y701" s="2"/>
      <c r="Z701" s="2"/>
      <c r="AA701" s="2"/>
      <c r="AB701" s="2"/>
      <c r="AC701" s="2"/>
    </row>
    <row r="702" spans="1:29" ht="13">
      <c r="A702" s="3"/>
      <c r="B702" s="2"/>
      <c r="C702" s="3"/>
      <c r="D702" s="3"/>
      <c r="E702" s="1"/>
      <c r="F702" s="1"/>
      <c r="G702" s="1"/>
      <c r="H702" s="2"/>
      <c r="I702" s="2"/>
      <c r="J702" s="2"/>
      <c r="K702" s="2"/>
      <c r="L702" s="2"/>
      <c r="M702" s="3"/>
      <c r="N702" s="3"/>
      <c r="O702" s="2"/>
      <c r="P702" s="2"/>
      <c r="Q702" s="2"/>
      <c r="R702" s="2"/>
      <c r="S702" s="2"/>
      <c r="T702" s="2"/>
      <c r="U702" s="2"/>
      <c r="V702" s="2"/>
      <c r="W702" s="2"/>
      <c r="X702" s="2"/>
      <c r="Y702" s="2"/>
      <c r="Z702" s="2"/>
      <c r="AA702" s="2"/>
      <c r="AB702" s="2"/>
      <c r="AC702" s="2"/>
    </row>
    <row r="703" spans="1:29" ht="13">
      <c r="A703" s="3"/>
      <c r="B703" s="2"/>
      <c r="C703" s="3"/>
      <c r="D703" s="3"/>
      <c r="E703" s="1"/>
      <c r="F703" s="1"/>
      <c r="G703" s="1"/>
      <c r="H703" s="2"/>
      <c r="I703" s="2"/>
      <c r="J703" s="2"/>
      <c r="K703" s="2"/>
      <c r="L703" s="2"/>
      <c r="M703" s="3"/>
      <c r="N703" s="3"/>
      <c r="O703" s="2"/>
      <c r="P703" s="2"/>
      <c r="Q703" s="2"/>
      <c r="R703" s="2"/>
      <c r="S703" s="2"/>
      <c r="T703" s="2"/>
      <c r="U703" s="2"/>
      <c r="V703" s="2"/>
      <c r="W703" s="2"/>
      <c r="X703" s="2"/>
      <c r="Y703" s="2"/>
      <c r="Z703" s="2"/>
      <c r="AA703" s="2"/>
      <c r="AB703" s="2"/>
      <c r="AC703" s="2"/>
    </row>
    <row r="704" spans="1:29" ht="13">
      <c r="A704" s="3"/>
      <c r="B704" s="2"/>
      <c r="C704" s="3"/>
      <c r="D704" s="3"/>
      <c r="E704" s="1"/>
      <c r="F704" s="1"/>
      <c r="G704" s="1"/>
      <c r="H704" s="2"/>
      <c r="I704" s="2"/>
      <c r="J704" s="2"/>
      <c r="K704" s="2"/>
      <c r="L704" s="2"/>
      <c r="M704" s="3"/>
      <c r="N704" s="3"/>
      <c r="O704" s="2"/>
      <c r="P704" s="2"/>
      <c r="Q704" s="2"/>
      <c r="R704" s="2"/>
      <c r="S704" s="2"/>
      <c r="T704" s="2"/>
      <c r="U704" s="2"/>
      <c r="V704" s="2"/>
      <c r="W704" s="2"/>
      <c r="X704" s="2"/>
      <c r="Y704" s="2"/>
      <c r="Z704" s="2"/>
      <c r="AA704" s="2"/>
      <c r="AB704" s="2"/>
      <c r="AC704" s="2"/>
    </row>
    <row r="705" spans="1:29" ht="13">
      <c r="A705" s="3"/>
      <c r="B705" s="2"/>
      <c r="C705" s="3"/>
      <c r="D705" s="3"/>
      <c r="E705" s="1"/>
      <c r="F705" s="1"/>
      <c r="G705" s="1"/>
      <c r="H705" s="2"/>
      <c r="I705" s="2"/>
      <c r="J705" s="2"/>
      <c r="K705" s="2"/>
      <c r="L705" s="2"/>
      <c r="M705" s="3"/>
      <c r="N705" s="3"/>
      <c r="O705" s="2"/>
      <c r="P705" s="2"/>
      <c r="Q705" s="2"/>
      <c r="R705" s="2"/>
      <c r="S705" s="2"/>
      <c r="T705" s="2"/>
      <c r="U705" s="2"/>
      <c r="V705" s="2"/>
      <c r="W705" s="2"/>
      <c r="X705" s="2"/>
      <c r="Y705" s="2"/>
      <c r="Z705" s="2"/>
      <c r="AA705" s="2"/>
      <c r="AB705" s="2"/>
      <c r="AC705" s="2"/>
    </row>
    <row r="706" spans="1:29" ht="13">
      <c r="A706" s="3"/>
      <c r="B706" s="2"/>
      <c r="C706" s="3"/>
      <c r="D706" s="3"/>
      <c r="E706" s="1"/>
      <c r="F706" s="1"/>
      <c r="G706" s="1"/>
      <c r="H706" s="2"/>
      <c r="I706" s="2"/>
      <c r="J706" s="2"/>
      <c r="K706" s="2"/>
      <c r="L706" s="2"/>
      <c r="M706" s="3"/>
      <c r="N706" s="3"/>
      <c r="O706" s="2"/>
      <c r="P706" s="2"/>
      <c r="Q706" s="2"/>
      <c r="R706" s="2"/>
      <c r="S706" s="2"/>
      <c r="T706" s="2"/>
      <c r="U706" s="2"/>
      <c r="V706" s="2"/>
      <c r="W706" s="2"/>
      <c r="X706" s="2"/>
      <c r="Y706" s="2"/>
      <c r="Z706" s="2"/>
      <c r="AA706" s="2"/>
      <c r="AB706" s="2"/>
      <c r="AC706" s="2"/>
    </row>
    <row r="707" spans="1:29" ht="13">
      <c r="A707" s="3"/>
      <c r="B707" s="2"/>
      <c r="C707" s="3"/>
      <c r="D707" s="3"/>
      <c r="E707" s="1"/>
      <c r="F707" s="1"/>
      <c r="G707" s="1"/>
      <c r="H707" s="2"/>
      <c r="I707" s="2"/>
      <c r="J707" s="2"/>
      <c r="K707" s="2"/>
      <c r="L707" s="2"/>
      <c r="M707" s="3"/>
      <c r="N707" s="3"/>
      <c r="O707" s="2"/>
      <c r="P707" s="2"/>
      <c r="Q707" s="2"/>
      <c r="R707" s="2"/>
      <c r="S707" s="2"/>
      <c r="T707" s="2"/>
      <c r="U707" s="2"/>
      <c r="V707" s="2"/>
      <c r="W707" s="2"/>
      <c r="X707" s="2"/>
      <c r="Y707" s="2"/>
      <c r="Z707" s="2"/>
      <c r="AA707" s="2"/>
      <c r="AB707" s="2"/>
      <c r="AC707" s="2"/>
    </row>
    <row r="708" spans="1:29" ht="13">
      <c r="A708" s="3"/>
      <c r="B708" s="2"/>
      <c r="C708" s="3"/>
      <c r="D708" s="3"/>
      <c r="E708" s="1"/>
      <c r="F708" s="1"/>
      <c r="G708" s="1"/>
      <c r="H708" s="2"/>
      <c r="I708" s="2"/>
      <c r="J708" s="2"/>
      <c r="K708" s="2"/>
      <c r="L708" s="2"/>
      <c r="M708" s="3"/>
      <c r="N708" s="3"/>
      <c r="O708" s="2"/>
      <c r="P708" s="2"/>
      <c r="Q708" s="2"/>
      <c r="R708" s="2"/>
      <c r="S708" s="2"/>
      <c r="T708" s="2"/>
      <c r="U708" s="2"/>
      <c r="V708" s="2"/>
      <c r="W708" s="2"/>
      <c r="X708" s="2"/>
      <c r="Y708" s="2"/>
      <c r="Z708" s="2"/>
      <c r="AA708" s="2"/>
      <c r="AB708" s="2"/>
      <c r="AC708" s="2"/>
    </row>
    <row r="709" spans="1:29" ht="13">
      <c r="A709" s="3"/>
      <c r="B709" s="2"/>
      <c r="C709" s="3"/>
      <c r="D709" s="3"/>
      <c r="E709" s="1"/>
      <c r="F709" s="1"/>
      <c r="G709" s="1"/>
      <c r="H709" s="2"/>
      <c r="I709" s="2"/>
      <c r="J709" s="2"/>
      <c r="K709" s="2"/>
      <c r="L709" s="2"/>
      <c r="M709" s="3"/>
      <c r="N709" s="3"/>
      <c r="O709" s="2"/>
      <c r="P709" s="2"/>
      <c r="Q709" s="2"/>
      <c r="R709" s="2"/>
      <c r="S709" s="2"/>
      <c r="T709" s="2"/>
      <c r="U709" s="2"/>
      <c r="V709" s="2"/>
      <c r="W709" s="2"/>
      <c r="X709" s="2"/>
      <c r="Y709" s="2"/>
      <c r="Z709" s="2"/>
      <c r="AA709" s="2"/>
      <c r="AB709" s="2"/>
      <c r="AC709" s="2"/>
    </row>
    <row r="710" spans="1:29" ht="13">
      <c r="A710" s="3"/>
      <c r="B710" s="2"/>
      <c r="C710" s="3"/>
      <c r="D710" s="3"/>
      <c r="E710" s="1"/>
      <c r="F710" s="1"/>
      <c r="G710" s="1"/>
      <c r="H710" s="2"/>
      <c r="I710" s="2"/>
      <c r="J710" s="2"/>
      <c r="K710" s="2"/>
      <c r="L710" s="2"/>
      <c r="M710" s="3"/>
      <c r="N710" s="3"/>
      <c r="O710" s="2"/>
      <c r="P710" s="2"/>
      <c r="Q710" s="2"/>
      <c r="R710" s="2"/>
      <c r="S710" s="2"/>
      <c r="T710" s="2"/>
      <c r="U710" s="2"/>
      <c r="V710" s="2"/>
      <c r="W710" s="2"/>
      <c r="X710" s="2"/>
      <c r="Y710" s="2"/>
      <c r="Z710" s="2"/>
      <c r="AA710" s="2"/>
      <c r="AB710" s="2"/>
      <c r="AC710" s="2"/>
    </row>
    <row r="711" spans="1:29" ht="13">
      <c r="A711" s="3"/>
      <c r="B711" s="2"/>
      <c r="C711" s="3"/>
      <c r="D711" s="3"/>
      <c r="E711" s="1"/>
      <c r="F711" s="1"/>
      <c r="G711" s="1"/>
      <c r="H711" s="2"/>
      <c r="I711" s="2"/>
      <c r="J711" s="2"/>
      <c r="K711" s="2"/>
      <c r="L711" s="2"/>
      <c r="M711" s="3"/>
      <c r="N711" s="3"/>
      <c r="O711" s="2"/>
      <c r="P711" s="2"/>
      <c r="Q711" s="2"/>
      <c r="R711" s="2"/>
      <c r="S711" s="2"/>
      <c r="T711" s="2"/>
      <c r="U711" s="2"/>
      <c r="V711" s="2"/>
      <c r="W711" s="2"/>
      <c r="X711" s="2"/>
      <c r="Y711" s="2"/>
      <c r="Z711" s="2"/>
      <c r="AA711" s="2"/>
      <c r="AB711" s="2"/>
      <c r="AC711" s="2"/>
    </row>
    <row r="712" spans="1:29" ht="13">
      <c r="A712" s="3"/>
      <c r="B712" s="2"/>
      <c r="C712" s="3"/>
      <c r="D712" s="3"/>
      <c r="E712" s="1"/>
      <c r="F712" s="1"/>
      <c r="G712" s="1"/>
      <c r="H712" s="2"/>
      <c r="I712" s="2"/>
      <c r="J712" s="2"/>
      <c r="K712" s="2"/>
      <c r="L712" s="2"/>
      <c r="M712" s="3"/>
      <c r="N712" s="3"/>
      <c r="O712" s="2"/>
      <c r="P712" s="2"/>
      <c r="Q712" s="2"/>
      <c r="R712" s="2"/>
      <c r="S712" s="2"/>
      <c r="T712" s="2"/>
      <c r="U712" s="2"/>
      <c r="V712" s="2"/>
      <c r="W712" s="2"/>
      <c r="X712" s="2"/>
      <c r="Y712" s="2"/>
      <c r="Z712" s="2"/>
      <c r="AA712" s="2"/>
      <c r="AB712" s="2"/>
      <c r="AC712" s="2"/>
    </row>
    <row r="713" spans="1:29" ht="13">
      <c r="A713" s="3"/>
      <c r="B713" s="2"/>
      <c r="C713" s="3"/>
      <c r="D713" s="3"/>
      <c r="E713" s="1"/>
      <c r="F713" s="1"/>
      <c r="G713" s="1"/>
      <c r="H713" s="2"/>
      <c r="I713" s="2"/>
      <c r="J713" s="2"/>
      <c r="K713" s="2"/>
      <c r="L713" s="2"/>
      <c r="M713" s="3"/>
      <c r="N713" s="3"/>
      <c r="O713" s="2"/>
      <c r="P713" s="2"/>
      <c r="Q713" s="2"/>
      <c r="R713" s="2"/>
      <c r="S713" s="2"/>
      <c r="T713" s="2"/>
      <c r="U713" s="2"/>
      <c r="V713" s="2"/>
      <c r="W713" s="2"/>
      <c r="X713" s="2"/>
      <c r="Y713" s="2"/>
      <c r="Z713" s="2"/>
      <c r="AA713" s="2"/>
      <c r="AB713" s="2"/>
      <c r="AC713" s="2"/>
    </row>
    <row r="714" spans="1:29" ht="13">
      <c r="A714" s="3"/>
      <c r="B714" s="2"/>
      <c r="C714" s="3"/>
      <c r="D714" s="3"/>
      <c r="E714" s="1"/>
      <c r="F714" s="1"/>
      <c r="G714" s="1"/>
      <c r="H714" s="2"/>
      <c r="I714" s="2"/>
      <c r="J714" s="2"/>
      <c r="K714" s="2"/>
      <c r="L714" s="2"/>
      <c r="M714" s="3"/>
      <c r="N714" s="3"/>
      <c r="O714" s="2"/>
      <c r="P714" s="2"/>
      <c r="Q714" s="2"/>
      <c r="R714" s="2"/>
      <c r="S714" s="2"/>
      <c r="T714" s="2"/>
      <c r="U714" s="2"/>
      <c r="V714" s="2"/>
      <c r="W714" s="2"/>
      <c r="X714" s="2"/>
      <c r="Y714" s="2"/>
      <c r="Z714" s="2"/>
      <c r="AA714" s="2"/>
      <c r="AB714" s="2"/>
      <c r="AC714" s="2"/>
    </row>
    <row r="715" spans="1:29" ht="13">
      <c r="A715" s="3"/>
      <c r="B715" s="2"/>
      <c r="C715" s="3"/>
      <c r="D715" s="3"/>
      <c r="E715" s="1"/>
      <c r="F715" s="1"/>
      <c r="G715" s="1"/>
      <c r="H715" s="2"/>
      <c r="I715" s="2"/>
      <c r="J715" s="2"/>
      <c r="K715" s="2"/>
      <c r="L715" s="2"/>
      <c r="M715" s="3"/>
      <c r="N715" s="3"/>
      <c r="O715" s="2"/>
      <c r="P715" s="2"/>
      <c r="Q715" s="2"/>
      <c r="R715" s="2"/>
      <c r="S715" s="2"/>
      <c r="T715" s="2"/>
      <c r="U715" s="2"/>
      <c r="V715" s="2"/>
      <c r="W715" s="2"/>
      <c r="X715" s="2"/>
      <c r="Y715" s="2"/>
      <c r="Z715" s="2"/>
      <c r="AA715" s="2"/>
      <c r="AB715" s="2"/>
      <c r="AC715" s="2"/>
    </row>
    <row r="716" spans="1:29" ht="13">
      <c r="A716" s="3"/>
      <c r="B716" s="2"/>
      <c r="C716" s="3"/>
      <c r="D716" s="3"/>
      <c r="E716" s="1"/>
      <c r="F716" s="1"/>
      <c r="G716" s="1"/>
      <c r="H716" s="2"/>
      <c r="I716" s="2"/>
      <c r="J716" s="2"/>
      <c r="K716" s="2"/>
      <c r="L716" s="2"/>
      <c r="M716" s="3"/>
      <c r="N716" s="3"/>
      <c r="O716" s="2"/>
      <c r="P716" s="2"/>
      <c r="Q716" s="2"/>
      <c r="R716" s="2"/>
      <c r="S716" s="2"/>
      <c r="T716" s="2"/>
      <c r="U716" s="2"/>
      <c r="V716" s="2"/>
      <c r="W716" s="2"/>
      <c r="X716" s="2"/>
      <c r="Y716" s="2"/>
      <c r="Z716" s="2"/>
      <c r="AA716" s="2"/>
      <c r="AB716" s="2"/>
      <c r="AC716" s="2"/>
    </row>
    <row r="717" spans="1:29" ht="13">
      <c r="A717" s="3"/>
      <c r="B717" s="2"/>
      <c r="C717" s="3"/>
      <c r="D717" s="3"/>
      <c r="E717" s="1"/>
      <c r="F717" s="1"/>
      <c r="G717" s="1"/>
      <c r="H717" s="2"/>
      <c r="I717" s="2"/>
      <c r="J717" s="2"/>
      <c r="K717" s="2"/>
      <c r="L717" s="2"/>
      <c r="M717" s="3"/>
      <c r="N717" s="3"/>
      <c r="O717" s="2"/>
      <c r="P717" s="2"/>
      <c r="Q717" s="2"/>
      <c r="R717" s="2"/>
      <c r="S717" s="2"/>
      <c r="T717" s="2"/>
      <c r="U717" s="2"/>
      <c r="V717" s="2"/>
      <c r="W717" s="2"/>
      <c r="X717" s="2"/>
      <c r="Y717" s="2"/>
      <c r="Z717" s="2"/>
      <c r="AA717" s="2"/>
      <c r="AB717" s="2"/>
      <c r="AC717" s="2"/>
    </row>
    <row r="718" spans="1:29" ht="13">
      <c r="A718" s="3"/>
      <c r="B718" s="2"/>
      <c r="C718" s="3"/>
      <c r="D718" s="3"/>
      <c r="E718" s="1"/>
      <c r="F718" s="1"/>
      <c r="G718" s="1"/>
      <c r="H718" s="2"/>
      <c r="I718" s="2"/>
      <c r="J718" s="2"/>
      <c r="K718" s="2"/>
      <c r="L718" s="2"/>
      <c r="M718" s="3"/>
      <c r="N718" s="3"/>
      <c r="O718" s="2"/>
      <c r="P718" s="2"/>
      <c r="Q718" s="2"/>
      <c r="R718" s="2"/>
      <c r="S718" s="2"/>
      <c r="T718" s="2"/>
      <c r="U718" s="2"/>
      <c r="V718" s="2"/>
      <c r="W718" s="2"/>
      <c r="X718" s="2"/>
      <c r="Y718" s="2"/>
      <c r="Z718" s="2"/>
      <c r="AA718" s="2"/>
      <c r="AB718" s="2"/>
      <c r="AC718" s="2"/>
    </row>
    <row r="719" spans="1:29" ht="13">
      <c r="A719" s="3"/>
      <c r="B719" s="2"/>
      <c r="C719" s="3"/>
      <c r="D719" s="3"/>
      <c r="E719" s="1"/>
      <c r="F719" s="1"/>
      <c r="G719" s="1"/>
      <c r="H719" s="2"/>
      <c r="I719" s="2"/>
      <c r="J719" s="2"/>
      <c r="K719" s="2"/>
      <c r="L719" s="2"/>
      <c r="M719" s="3"/>
      <c r="N719" s="3"/>
      <c r="O719" s="2"/>
      <c r="P719" s="2"/>
      <c r="Q719" s="2"/>
      <c r="R719" s="2"/>
      <c r="S719" s="2"/>
      <c r="T719" s="2"/>
      <c r="U719" s="2"/>
      <c r="V719" s="2"/>
      <c r="W719" s="2"/>
      <c r="X719" s="2"/>
      <c r="Y719" s="2"/>
      <c r="Z719" s="2"/>
      <c r="AA719" s="2"/>
      <c r="AB719" s="2"/>
      <c r="AC719" s="2"/>
    </row>
    <row r="720" spans="1:29" ht="13">
      <c r="A720" s="3"/>
      <c r="B720" s="2"/>
      <c r="C720" s="3"/>
      <c r="D720" s="3"/>
      <c r="E720" s="1"/>
      <c r="F720" s="1"/>
      <c r="G720" s="1"/>
      <c r="H720" s="2"/>
      <c r="I720" s="2"/>
      <c r="J720" s="2"/>
      <c r="K720" s="2"/>
      <c r="L720" s="2"/>
      <c r="M720" s="3"/>
      <c r="N720" s="3"/>
      <c r="O720" s="2"/>
      <c r="P720" s="2"/>
      <c r="Q720" s="2"/>
      <c r="R720" s="2"/>
      <c r="S720" s="2"/>
      <c r="T720" s="2"/>
      <c r="U720" s="2"/>
      <c r="V720" s="2"/>
      <c r="W720" s="2"/>
      <c r="X720" s="2"/>
      <c r="Y720" s="2"/>
      <c r="Z720" s="2"/>
      <c r="AA720" s="2"/>
      <c r="AB720" s="2"/>
      <c r="AC720" s="2"/>
    </row>
    <row r="721" spans="1:29" ht="13">
      <c r="A721" s="3"/>
      <c r="B721" s="2"/>
      <c r="C721" s="3"/>
      <c r="D721" s="3"/>
      <c r="E721" s="1"/>
      <c r="F721" s="1"/>
      <c r="G721" s="1"/>
      <c r="H721" s="2"/>
      <c r="I721" s="2"/>
      <c r="J721" s="2"/>
      <c r="K721" s="2"/>
      <c r="L721" s="2"/>
      <c r="M721" s="3"/>
      <c r="N721" s="3"/>
      <c r="O721" s="2"/>
      <c r="P721" s="2"/>
      <c r="Q721" s="2"/>
      <c r="R721" s="2"/>
      <c r="S721" s="2"/>
      <c r="T721" s="2"/>
      <c r="U721" s="2"/>
      <c r="V721" s="2"/>
      <c r="W721" s="2"/>
      <c r="X721" s="2"/>
      <c r="Y721" s="2"/>
      <c r="Z721" s="2"/>
      <c r="AA721" s="2"/>
      <c r="AB721" s="2"/>
      <c r="AC721" s="2"/>
    </row>
    <row r="722" spans="1:29" ht="13">
      <c r="A722" s="3"/>
      <c r="B722" s="2"/>
      <c r="C722" s="3"/>
      <c r="D722" s="3"/>
      <c r="E722" s="1"/>
      <c r="F722" s="1"/>
      <c r="G722" s="1"/>
      <c r="H722" s="2"/>
      <c r="I722" s="2"/>
      <c r="J722" s="2"/>
      <c r="K722" s="2"/>
      <c r="L722" s="2"/>
      <c r="M722" s="3"/>
      <c r="N722" s="3"/>
      <c r="O722" s="2"/>
      <c r="P722" s="2"/>
      <c r="Q722" s="2"/>
      <c r="R722" s="2"/>
      <c r="S722" s="2"/>
      <c r="T722" s="2"/>
      <c r="U722" s="2"/>
      <c r="V722" s="2"/>
      <c r="W722" s="2"/>
      <c r="X722" s="2"/>
      <c r="Y722" s="2"/>
      <c r="Z722" s="2"/>
      <c r="AA722" s="2"/>
      <c r="AB722" s="2"/>
      <c r="AC722" s="2"/>
    </row>
    <row r="723" spans="1:29" ht="13">
      <c r="A723" s="3"/>
      <c r="B723" s="2"/>
      <c r="C723" s="3"/>
      <c r="D723" s="3"/>
      <c r="E723" s="1"/>
      <c r="F723" s="1"/>
      <c r="G723" s="1"/>
      <c r="H723" s="2"/>
      <c r="I723" s="2"/>
      <c r="J723" s="2"/>
      <c r="K723" s="2"/>
      <c r="L723" s="2"/>
      <c r="M723" s="3"/>
      <c r="N723" s="3"/>
      <c r="O723" s="2"/>
      <c r="P723" s="2"/>
      <c r="Q723" s="2"/>
      <c r="R723" s="2"/>
      <c r="S723" s="2"/>
      <c r="T723" s="2"/>
      <c r="U723" s="2"/>
      <c r="V723" s="2"/>
      <c r="W723" s="2"/>
      <c r="X723" s="2"/>
      <c r="Y723" s="2"/>
      <c r="Z723" s="2"/>
      <c r="AA723" s="2"/>
      <c r="AB723" s="2"/>
      <c r="AC723" s="2"/>
    </row>
    <row r="724" spans="1:29" ht="13">
      <c r="A724" s="3"/>
      <c r="B724" s="2"/>
      <c r="C724" s="3"/>
      <c r="D724" s="3"/>
      <c r="E724" s="1"/>
      <c r="F724" s="1"/>
      <c r="G724" s="1"/>
      <c r="H724" s="2"/>
      <c r="I724" s="2"/>
      <c r="J724" s="2"/>
      <c r="K724" s="2"/>
      <c r="L724" s="2"/>
      <c r="M724" s="3"/>
      <c r="N724" s="3"/>
      <c r="O724" s="2"/>
      <c r="P724" s="2"/>
      <c r="Q724" s="2"/>
      <c r="R724" s="2"/>
      <c r="S724" s="2"/>
      <c r="T724" s="2"/>
      <c r="U724" s="2"/>
      <c r="V724" s="2"/>
      <c r="W724" s="2"/>
      <c r="X724" s="2"/>
      <c r="Y724" s="2"/>
      <c r="Z724" s="2"/>
      <c r="AA724" s="2"/>
      <c r="AB724" s="2"/>
      <c r="AC724" s="2"/>
    </row>
    <row r="725" spans="1:29" ht="13">
      <c r="A725" s="3"/>
      <c r="B725" s="2"/>
      <c r="C725" s="3"/>
      <c r="D725" s="3"/>
      <c r="E725" s="1"/>
      <c r="F725" s="1"/>
      <c r="G725" s="1"/>
      <c r="H725" s="2"/>
      <c r="I725" s="2"/>
      <c r="J725" s="2"/>
      <c r="K725" s="2"/>
      <c r="L725" s="2"/>
      <c r="M725" s="3"/>
      <c r="N725" s="3"/>
      <c r="O725" s="2"/>
      <c r="P725" s="2"/>
      <c r="Q725" s="2"/>
      <c r="R725" s="2"/>
      <c r="S725" s="2"/>
      <c r="T725" s="2"/>
      <c r="U725" s="2"/>
      <c r="V725" s="2"/>
      <c r="W725" s="2"/>
      <c r="X725" s="2"/>
      <c r="Y725" s="2"/>
      <c r="Z725" s="2"/>
      <c r="AA725" s="2"/>
      <c r="AB725" s="2"/>
      <c r="AC725" s="2"/>
    </row>
    <row r="726" spans="1:29" ht="13">
      <c r="A726" s="3"/>
      <c r="B726" s="2"/>
      <c r="C726" s="3"/>
      <c r="D726" s="3"/>
      <c r="E726" s="1"/>
      <c r="F726" s="1"/>
      <c r="G726" s="1"/>
      <c r="H726" s="2"/>
      <c r="I726" s="2"/>
      <c r="J726" s="2"/>
      <c r="K726" s="2"/>
      <c r="L726" s="2"/>
      <c r="M726" s="3"/>
      <c r="N726" s="3"/>
      <c r="O726" s="2"/>
      <c r="P726" s="2"/>
      <c r="Q726" s="2"/>
      <c r="R726" s="2"/>
      <c r="S726" s="2"/>
      <c r="T726" s="2"/>
      <c r="U726" s="2"/>
      <c r="V726" s="2"/>
      <c r="W726" s="2"/>
      <c r="X726" s="2"/>
      <c r="Y726" s="2"/>
      <c r="Z726" s="2"/>
      <c r="AA726" s="2"/>
      <c r="AB726" s="2"/>
      <c r="AC726" s="2"/>
    </row>
    <row r="727" spans="1:29" ht="13">
      <c r="A727" s="3"/>
      <c r="B727" s="2"/>
      <c r="C727" s="3"/>
      <c r="D727" s="3"/>
      <c r="E727" s="1"/>
      <c r="F727" s="1"/>
      <c r="G727" s="1"/>
      <c r="H727" s="2"/>
      <c r="I727" s="2"/>
      <c r="J727" s="2"/>
      <c r="K727" s="2"/>
      <c r="L727" s="2"/>
      <c r="M727" s="3"/>
      <c r="N727" s="3"/>
      <c r="O727" s="2"/>
      <c r="P727" s="2"/>
      <c r="Q727" s="2"/>
      <c r="R727" s="2"/>
      <c r="S727" s="2"/>
      <c r="T727" s="2"/>
      <c r="U727" s="2"/>
      <c r="V727" s="2"/>
      <c r="W727" s="2"/>
      <c r="X727" s="2"/>
      <c r="Y727" s="2"/>
      <c r="Z727" s="2"/>
      <c r="AA727" s="2"/>
      <c r="AB727" s="2"/>
      <c r="AC727" s="2"/>
    </row>
    <row r="728" spans="1:29" ht="13">
      <c r="A728" s="3"/>
      <c r="B728" s="2"/>
      <c r="C728" s="3"/>
      <c r="D728" s="3"/>
      <c r="E728" s="1"/>
      <c r="F728" s="1"/>
      <c r="G728" s="1"/>
      <c r="H728" s="2"/>
      <c r="I728" s="2"/>
      <c r="J728" s="2"/>
      <c r="K728" s="2"/>
      <c r="L728" s="2"/>
      <c r="M728" s="3"/>
      <c r="N728" s="3"/>
      <c r="O728" s="2"/>
      <c r="P728" s="2"/>
      <c r="Q728" s="2"/>
      <c r="R728" s="2"/>
      <c r="S728" s="2"/>
      <c r="T728" s="2"/>
      <c r="U728" s="2"/>
      <c r="V728" s="2"/>
      <c r="W728" s="2"/>
      <c r="X728" s="2"/>
      <c r="Y728" s="2"/>
      <c r="Z728" s="2"/>
      <c r="AA728" s="2"/>
      <c r="AB728" s="2"/>
      <c r="AC728" s="2"/>
    </row>
    <row r="729" spans="1:29" ht="13">
      <c r="A729" s="3"/>
      <c r="B729" s="2"/>
      <c r="C729" s="3"/>
      <c r="D729" s="3"/>
      <c r="E729" s="1"/>
      <c r="F729" s="1"/>
      <c r="G729" s="1"/>
      <c r="H729" s="2"/>
      <c r="I729" s="2"/>
      <c r="J729" s="2"/>
      <c r="K729" s="2"/>
      <c r="L729" s="2"/>
      <c r="M729" s="3"/>
      <c r="N729" s="3"/>
      <c r="O729" s="2"/>
      <c r="P729" s="2"/>
      <c r="Q729" s="2"/>
      <c r="R729" s="2"/>
      <c r="S729" s="2"/>
      <c r="T729" s="2"/>
      <c r="U729" s="2"/>
      <c r="V729" s="2"/>
      <c r="W729" s="2"/>
      <c r="X729" s="2"/>
      <c r="Y729" s="2"/>
      <c r="Z729" s="2"/>
      <c r="AA729" s="2"/>
      <c r="AB729" s="2"/>
      <c r="AC729" s="2"/>
    </row>
    <row r="730" spans="1:29" ht="13">
      <c r="A730" s="3"/>
      <c r="B730" s="2"/>
      <c r="C730" s="3"/>
      <c r="D730" s="3"/>
      <c r="E730" s="1"/>
      <c r="F730" s="1"/>
      <c r="G730" s="1"/>
      <c r="H730" s="2"/>
      <c r="I730" s="2"/>
      <c r="J730" s="2"/>
      <c r="K730" s="2"/>
      <c r="L730" s="2"/>
      <c r="M730" s="3"/>
      <c r="N730" s="3"/>
      <c r="O730" s="2"/>
      <c r="P730" s="2"/>
      <c r="Q730" s="2"/>
      <c r="R730" s="2"/>
      <c r="S730" s="2"/>
      <c r="T730" s="2"/>
      <c r="U730" s="2"/>
      <c r="V730" s="2"/>
      <c r="W730" s="2"/>
      <c r="X730" s="2"/>
      <c r="Y730" s="2"/>
      <c r="Z730" s="2"/>
      <c r="AA730" s="2"/>
      <c r="AB730" s="2"/>
      <c r="AC730" s="2"/>
    </row>
    <row r="731" spans="1:29" ht="13">
      <c r="A731" s="3"/>
      <c r="B731" s="2"/>
      <c r="C731" s="3"/>
      <c r="D731" s="3"/>
      <c r="E731" s="1"/>
      <c r="F731" s="1"/>
      <c r="G731" s="1"/>
      <c r="H731" s="2"/>
      <c r="I731" s="2"/>
      <c r="J731" s="2"/>
      <c r="K731" s="2"/>
      <c r="L731" s="2"/>
      <c r="M731" s="3"/>
      <c r="N731" s="3"/>
      <c r="O731" s="2"/>
      <c r="P731" s="2"/>
      <c r="Q731" s="2"/>
      <c r="R731" s="2"/>
      <c r="S731" s="2"/>
      <c r="T731" s="2"/>
      <c r="U731" s="2"/>
      <c r="V731" s="2"/>
      <c r="W731" s="2"/>
      <c r="X731" s="2"/>
      <c r="Y731" s="2"/>
      <c r="Z731" s="2"/>
      <c r="AA731" s="2"/>
      <c r="AB731" s="2"/>
      <c r="AC731" s="2"/>
    </row>
    <row r="732" spans="1:29" ht="13">
      <c r="A732" s="3"/>
      <c r="B732" s="2"/>
      <c r="C732" s="3"/>
      <c r="D732" s="3"/>
      <c r="E732" s="1"/>
      <c r="F732" s="1"/>
      <c r="G732" s="1"/>
      <c r="H732" s="2"/>
      <c r="I732" s="2"/>
      <c r="J732" s="2"/>
      <c r="K732" s="2"/>
      <c r="L732" s="2"/>
      <c r="M732" s="3"/>
      <c r="N732" s="3"/>
      <c r="O732" s="2"/>
      <c r="P732" s="2"/>
      <c r="Q732" s="2"/>
      <c r="R732" s="2"/>
      <c r="S732" s="2"/>
      <c r="T732" s="2"/>
      <c r="U732" s="2"/>
      <c r="V732" s="2"/>
      <c r="W732" s="2"/>
      <c r="X732" s="2"/>
      <c r="Y732" s="2"/>
      <c r="Z732" s="2"/>
      <c r="AA732" s="2"/>
      <c r="AB732" s="2"/>
      <c r="AC732" s="2"/>
    </row>
    <row r="733" spans="1:29" ht="13">
      <c r="A733" s="3"/>
      <c r="B733" s="2"/>
      <c r="C733" s="3"/>
      <c r="D733" s="3"/>
      <c r="E733" s="1"/>
      <c r="F733" s="1"/>
      <c r="G733" s="1"/>
      <c r="H733" s="2"/>
      <c r="I733" s="2"/>
      <c r="J733" s="2"/>
      <c r="K733" s="2"/>
      <c r="L733" s="2"/>
      <c r="M733" s="3"/>
      <c r="N733" s="3"/>
      <c r="O733" s="2"/>
      <c r="P733" s="2"/>
      <c r="Q733" s="2"/>
      <c r="R733" s="2"/>
      <c r="S733" s="2"/>
      <c r="T733" s="2"/>
      <c r="U733" s="2"/>
      <c r="V733" s="2"/>
      <c r="W733" s="2"/>
      <c r="X733" s="2"/>
      <c r="Y733" s="2"/>
      <c r="Z733" s="2"/>
      <c r="AA733" s="2"/>
      <c r="AB733" s="2"/>
      <c r="AC733" s="2"/>
    </row>
    <row r="734" spans="1:29" ht="13">
      <c r="A734" s="3"/>
      <c r="B734" s="2"/>
      <c r="C734" s="3"/>
      <c r="D734" s="3"/>
      <c r="E734" s="1"/>
      <c r="F734" s="1"/>
      <c r="G734" s="1"/>
      <c r="H734" s="2"/>
      <c r="I734" s="2"/>
      <c r="J734" s="2"/>
      <c r="K734" s="2"/>
      <c r="L734" s="2"/>
      <c r="M734" s="3"/>
      <c r="N734" s="3"/>
      <c r="O734" s="2"/>
      <c r="P734" s="2"/>
      <c r="Q734" s="2"/>
      <c r="R734" s="2"/>
      <c r="S734" s="2"/>
      <c r="T734" s="2"/>
      <c r="U734" s="2"/>
      <c r="V734" s="2"/>
      <c r="W734" s="2"/>
      <c r="X734" s="2"/>
      <c r="Y734" s="2"/>
      <c r="Z734" s="2"/>
      <c r="AA734" s="2"/>
      <c r="AB734" s="2"/>
      <c r="AC734" s="2"/>
    </row>
    <row r="735" spans="1:29" ht="13">
      <c r="A735" s="3"/>
      <c r="B735" s="2"/>
      <c r="C735" s="3"/>
      <c r="D735" s="3"/>
      <c r="E735" s="1"/>
      <c r="F735" s="1"/>
      <c r="G735" s="1"/>
      <c r="H735" s="2"/>
      <c r="I735" s="2"/>
      <c r="J735" s="2"/>
      <c r="K735" s="2"/>
      <c r="L735" s="2"/>
      <c r="M735" s="3"/>
      <c r="N735" s="3"/>
      <c r="O735" s="2"/>
      <c r="P735" s="2"/>
      <c r="Q735" s="2"/>
      <c r="R735" s="2"/>
      <c r="S735" s="2"/>
      <c r="T735" s="2"/>
      <c r="U735" s="2"/>
      <c r="V735" s="2"/>
      <c r="W735" s="2"/>
      <c r="X735" s="2"/>
      <c r="Y735" s="2"/>
      <c r="Z735" s="2"/>
      <c r="AA735" s="2"/>
      <c r="AB735" s="2"/>
      <c r="AC735" s="2"/>
    </row>
    <row r="736" spans="1:29" ht="13">
      <c r="A736" s="3"/>
      <c r="B736" s="2"/>
      <c r="C736" s="3"/>
      <c r="D736" s="3"/>
      <c r="E736" s="1"/>
      <c r="F736" s="1"/>
      <c r="G736" s="1"/>
      <c r="H736" s="2"/>
      <c r="I736" s="2"/>
      <c r="J736" s="2"/>
      <c r="K736" s="2"/>
      <c r="L736" s="2"/>
      <c r="M736" s="3"/>
      <c r="N736" s="3"/>
      <c r="O736" s="2"/>
      <c r="P736" s="2"/>
      <c r="Q736" s="2"/>
      <c r="R736" s="2"/>
      <c r="S736" s="2"/>
      <c r="T736" s="2"/>
      <c r="U736" s="2"/>
      <c r="V736" s="2"/>
      <c r="W736" s="2"/>
      <c r="X736" s="2"/>
      <c r="Y736" s="2"/>
      <c r="Z736" s="2"/>
      <c r="AA736" s="2"/>
      <c r="AB736" s="2"/>
      <c r="AC736" s="2"/>
    </row>
    <row r="737" spans="1:29" ht="13">
      <c r="A737" s="3"/>
      <c r="B737" s="2"/>
      <c r="C737" s="3"/>
      <c r="D737" s="3"/>
      <c r="E737" s="1"/>
      <c r="F737" s="1"/>
      <c r="G737" s="1"/>
      <c r="H737" s="2"/>
      <c r="I737" s="2"/>
      <c r="J737" s="2"/>
      <c r="K737" s="2"/>
      <c r="L737" s="2"/>
      <c r="M737" s="3"/>
      <c r="N737" s="3"/>
      <c r="O737" s="2"/>
      <c r="P737" s="2"/>
      <c r="Q737" s="2"/>
      <c r="R737" s="2"/>
      <c r="S737" s="2"/>
      <c r="T737" s="2"/>
      <c r="U737" s="2"/>
      <c r="V737" s="2"/>
      <c r="W737" s="2"/>
      <c r="X737" s="2"/>
      <c r="Y737" s="2"/>
      <c r="Z737" s="2"/>
      <c r="AA737" s="2"/>
      <c r="AB737" s="2"/>
      <c r="AC737" s="2"/>
    </row>
    <row r="738" spans="1:29" ht="13">
      <c r="A738" s="3"/>
      <c r="B738" s="2"/>
      <c r="C738" s="3"/>
      <c r="D738" s="3"/>
      <c r="E738" s="1"/>
      <c r="F738" s="1"/>
      <c r="G738" s="1"/>
      <c r="H738" s="2"/>
      <c r="I738" s="2"/>
      <c r="J738" s="2"/>
      <c r="K738" s="2"/>
      <c r="L738" s="2"/>
      <c r="M738" s="3"/>
      <c r="N738" s="3"/>
      <c r="O738" s="2"/>
      <c r="P738" s="2"/>
      <c r="Q738" s="2"/>
      <c r="R738" s="2"/>
      <c r="S738" s="2"/>
      <c r="T738" s="2"/>
      <c r="U738" s="2"/>
      <c r="V738" s="2"/>
      <c r="W738" s="2"/>
      <c r="X738" s="2"/>
      <c r="Y738" s="2"/>
      <c r="Z738" s="2"/>
      <c r="AA738" s="2"/>
      <c r="AB738" s="2"/>
      <c r="AC738" s="2"/>
    </row>
    <row r="739" spans="1:29" ht="13">
      <c r="A739" s="3"/>
      <c r="B739" s="2"/>
      <c r="C739" s="3"/>
      <c r="D739" s="3"/>
      <c r="E739" s="1"/>
      <c r="F739" s="1"/>
      <c r="G739" s="1"/>
      <c r="H739" s="2"/>
      <c r="I739" s="2"/>
      <c r="J739" s="2"/>
      <c r="K739" s="2"/>
      <c r="L739" s="2"/>
      <c r="M739" s="3"/>
      <c r="N739" s="3"/>
      <c r="O739" s="2"/>
      <c r="P739" s="2"/>
      <c r="Q739" s="2"/>
      <c r="R739" s="2"/>
      <c r="S739" s="2"/>
      <c r="T739" s="2"/>
      <c r="U739" s="2"/>
      <c r="V739" s="2"/>
      <c r="W739" s="2"/>
      <c r="X739" s="2"/>
      <c r="Y739" s="2"/>
      <c r="Z739" s="2"/>
      <c r="AA739" s="2"/>
      <c r="AB739" s="2"/>
      <c r="AC739" s="2"/>
    </row>
    <row r="740" spans="1:29" ht="13">
      <c r="A740" s="3"/>
      <c r="B740" s="2"/>
      <c r="C740" s="3"/>
      <c r="D740" s="3"/>
      <c r="E740" s="1"/>
      <c r="F740" s="1"/>
      <c r="G740" s="1"/>
      <c r="H740" s="2"/>
      <c r="I740" s="2"/>
      <c r="J740" s="2"/>
      <c r="K740" s="2"/>
      <c r="L740" s="2"/>
      <c r="M740" s="3"/>
      <c r="N740" s="3"/>
      <c r="O740" s="2"/>
      <c r="P740" s="2"/>
      <c r="Q740" s="2"/>
      <c r="R740" s="2"/>
      <c r="S740" s="2"/>
      <c r="T740" s="2"/>
      <c r="U740" s="2"/>
      <c r="V740" s="2"/>
      <c r="W740" s="2"/>
      <c r="X740" s="2"/>
      <c r="Y740" s="2"/>
      <c r="Z740" s="2"/>
      <c r="AA740" s="2"/>
      <c r="AB740" s="2"/>
      <c r="AC740" s="2"/>
    </row>
    <row r="741" spans="1:29" ht="13">
      <c r="A741" s="3"/>
      <c r="B741" s="2"/>
      <c r="C741" s="3"/>
      <c r="D741" s="3"/>
      <c r="E741" s="1"/>
      <c r="F741" s="1"/>
      <c r="G741" s="1"/>
      <c r="H741" s="2"/>
      <c r="I741" s="2"/>
      <c r="J741" s="2"/>
      <c r="K741" s="2"/>
      <c r="L741" s="2"/>
      <c r="M741" s="3"/>
      <c r="N741" s="3"/>
      <c r="O741" s="2"/>
      <c r="P741" s="2"/>
      <c r="Q741" s="2"/>
      <c r="R741" s="2"/>
      <c r="S741" s="2"/>
      <c r="T741" s="2"/>
      <c r="U741" s="2"/>
      <c r="V741" s="2"/>
      <c r="W741" s="2"/>
      <c r="X741" s="2"/>
      <c r="Y741" s="2"/>
      <c r="Z741" s="2"/>
      <c r="AA741" s="2"/>
      <c r="AB741" s="2"/>
      <c r="AC741" s="2"/>
    </row>
    <row r="742" spans="1:29" ht="13">
      <c r="A742" s="3"/>
      <c r="B742" s="2"/>
      <c r="C742" s="3"/>
      <c r="D742" s="3"/>
      <c r="E742" s="1"/>
      <c r="F742" s="1"/>
      <c r="G742" s="1"/>
      <c r="H742" s="2"/>
      <c r="I742" s="2"/>
      <c r="J742" s="2"/>
      <c r="K742" s="2"/>
      <c r="L742" s="2"/>
      <c r="M742" s="3"/>
      <c r="N742" s="3"/>
      <c r="O742" s="2"/>
      <c r="P742" s="2"/>
      <c r="Q742" s="2"/>
      <c r="R742" s="2"/>
      <c r="S742" s="2"/>
      <c r="T742" s="2"/>
      <c r="U742" s="2"/>
      <c r="V742" s="2"/>
      <c r="W742" s="2"/>
      <c r="X742" s="2"/>
      <c r="Y742" s="2"/>
      <c r="Z742" s="2"/>
      <c r="AA742" s="2"/>
      <c r="AB742" s="2"/>
      <c r="AC742" s="2"/>
    </row>
    <row r="743" spans="1:29" ht="13">
      <c r="A743" s="3"/>
      <c r="B743" s="2"/>
      <c r="C743" s="3"/>
      <c r="D743" s="3"/>
      <c r="E743" s="1"/>
      <c r="F743" s="1"/>
      <c r="G743" s="1"/>
      <c r="H743" s="2"/>
      <c r="I743" s="2"/>
      <c r="J743" s="2"/>
      <c r="K743" s="2"/>
      <c r="L743" s="2"/>
      <c r="M743" s="3"/>
      <c r="N743" s="3"/>
      <c r="O743" s="2"/>
      <c r="P743" s="2"/>
      <c r="Q743" s="2"/>
      <c r="R743" s="2"/>
      <c r="S743" s="2"/>
      <c r="T743" s="2"/>
      <c r="U743" s="2"/>
      <c r="V743" s="2"/>
      <c r="W743" s="2"/>
      <c r="X743" s="2"/>
      <c r="Y743" s="2"/>
      <c r="Z743" s="2"/>
      <c r="AA743" s="2"/>
      <c r="AB743" s="2"/>
      <c r="AC743" s="2"/>
    </row>
    <row r="744" spans="1:29" ht="13">
      <c r="A744" s="3"/>
      <c r="B744" s="2"/>
      <c r="C744" s="3"/>
      <c r="D744" s="3"/>
      <c r="E744" s="1"/>
      <c r="F744" s="1"/>
      <c r="G744" s="1"/>
      <c r="H744" s="2"/>
      <c r="I744" s="2"/>
      <c r="J744" s="2"/>
      <c r="K744" s="2"/>
      <c r="L744" s="2"/>
      <c r="M744" s="3"/>
      <c r="N744" s="3"/>
      <c r="O744" s="2"/>
      <c r="P744" s="2"/>
      <c r="Q744" s="2"/>
      <c r="R744" s="2"/>
      <c r="S744" s="2"/>
      <c r="T744" s="2"/>
      <c r="U744" s="2"/>
      <c r="V744" s="2"/>
      <c r="W744" s="2"/>
      <c r="X744" s="2"/>
      <c r="Y744" s="2"/>
      <c r="Z744" s="2"/>
      <c r="AA744" s="2"/>
      <c r="AB744" s="2"/>
      <c r="AC744" s="2"/>
    </row>
    <row r="745" spans="1:29" ht="13">
      <c r="A745" s="3"/>
      <c r="B745" s="2"/>
      <c r="C745" s="3"/>
      <c r="D745" s="3"/>
      <c r="E745" s="1"/>
      <c r="F745" s="1"/>
      <c r="G745" s="1"/>
      <c r="H745" s="2"/>
      <c r="I745" s="2"/>
      <c r="J745" s="2"/>
      <c r="K745" s="2"/>
      <c r="L745" s="2"/>
      <c r="M745" s="3"/>
      <c r="N745" s="3"/>
      <c r="O745" s="2"/>
      <c r="P745" s="2"/>
      <c r="Q745" s="2"/>
      <c r="R745" s="2"/>
      <c r="S745" s="2"/>
      <c r="T745" s="2"/>
      <c r="U745" s="2"/>
      <c r="V745" s="2"/>
      <c r="W745" s="2"/>
      <c r="X745" s="2"/>
      <c r="Y745" s="2"/>
      <c r="Z745" s="2"/>
      <c r="AA745" s="2"/>
      <c r="AB745" s="2"/>
      <c r="AC745" s="2"/>
    </row>
    <row r="746" spans="1:29" ht="13">
      <c r="A746" s="3"/>
      <c r="B746" s="2"/>
      <c r="C746" s="3"/>
      <c r="D746" s="3"/>
      <c r="E746" s="1"/>
      <c r="F746" s="1"/>
      <c r="G746" s="1"/>
      <c r="H746" s="2"/>
      <c r="I746" s="2"/>
      <c r="J746" s="2"/>
      <c r="K746" s="2"/>
      <c r="L746" s="2"/>
      <c r="M746" s="3"/>
      <c r="N746" s="3"/>
      <c r="O746" s="2"/>
      <c r="P746" s="2"/>
      <c r="Q746" s="2"/>
      <c r="R746" s="2"/>
      <c r="S746" s="2"/>
      <c r="T746" s="2"/>
      <c r="U746" s="2"/>
      <c r="V746" s="2"/>
      <c r="W746" s="2"/>
      <c r="X746" s="2"/>
      <c r="Y746" s="2"/>
      <c r="Z746" s="2"/>
      <c r="AA746" s="2"/>
      <c r="AB746" s="2"/>
      <c r="AC746" s="2"/>
    </row>
    <row r="747" spans="1:29" ht="13">
      <c r="A747" s="3"/>
      <c r="B747" s="2"/>
      <c r="C747" s="3"/>
      <c r="D747" s="3"/>
      <c r="E747" s="1"/>
      <c r="F747" s="1"/>
      <c r="G747" s="1"/>
      <c r="H747" s="2"/>
      <c r="I747" s="2"/>
      <c r="J747" s="2"/>
      <c r="K747" s="2"/>
      <c r="L747" s="2"/>
      <c r="M747" s="3"/>
      <c r="N747" s="3"/>
      <c r="O747" s="2"/>
      <c r="P747" s="2"/>
      <c r="Q747" s="2"/>
      <c r="R747" s="2"/>
      <c r="S747" s="2"/>
      <c r="T747" s="2"/>
      <c r="U747" s="2"/>
      <c r="V747" s="2"/>
      <c r="W747" s="2"/>
      <c r="X747" s="2"/>
      <c r="Y747" s="2"/>
      <c r="Z747" s="2"/>
      <c r="AA747" s="2"/>
      <c r="AB747" s="2"/>
      <c r="AC747" s="2"/>
    </row>
    <row r="748" spans="1:29" ht="13">
      <c r="A748" s="3"/>
      <c r="B748" s="2"/>
      <c r="C748" s="3"/>
      <c r="D748" s="3"/>
      <c r="E748" s="1"/>
      <c r="F748" s="1"/>
      <c r="G748" s="1"/>
      <c r="H748" s="2"/>
      <c r="I748" s="2"/>
      <c r="J748" s="2"/>
      <c r="K748" s="2"/>
      <c r="L748" s="2"/>
      <c r="M748" s="3"/>
      <c r="N748" s="3"/>
      <c r="O748" s="2"/>
      <c r="P748" s="2"/>
      <c r="Q748" s="2"/>
      <c r="R748" s="2"/>
      <c r="S748" s="2"/>
      <c r="T748" s="2"/>
      <c r="U748" s="2"/>
      <c r="V748" s="2"/>
      <c r="W748" s="2"/>
      <c r="X748" s="2"/>
      <c r="Y748" s="2"/>
      <c r="Z748" s="2"/>
      <c r="AA748" s="2"/>
      <c r="AB748" s="2"/>
      <c r="AC748" s="2"/>
    </row>
    <row r="749" spans="1:29" ht="13">
      <c r="A749" s="3"/>
      <c r="B749" s="2"/>
      <c r="C749" s="3"/>
      <c r="D749" s="3"/>
      <c r="E749" s="1"/>
      <c r="F749" s="1"/>
      <c r="G749" s="1"/>
      <c r="H749" s="2"/>
      <c r="I749" s="2"/>
      <c r="J749" s="2"/>
      <c r="K749" s="2"/>
      <c r="L749" s="2"/>
      <c r="M749" s="3"/>
      <c r="N749" s="3"/>
      <c r="O749" s="2"/>
      <c r="P749" s="2"/>
      <c r="Q749" s="2"/>
      <c r="R749" s="2"/>
      <c r="S749" s="2"/>
      <c r="T749" s="2"/>
      <c r="U749" s="2"/>
      <c r="V749" s="2"/>
      <c r="W749" s="2"/>
      <c r="X749" s="2"/>
      <c r="Y749" s="2"/>
      <c r="Z749" s="2"/>
      <c r="AA749" s="2"/>
      <c r="AB749" s="2"/>
      <c r="AC749" s="2"/>
    </row>
    <row r="750" spans="1:29" ht="13">
      <c r="A750" s="3"/>
      <c r="B750" s="2"/>
      <c r="C750" s="3"/>
      <c r="D750" s="3"/>
      <c r="E750" s="1"/>
      <c r="F750" s="1"/>
      <c r="G750" s="1"/>
      <c r="H750" s="2"/>
      <c r="I750" s="2"/>
      <c r="J750" s="2"/>
      <c r="K750" s="2"/>
      <c r="L750" s="2"/>
      <c r="M750" s="3"/>
      <c r="N750" s="3"/>
      <c r="O750" s="2"/>
      <c r="P750" s="2"/>
      <c r="Q750" s="2"/>
      <c r="R750" s="2"/>
      <c r="S750" s="2"/>
      <c r="T750" s="2"/>
      <c r="U750" s="2"/>
      <c r="V750" s="2"/>
      <c r="W750" s="2"/>
      <c r="X750" s="2"/>
      <c r="Y750" s="2"/>
      <c r="Z750" s="2"/>
      <c r="AA750" s="2"/>
      <c r="AB750" s="2"/>
      <c r="AC750" s="2"/>
    </row>
    <row r="751" spans="1:29" ht="13">
      <c r="A751" s="3"/>
      <c r="B751" s="2"/>
      <c r="C751" s="3"/>
      <c r="D751" s="3"/>
      <c r="E751" s="1"/>
      <c r="F751" s="1"/>
      <c r="G751" s="1"/>
      <c r="H751" s="2"/>
      <c r="I751" s="2"/>
      <c r="J751" s="2"/>
      <c r="K751" s="2"/>
      <c r="L751" s="2"/>
      <c r="M751" s="3"/>
      <c r="N751" s="3"/>
      <c r="O751" s="2"/>
      <c r="P751" s="2"/>
      <c r="Q751" s="2"/>
      <c r="R751" s="2"/>
      <c r="S751" s="2"/>
      <c r="T751" s="2"/>
      <c r="U751" s="2"/>
      <c r="V751" s="2"/>
      <c r="W751" s="2"/>
      <c r="X751" s="2"/>
      <c r="Y751" s="2"/>
      <c r="Z751" s="2"/>
      <c r="AA751" s="2"/>
      <c r="AB751" s="2"/>
      <c r="AC751" s="2"/>
    </row>
    <row r="752" spans="1:29" ht="13">
      <c r="A752" s="3"/>
      <c r="B752" s="2"/>
      <c r="C752" s="3"/>
      <c r="D752" s="3"/>
      <c r="E752" s="1"/>
      <c r="F752" s="1"/>
      <c r="G752" s="1"/>
      <c r="H752" s="2"/>
      <c r="I752" s="2"/>
      <c r="J752" s="2"/>
      <c r="K752" s="2"/>
      <c r="L752" s="2"/>
      <c r="M752" s="3"/>
      <c r="N752" s="3"/>
      <c r="O752" s="2"/>
      <c r="P752" s="2"/>
      <c r="Q752" s="2"/>
      <c r="R752" s="2"/>
      <c r="S752" s="2"/>
      <c r="T752" s="2"/>
      <c r="U752" s="2"/>
      <c r="V752" s="2"/>
      <c r="W752" s="2"/>
      <c r="X752" s="2"/>
      <c r="Y752" s="2"/>
      <c r="Z752" s="2"/>
      <c r="AA752" s="2"/>
      <c r="AB752" s="2"/>
      <c r="AC752" s="2"/>
    </row>
    <row r="753" spans="1:29" ht="13">
      <c r="A753" s="3"/>
      <c r="B753" s="2"/>
      <c r="C753" s="3"/>
      <c r="D753" s="3"/>
      <c r="E753" s="1"/>
      <c r="F753" s="1"/>
      <c r="G753" s="1"/>
      <c r="H753" s="2"/>
      <c r="I753" s="2"/>
      <c r="J753" s="2"/>
      <c r="K753" s="2"/>
      <c r="L753" s="2"/>
      <c r="M753" s="3"/>
      <c r="N753" s="3"/>
      <c r="O753" s="2"/>
      <c r="P753" s="2"/>
      <c r="Q753" s="2"/>
      <c r="R753" s="2"/>
      <c r="S753" s="2"/>
      <c r="T753" s="2"/>
      <c r="U753" s="2"/>
      <c r="V753" s="2"/>
      <c r="W753" s="2"/>
      <c r="X753" s="2"/>
      <c r="Y753" s="2"/>
      <c r="Z753" s="2"/>
      <c r="AA753" s="2"/>
      <c r="AB753" s="2"/>
      <c r="AC753" s="2"/>
    </row>
    <row r="754" spans="1:29" ht="13">
      <c r="A754" s="3"/>
      <c r="B754" s="2"/>
      <c r="C754" s="3"/>
      <c r="D754" s="3"/>
      <c r="E754" s="1"/>
      <c r="F754" s="1"/>
      <c r="G754" s="1"/>
      <c r="H754" s="2"/>
      <c r="I754" s="2"/>
      <c r="J754" s="2"/>
      <c r="K754" s="2"/>
      <c r="L754" s="2"/>
      <c r="M754" s="3"/>
      <c r="N754" s="3"/>
      <c r="O754" s="2"/>
      <c r="P754" s="2"/>
      <c r="Q754" s="2"/>
      <c r="R754" s="2"/>
      <c r="S754" s="2"/>
      <c r="T754" s="2"/>
      <c r="U754" s="2"/>
      <c r="V754" s="2"/>
      <c r="W754" s="2"/>
      <c r="X754" s="2"/>
      <c r="Y754" s="2"/>
      <c r="Z754" s="2"/>
      <c r="AA754" s="2"/>
      <c r="AB754" s="2"/>
      <c r="AC754" s="2"/>
    </row>
    <row r="755" spans="1:29" ht="13">
      <c r="A755" s="3"/>
      <c r="B755" s="2"/>
      <c r="C755" s="3"/>
      <c r="D755" s="3"/>
      <c r="E755" s="1"/>
      <c r="F755" s="1"/>
      <c r="G755" s="1"/>
      <c r="H755" s="2"/>
      <c r="I755" s="2"/>
      <c r="J755" s="2"/>
      <c r="K755" s="2"/>
      <c r="L755" s="2"/>
      <c r="M755" s="3"/>
      <c r="N755" s="3"/>
      <c r="O755" s="2"/>
      <c r="P755" s="2"/>
      <c r="Q755" s="2"/>
      <c r="R755" s="2"/>
      <c r="S755" s="2"/>
      <c r="T755" s="2"/>
      <c r="U755" s="2"/>
      <c r="V755" s="2"/>
      <c r="W755" s="2"/>
      <c r="X755" s="2"/>
      <c r="Y755" s="2"/>
      <c r="Z755" s="2"/>
      <c r="AA755" s="2"/>
      <c r="AB755" s="2"/>
      <c r="AC755" s="2"/>
    </row>
    <row r="756" spans="1:29" ht="13">
      <c r="A756" s="3"/>
      <c r="B756" s="2"/>
      <c r="C756" s="3"/>
      <c r="D756" s="3"/>
      <c r="E756" s="1"/>
      <c r="F756" s="1"/>
      <c r="G756" s="1"/>
      <c r="H756" s="2"/>
      <c r="I756" s="2"/>
      <c r="J756" s="2"/>
      <c r="K756" s="2"/>
      <c r="L756" s="2"/>
      <c r="M756" s="3"/>
      <c r="N756" s="3"/>
      <c r="O756" s="2"/>
      <c r="P756" s="2"/>
      <c r="Q756" s="2"/>
      <c r="R756" s="2"/>
      <c r="S756" s="2"/>
      <c r="T756" s="2"/>
      <c r="U756" s="2"/>
      <c r="V756" s="2"/>
      <c r="W756" s="2"/>
      <c r="X756" s="2"/>
      <c r="Y756" s="2"/>
      <c r="Z756" s="2"/>
      <c r="AA756" s="2"/>
      <c r="AB756" s="2"/>
      <c r="AC756" s="2"/>
    </row>
    <row r="757" spans="1:29" ht="13">
      <c r="A757" s="3"/>
      <c r="B757" s="2"/>
      <c r="C757" s="3"/>
      <c r="D757" s="3"/>
      <c r="E757" s="1"/>
      <c r="F757" s="1"/>
      <c r="G757" s="1"/>
      <c r="H757" s="2"/>
      <c r="I757" s="2"/>
      <c r="J757" s="2"/>
      <c r="K757" s="2"/>
      <c r="L757" s="2"/>
      <c r="M757" s="3"/>
      <c r="N757" s="3"/>
      <c r="O757" s="2"/>
      <c r="P757" s="2"/>
      <c r="Q757" s="2"/>
      <c r="R757" s="2"/>
      <c r="S757" s="2"/>
      <c r="T757" s="2"/>
      <c r="U757" s="2"/>
      <c r="V757" s="2"/>
      <c r="W757" s="2"/>
      <c r="X757" s="2"/>
      <c r="Y757" s="2"/>
      <c r="Z757" s="2"/>
      <c r="AA757" s="2"/>
      <c r="AB757" s="2"/>
      <c r="AC757" s="2"/>
    </row>
    <row r="758" spans="1:29" ht="13">
      <c r="A758" s="3"/>
      <c r="B758" s="2"/>
      <c r="C758" s="3"/>
      <c r="D758" s="3"/>
      <c r="E758" s="1"/>
      <c r="F758" s="1"/>
      <c r="G758" s="1"/>
      <c r="H758" s="2"/>
      <c r="I758" s="2"/>
      <c r="J758" s="2"/>
      <c r="K758" s="2"/>
      <c r="L758" s="2"/>
      <c r="M758" s="3"/>
      <c r="N758" s="3"/>
      <c r="O758" s="2"/>
      <c r="P758" s="2"/>
      <c r="Q758" s="2"/>
      <c r="R758" s="2"/>
      <c r="S758" s="2"/>
      <c r="T758" s="2"/>
      <c r="U758" s="2"/>
      <c r="V758" s="2"/>
      <c r="W758" s="2"/>
      <c r="X758" s="2"/>
      <c r="Y758" s="2"/>
      <c r="Z758" s="2"/>
      <c r="AA758" s="2"/>
      <c r="AB758" s="2"/>
      <c r="AC758" s="2"/>
    </row>
    <row r="759" spans="1:29" ht="13">
      <c r="A759" s="3"/>
      <c r="B759" s="2"/>
      <c r="C759" s="3"/>
      <c r="D759" s="3"/>
      <c r="E759" s="1"/>
      <c r="F759" s="1"/>
      <c r="G759" s="1"/>
      <c r="H759" s="2"/>
      <c r="I759" s="2"/>
      <c r="J759" s="2"/>
      <c r="K759" s="2"/>
      <c r="L759" s="2"/>
      <c r="M759" s="3"/>
      <c r="N759" s="3"/>
      <c r="O759" s="2"/>
      <c r="P759" s="2"/>
      <c r="Q759" s="2"/>
      <c r="R759" s="2"/>
      <c r="S759" s="2"/>
      <c r="T759" s="2"/>
      <c r="U759" s="2"/>
      <c r="V759" s="2"/>
      <c r="W759" s="2"/>
      <c r="X759" s="2"/>
      <c r="Y759" s="2"/>
      <c r="Z759" s="2"/>
      <c r="AA759" s="2"/>
      <c r="AB759" s="2"/>
      <c r="AC759" s="2"/>
    </row>
    <row r="760" spans="1:29" ht="13">
      <c r="A760" s="3"/>
      <c r="B760" s="2"/>
      <c r="C760" s="3"/>
      <c r="D760" s="3"/>
      <c r="E760" s="1"/>
      <c r="F760" s="1"/>
      <c r="G760" s="1"/>
      <c r="H760" s="2"/>
      <c r="I760" s="2"/>
      <c r="J760" s="2"/>
      <c r="K760" s="2"/>
      <c r="L760" s="2"/>
      <c r="M760" s="3"/>
      <c r="N760" s="3"/>
      <c r="O760" s="2"/>
      <c r="P760" s="2"/>
      <c r="Q760" s="2"/>
      <c r="R760" s="2"/>
      <c r="S760" s="2"/>
      <c r="T760" s="2"/>
      <c r="U760" s="2"/>
      <c r="V760" s="2"/>
      <c r="W760" s="2"/>
      <c r="X760" s="2"/>
      <c r="Y760" s="2"/>
      <c r="Z760" s="2"/>
      <c r="AA760" s="2"/>
      <c r="AB760" s="2"/>
      <c r="AC760" s="2"/>
    </row>
    <row r="761" spans="1:29" ht="13">
      <c r="A761" s="3"/>
      <c r="B761" s="2"/>
      <c r="C761" s="3"/>
      <c r="D761" s="3"/>
      <c r="E761" s="1"/>
      <c r="F761" s="1"/>
      <c r="G761" s="1"/>
      <c r="H761" s="2"/>
      <c r="I761" s="2"/>
      <c r="J761" s="2"/>
      <c r="K761" s="2"/>
      <c r="L761" s="2"/>
      <c r="M761" s="3"/>
      <c r="N761" s="3"/>
      <c r="O761" s="2"/>
      <c r="P761" s="2"/>
      <c r="Q761" s="2"/>
      <c r="R761" s="2"/>
      <c r="S761" s="2"/>
      <c r="T761" s="2"/>
      <c r="U761" s="2"/>
      <c r="V761" s="2"/>
      <c r="W761" s="2"/>
      <c r="X761" s="2"/>
      <c r="Y761" s="2"/>
      <c r="Z761" s="2"/>
      <c r="AA761" s="2"/>
      <c r="AB761" s="2"/>
      <c r="AC761" s="2"/>
    </row>
    <row r="762" spans="1:29" ht="13">
      <c r="A762" s="3"/>
      <c r="B762" s="2"/>
      <c r="C762" s="3"/>
      <c r="D762" s="3"/>
      <c r="E762" s="1"/>
      <c r="F762" s="1"/>
      <c r="G762" s="1"/>
      <c r="H762" s="2"/>
      <c r="I762" s="2"/>
      <c r="J762" s="2"/>
      <c r="K762" s="2"/>
      <c r="L762" s="2"/>
      <c r="M762" s="3"/>
      <c r="N762" s="3"/>
      <c r="O762" s="2"/>
      <c r="P762" s="2"/>
      <c r="Q762" s="2"/>
      <c r="R762" s="2"/>
      <c r="S762" s="2"/>
      <c r="T762" s="2"/>
      <c r="U762" s="2"/>
      <c r="V762" s="2"/>
      <c r="W762" s="2"/>
      <c r="X762" s="2"/>
      <c r="Y762" s="2"/>
      <c r="Z762" s="2"/>
      <c r="AA762" s="2"/>
      <c r="AB762" s="2"/>
      <c r="AC762" s="2"/>
    </row>
    <row r="763" spans="1:29" ht="13">
      <c r="A763" s="3"/>
      <c r="B763" s="2"/>
      <c r="C763" s="3"/>
      <c r="D763" s="3"/>
      <c r="E763" s="1"/>
      <c r="F763" s="1"/>
      <c r="G763" s="1"/>
      <c r="H763" s="2"/>
      <c r="I763" s="2"/>
      <c r="J763" s="2"/>
      <c r="K763" s="2"/>
      <c r="L763" s="2"/>
      <c r="M763" s="3"/>
      <c r="N763" s="3"/>
      <c r="O763" s="2"/>
      <c r="P763" s="2"/>
      <c r="Q763" s="2"/>
      <c r="R763" s="2"/>
      <c r="S763" s="2"/>
      <c r="T763" s="2"/>
      <c r="U763" s="2"/>
      <c r="V763" s="2"/>
      <c r="W763" s="2"/>
      <c r="X763" s="2"/>
      <c r="Y763" s="2"/>
      <c r="Z763" s="2"/>
      <c r="AA763" s="2"/>
      <c r="AB763" s="2"/>
      <c r="AC763" s="2"/>
    </row>
    <row r="764" spans="1:29" ht="13">
      <c r="A764" s="3"/>
      <c r="B764" s="2"/>
      <c r="C764" s="3"/>
      <c r="D764" s="3"/>
      <c r="E764" s="1"/>
      <c r="F764" s="1"/>
      <c r="G764" s="1"/>
      <c r="H764" s="2"/>
      <c r="I764" s="2"/>
      <c r="J764" s="2"/>
      <c r="K764" s="2"/>
      <c r="L764" s="2"/>
      <c r="M764" s="3"/>
      <c r="N764" s="3"/>
      <c r="O764" s="2"/>
      <c r="P764" s="2"/>
      <c r="Q764" s="2"/>
      <c r="R764" s="2"/>
      <c r="S764" s="2"/>
      <c r="T764" s="2"/>
      <c r="U764" s="2"/>
      <c r="V764" s="2"/>
      <c r="W764" s="2"/>
      <c r="X764" s="2"/>
      <c r="Y764" s="2"/>
      <c r="Z764" s="2"/>
      <c r="AA764" s="2"/>
      <c r="AB764" s="2"/>
      <c r="AC764" s="2"/>
    </row>
    <row r="765" spans="1:29" ht="13">
      <c r="A765" s="3"/>
      <c r="B765" s="2"/>
      <c r="C765" s="3"/>
      <c r="D765" s="3"/>
      <c r="E765" s="1"/>
      <c r="F765" s="1"/>
      <c r="G765" s="1"/>
      <c r="H765" s="2"/>
      <c r="I765" s="2"/>
      <c r="J765" s="2"/>
      <c r="K765" s="2"/>
      <c r="L765" s="2"/>
      <c r="M765" s="3"/>
      <c r="N765" s="3"/>
      <c r="O765" s="2"/>
      <c r="P765" s="2"/>
      <c r="Q765" s="2"/>
      <c r="R765" s="2"/>
      <c r="S765" s="2"/>
      <c r="T765" s="2"/>
      <c r="U765" s="2"/>
      <c r="V765" s="2"/>
      <c r="W765" s="2"/>
      <c r="X765" s="2"/>
      <c r="Y765" s="2"/>
      <c r="Z765" s="2"/>
      <c r="AA765" s="2"/>
      <c r="AB765" s="2"/>
      <c r="AC765" s="2"/>
    </row>
    <row r="766" spans="1:29" ht="13">
      <c r="A766" s="3"/>
      <c r="B766" s="2"/>
      <c r="C766" s="3"/>
      <c r="D766" s="3"/>
      <c r="E766" s="1"/>
      <c r="F766" s="1"/>
      <c r="G766" s="1"/>
      <c r="H766" s="2"/>
      <c r="I766" s="2"/>
      <c r="J766" s="2"/>
      <c r="K766" s="2"/>
      <c r="L766" s="2"/>
      <c r="M766" s="3"/>
      <c r="N766" s="3"/>
      <c r="O766" s="2"/>
      <c r="P766" s="2"/>
      <c r="Q766" s="2"/>
      <c r="R766" s="2"/>
      <c r="S766" s="2"/>
      <c r="T766" s="2"/>
      <c r="U766" s="2"/>
      <c r="V766" s="2"/>
      <c r="W766" s="2"/>
      <c r="X766" s="2"/>
      <c r="Y766" s="2"/>
      <c r="Z766" s="2"/>
      <c r="AA766" s="2"/>
      <c r="AB766" s="2"/>
      <c r="AC766" s="2"/>
    </row>
    <row r="767" spans="1:29" ht="13">
      <c r="A767" s="3"/>
      <c r="B767" s="2"/>
      <c r="C767" s="3"/>
      <c r="D767" s="3"/>
      <c r="E767" s="1"/>
      <c r="F767" s="1"/>
      <c r="G767" s="1"/>
      <c r="H767" s="2"/>
      <c r="I767" s="2"/>
      <c r="J767" s="2"/>
      <c r="K767" s="2"/>
      <c r="L767" s="2"/>
      <c r="M767" s="3"/>
      <c r="N767" s="3"/>
      <c r="O767" s="2"/>
      <c r="P767" s="2"/>
      <c r="Q767" s="2"/>
      <c r="R767" s="2"/>
      <c r="S767" s="2"/>
      <c r="T767" s="2"/>
      <c r="U767" s="2"/>
      <c r="V767" s="2"/>
      <c r="W767" s="2"/>
      <c r="X767" s="2"/>
      <c r="Y767" s="2"/>
      <c r="Z767" s="2"/>
      <c r="AA767" s="2"/>
      <c r="AB767" s="2"/>
      <c r="AC767" s="2"/>
    </row>
    <row r="768" spans="1:29" ht="13">
      <c r="A768" s="3"/>
      <c r="B768" s="2"/>
      <c r="C768" s="3"/>
      <c r="D768" s="3"/>
      <c r="E768" s="1"/>
      <c r="F768" s="1"/>
      <c r="G768" s="1"/>
      <c r="H768" s="2"/>
      <c r="I768" s="2"/>
      <c r="J768" s="2"/>
      <c r="K768" s="2"/>
      <c r="L768" s="2"/>
      <c r="M768" s="3"/>
      <c r="N768" s="3"/>
      <c r="O768" s="2"/>
      <c r="P768" s="2"/>
      <c r="Q768" s="2"/>
      <c r="R768" s="2"/>
      <c r="S768" s="2"/>
      <c r="T768" s="2"/>
      <c r="U768" s="2"/>
      <c r="V768" s="2"/>
      <c r="W768" s="2"/>
      <c r="X768" s="2"/>
      <c r="Y768" s="2"/>
      <c r="Z768" s="2"/>
      <c r="AA768" s="2"/>
      <c r="AB768" s="2"/>
      <c r="AC768" s="2"/>
    </row>
    <row r="769" spans="1:29" ht="13">
      <c r="A769" s="3"/>
      <c r="B769" s="2"/>
      <c r="C769" s="3"/>
      <c r="D769" s="3"/>
      <c r="E769" s="1"/>
      <c r="F769" s="1"/>
      <c r="G769" s="1"/>
      <c r="H769" s="2"/>
      <c r="I769" s="2"/>
      <c r="J769" s="2"/>
      <c r="K769" s="2"/>
      <c r="L769" s="2"/>
      <c r="M769" s="3"/>
      <c r="N769" s="3"/>
      <c r="O769" s="2"/>
      <c r="P769" s="2"/>
      <c r="Q769" s="2"/>
      <c r="R769" s="2"/>
      <c r="S769" s="2"/>
      <c r="T769" s="2"/>
      <c r="U769" s="2"/>
      <c r="V769" s="2"/>
      <c r="W769" s="2"/>
      <c r="X769" s="2"/>
      <c r="Y769" s="2"/>
      <c r="Z769" s="2"/>
      <c r="AA769" s="2"/>
      <c r="AB769" s="2"/>
      <c r="AC769" s="2"/>
    </row>
    <row r="770" spans="1:29" ht="13">
      <c r="A770" s="3"/>
      <c r="B770" s="2"/>
      <c r="C770" s="3"/>
      <c r="D770" s="3"/>
      <c r="E770" s="1"/>
      <c r="F770" s="1"/>
      <c r="G770" s="1"/>
      <c r="H770" s="2"/>
      <c r="I770" s="2"/>
      <c r="J770" s="2"/>
      <c r="K770" s="2"/>
      <c r="L770" s="2"/>
      <c r="M770" s="3"/>
      <c r="N770" s="3"/>
      <c r="O770" s="2"/>
      <c r="P770" s="2"/>
      <c r="Q770" s="2"/>
      <c r="R770" s="2"/>
      <c r="S770" s="2"/>
      <c r="T770" s="2"/>
      <c r="U770" s="2"/>
      <c r="V770" s="2"/>
      <c r="W770" s="2"/>
      <c r="X770" s="2"/>
      <c r="Y770" s="2"/>
      <c r="Z770" s="2"/>
      <c r="AA770" s="2"/>
      <c r="AB770" s="2"/>
      <c r="AC770" s="2"/>
    </row>
    <row r="771" spans="1:29" ht="13">
      <c r="A771" s="3"/>
      <c r="B771" s="2"/>
      <c r="C771" s="3"/>
      <c r="D771" s="3"/>
      <c r="E771" s="1"/>
      <c r="F771" s="1"/>
      <c r="G771" s="1"/>
      <c r="H771" s="2"/>
      <c r="I771" s="2"/>
      <c r="J771" s="2"/>
      <c r="K771" s="2"/>
      <c r="L771" s="2"/>
      <c r="M771" s="3"/>
      <c r="N771" s="3"/>
      <c r="O771" s="2"/>
      <c r="P771" s="2"/>
      <c r="Q771" s="2"/>
      <c r="R771" s="2"/>
      <c r="S771" s="2"/>
      <c r="T771" s="2"/>
      <c r="U771" s="2"/>
      <c r="V771" s="2"/>
      <c r="W771" s="2"/>
      <c r="X771" s="2"/>
      <c r="Y771" s="2"/>
      <c r="Z771" s="2"/>
      <c r="AA771" s="2"/>
      <c r="AB771" s="2"/>
      <c r="AC771" s="2"/>
    </row>
    <row r="772" spans="1:29" ht="13">
      <c r="A772" s="3"/>
      <c r="B772" s="2"/>
      <c r="C772" s="3"/>
      <c r="D772" s="3"/>
      <c r="E772" s="1"/>
      <c r="F772" s="1"/>
      <c r="G772" s="1"/>
      <c r="H772" s="2"/>
      <c r="I772" s="2"/>
      <c r="J772" s="2"/>
      <c r="K772" s="2"/>
      <c r="L772" s="2"/>
      <c r="M772" s="3"/>
      <c r="N772" s="3"/>
      <c r="O772" s="2"/>
      <c r="P772" s="2"/>
      <c r="Q772" s="2"/>
      <c r="R772" s="2"/>
      <c r="S772" s="2"/>
      <c r="T772" s="2"/>
      <c r="U772" s="2"/>
      <c r="V772" s="2"/>
      <c r="W772" s="2"/>
      <c r="X772" s="2"/>
      <c r="Y772" s="2"/>
      <c r="Z772" s="2"/>
      <c r="AA772" s="2"/>
      <c r="AB772" s="2"/>
      <c r="AC772" s="2"/>
    </row>
    <row r="773" spans="1:29" ht="13">
      <c r="A773" s="3"/>
      <c r="B773" s="2"/>
      <c r="C773" s="3"/>
      <c r="D773" s="3"/>
      <c r="E773" s="1"/>
      <c r="F773" s="1"/>
      <c r="G773" s="1"/>
      <c r="H773" s="2"/>
      <c r="I773" s="2"/>
      <c r="J773" s="2"/>
      <c r="K773" s="2"/>
      <c r="L773" s="2"/>
      <c r="M773" s="3"/>
      <c r="N773" s="3"/>
      <c r="O773" s="2"/>
      <c r="P773" s="2"/>
      <c r="Q773" s="2"/>
      <c r="R773" s="2"/>
      <c r="S773" s="2"/>
      <c r="T773" s="2"/>
      <c r="U773" s="2"/>
      <c r="V773" s="2"/>
      <c r="W773" s="2"/>
      <c r="X773" s="2"/>
      <c r="Y773" s="2"/>
      <c r="Z773" s="2"/>
      <c r="AA773" s="2"/>
      <c r="AB773" s="2"/>
      <c r="AC773" s="2"/>
    </row>
    <row r="774" spans="1:29" ht="13">
      <c r="A774" s="3"/>
      <c r="B774" s="2"/>
      <c r="C774" s="3"/>
      <c r="D774" s="3"/>
      <c r="E774" s="1"/>
      <c r="F774" s="1"/>
      <c r="G774" s="1"/>
      <c r="H774" s="2"/>
      <c r="I774" s="2"/>
      <c r="J774" s="2"/>
      <c r="K774" s="2"/>
      <c r="L774" s="2"/>
      <c r="M774" s="3"/>
      <c r="N774" s="3"/>
      <c r="O774" s="2"/>
      <c r="P774" s="2"/>
      <c r="Q774" s="2"/>
      <c r="R774" s="2"/>
      <c r="S774" s="2"/>
      <c r="T774" s="2"/>
      <c r="U774" s="2"/>
      <c r="V774" s="2"/>
      <c r="W774" s="2"/>
      <c r="X774" s="2"/>
      <c r="Y774" s="2"/>
      <c r="Z774" s="2"/>
      <c r="AA774" s="2"/>
      <c r="AB774" s="2"/>
      <c r="AC774" s="2"/>
    </row>
    <row r="775" spans="1:29" ht="13">
      <c r="A775" s="3"/>
      <c r="B775" s="2"/>
      <c r="C775" s="3"/>
      <c r="D775" s="3"/>
      <c r="E775" s="1"/>
      <c r="F775" s="1"/>
      <c r="G775" s="1"/>
      <c r="H775" s="2"/>
      <c r="I775" s="2"/>
      <c r="J775" s="2"/>
      <c r="K775" s="2"/>
      <c r="L775" s="2"/>
      <c r="M775" s="3"/>
      <c r="N775" s="3"/>
      <c r="O775" s="2"/>
      <c r="P775" s="2"/>
      <c r="Q775" s="2"/>
      <c r="R775" s="2"/>
      <c r="S775" s="2"/>
      <c r="T775" s="2"/>
      <c r="U775" s="2"/>
      <c r="V775" s="2"/>
      <c r="W775" s="2"/>
      <c r="X775" s="2"/>
      <c r="Y775" s="2"/>
      <c r="Z775" s="2"/>
      <c r="AA775" s="2"/>
      <c r="AB775" s="2"/>
      <c r="AC775" s="2"/>
    </row>
    <row r="776" spans="1:29" ht="13">
      <c r="A776" s="3"/>
      <c r="B776" s="2"/>
      <c r="C776" s="3"/>
      <c r="D776" s="3"/>
      <c r="E776" s="1"/>
      <c r="F776" s="1"/>
      <c r="G776" s="1"/>
      <c r="H776" s="2"/>
      <c r="I776" s="2"/>
      <c r="J776" s="2"/>
      <c r="K776" s="2"/>
      <c r="L776" s="2"/>
      <c r="M776" s="3"/>
      <c r="N776" s="3"/>
      <c r="O776" s="2"/>
      <c r="P776" s="2"/>
      <c r="Q776" s="2"/>
      <c r="R776" s="2"/>
      <c r="S776" s="2"/>
      <c r="T776" s="2"/>
      <c r="U776" s="2"/>
      <c r="V776" s="2"/>
      <c r="W776" s="2"/>
      <c r="X776" s="2"/>
      <c r="Y776" s="2"/>
      <c r="Z776" s="2"/>
      <c r="AA776" s="2"/>
      <c r="AB776" s="2"/>
      <c r="AC776" s="2"/>
    </row>
    <row r="777" spans="1:29" ht="13">
      <c r="A777" s="3"/>
      <c r="B777" s="2"/>
      <c r="C777" s="3"/>
      <c r="D777" s="3"/>
      <c r="E777" s="1"/>
      <c r="F777" s="1"/>
      <c r="G777" s="1"/>
      <c r="H777" s="2"/>
      <c r="I777" s="2"/>
      <c r="J777" s="2"/>
      <c r="K777" s="2"/>
      <c r="L777" s="2"/>
      <c r="M777" s="3"/>
      <c r="N777" s="3"/>
      <c r="O777" s="2"/>
      <c r="P777" s="2"/>
      <c r="Q777" s="2"/>
      <c r="R777" s="2"/>
      <c r="S777" s="2"/>
      <c r="T777" s="2"/>
      <c r="U777" s="2"/>
      <c r="V777" s="2"/>
      <c r="W777" s="2"/>
      <c r="X777" s="2"/>
      <c r="Y777" s="2"/>
      <c r="Z777" s="2"/>
      <c r="AA777" s="2"/>
      <c r="AB777" s="2"/>
      <c r="AC777" s="2"/>
    </row>
    <row r="778" spans="1:29" ht="13">
      <c r="A778" s="3"/>
      <c r="B778" s="2"/>
      <c r="C778" s="3"/>
      <c r="D778" s="3"/>
      <c r="E778" s="1"/>
      <c r="F778" s="1"/>
      <c r="G778" s="1"/>
      <c r="H778" s="2"/>
      <c r="I778" s="2"/>
      <c r="J778" s="2"/>
      <c r="K778" s="2"/>
      <c r="L778" s="2"/>
      <c r="M778" s="3"/>
      <c r="N778" s="3"/>
      <c r="O778" s="2"/>
      <c r="P778" s="2"/>
      <c r="Q778" s="2"/>
      <c r="R778" s="2"/>
      <c r="S778" s="2"/>
      <c r="T778" s="2"/>
      <c r="U778" s="2"/>
      <c r="V778" s="2"/>
      <c r="W778" s="2"/>
      <c r="X778" s="2"/>
      <c r="Y778" s="2"/>
      <c r="Z778" s="2"/>
      <c r="AA778" s="2"/>
      <c r="AB778" s="2"/>
      <c r="AC778" s="2"/>
    </row>
    <row r="779" spans="1:29" ht="13">
      <c r="A779" s="3"/>
      <c r="B779" s="2"/>
      <c r="C779" s="3"/>
      <c r="D779" s="3"/>
      <c r="E779" s="1"/>
      <c r="F779" s="1"/>
      <c r="G779" s="1"/>
      <c r="H779" s="2"/>
      <c r="I779" s="2"/>
      <c r="J779" s="2"/>
      <c r="K779" s="2"/>
      <c r="L779" s="2"/>
      <c r="M779" s="3"/>
      <c r="N779" s="3"/>
      <c r="O779" s="2"/>
      <c r="P779" s="2"/>
      <c r="Q779" s="2"/>
      <c r="R779" s="2"/>
      <c r="S779" s="2"/>
      <c r="T779" s="2"/>
      <c r="U779" s="2"/>
      <c r="V779" s="2"/>
      <c r="W779" s="2"/>
      <c r="X779" s="2"/>
      <c r="Y779" s="2"/>
      <c r="Z779" s="2"/>
      <c r="AA779" s="2"/>
      <c r="AB779" s="2"/>
      <c r="AC779" s="2"/>
    </row>
    <row r="780" spans="1:29" ht="13">
      <c r="A780" s="3"/>
      <c r="B780" s="2"/>
      <c r="C780" s="3"/>
      <c r="D780" s="3"/>
      <c r="E780" s="1"/>
      <c r="F780" s="1"/>
      <c r="G780" s="1"/>
      <c r="H780" s="2"/>
      <c r="I780" s="2"/>
      <c r="J780" s="2"/>
      <c r="K780" s="2"/>
      <c r="L780" s="2"/>
      <c r="M780" s="3"/>
      <c r="N780" s="3"/>
      <c r="O780" s="2"/>
      <c r="P780" s="2"/>
      <c r="Q780" s="2"/>
      <c r="R780" s="2"/>
      <c r="S780" s="2"/>
      <c r="T780" s="2"/>
      <c r="U780" s="2"/>
      <c r="V780" s="2"/>
      <c r="W780" s="2"/>
      <c r="X780" s="2"/>
      <c r="Y780" s="2"/>
      <c r="Z780" s="2"/>
      <c r="AA780" s="2"/>
      <c r="AB780" s="2"/>
      <c r="AC780" s="2"/>
    </row>
    <row r="781" spans="1:29" ht="13">
      <c r="A781" s="3"/>
      <c r="B781" s="2"/>
      <c r="C781" s="3"/>
      <c r="D781" s="3"/>
      <c r="E781" s="1"/>
      <c r="F781" s="1"/>
      <c r="G781" s="1"/>
      <c r="H781" s="2"/>
      <c r="I781" s="2"/>
      <c r="J781" s="2"/>
      <c r="K781" s="2"/>
      <c r="L781" s="2"/>
      <c r="M781" s="3"/>
      <c r="N781" s="3"/>
      <c r="O781" s="2"/>
      <c r="P781" s="2"/>
      <c r="Q781" s="2"/>
      <c r="R781" s="2"/>
      <c r="S781" s="2"/>
      <c r="T781" s="2"/>
      <c r="U781" s="2"/>
      <c r="V781" s="2"/>
      <c r="W781" s="2"/>
      <c r="X781" s="2"/>
      <c r="Y781" s="2"/>
      <c r="Z781" s="2"/>
      <c r="AA781" s="2"/>
      <c r="AB781" s="2"/>
      <c r="AC781" s="2"/>
    </row>
    <row r="782" spans="1:29" ht="13">
      <c r="A782" s="3"/>
      <c r="B782" s="2"/>
      <c r="C782" s="3"/>
      <c r="D782" s="3"/>
      <c r="E782" s="1"/>
      <c r="F782" s="1"/>
      <c r="G782" s="1"/>
      <c r="H782" s="2"/>
      <c r="I782" s="2"/>
      <c r="J782" s="2"/>
      <c r="K782" s="2"/>
      <c r="L782" s="2"/>
      <c r="M782" s="3"/>
      <c r="N782" s="3"/>
      <c r="O782" s="2"/>
      <c r="P782" s="2"/>
      <c r="Q782" s="2"/>
      <c r="R782" s="2"/>
      <c r="S782" s="2"/>
      <c r="T782" s="2"/>
      <c r="U782" s="2"/>
      <c r="V782" s="2"/>
      <c r="W782" s="2"/>
      <c r="X782" s="2"/>
      <c r="Y782" s="2"/>
      <c r="Z782" s="2"/>
      <c r="AA782" s="2"/>
      <c r="AB782" s="2"/>
      <c r="AC782" s="2"/>
    </row>
    <row r="783" spans="1:29" ht="13">
      <c r="A783" s="3"/>
      <c r="B783" s="2"/>
      <c r="C783" s="3"/>
      <c r="D783" s="3"/>
      <c r="E783" s="1"/>
      <c r="F783" s="1"/>
      <c r="G783" s="1"/>
      <c r="H783" s="2"/>
      <c r="I783" s="2"/>
      <c r="J783" s="2"/>
      <c r="K783" s="2"/>
      <c r="L783" s="2"/>
      <c r="M783" s="3"/>
      <c r="N783" s="3"/>
      <c r="O783" s="2"/>
      <c r="P783" s="2"/>
      <c r="Q783" s="2"/>
      <c r="R783" s="2"/>
      <c r="S783" s="2"/>
      <c r="T783" s="2"/>
      <c r="U783" s="2"/>
      <c r="V783" s="2"/>
      <c r="W783" s="2"/>
      <c r="X783" s="2"/>
      <c r="Y783" s="2"/>
      <c r="Z783" s="2"/>
      <c r="AA783" s="2"/>
      <c r="AB783" s="2"/>
      <c r="AC783" s="2"/>
    </row>
    <row r="784" spans="1:29" ht="13">
      <c r="A784" s="3"/>
      <c r="B784" s="2"/>
      <c r="C784" s="3"/>
      <c r="D784" s="3"/>
      <c r="E784" s="1"/>
      <c r="F784" s="1"/>
      <c r="G784" s="1"/>
      <c r="H784" s="2"/>
      <c r="I784" s="2"/>
      <c r="J784" s="2"/>
      <c r="K784" s="2"/>
      <c r="L784" s="2"/>
      <c r="M784" s="3"/>
      <c r="N784" s="3"/>
      <c r="O784" s="2"/>
      <c r="P784" s="2"/>
      <c r="Q784" s="2"/>
      <c r="R784" s="2"/>
      <c r="S784" s="2"/>
      <c r="T784" s="2"/>
      <c r="U784" s="2"/>
      <c r="V784" s="2"/>
      <c r="W784" s="2"/>
      <c r="X784" s="2"/>
      <c r="Y784" s="2"/>
      <c r="Z784" s="2"/>
      <c r="AA784" s="2"/>
      <c r="AB784" s="2"/>
      <c r="AC784" s="2"/>
    </row>
    <row r="785" spans="1:29" ht="13">
      <c r="A785" s="3"/>
      <c r="B785" s="2"/>
      <c r="C785" s="3"/>
      <c r="D785" s="3"/>
      <c r="E785" s="1"/>
      <c r="F785" s="1"/>
      <c r="G785" s="1"/>
      <c r="H785" s="2"/>
      <c r="I785" s="2"/>
      <c r="J785" s="2"/>
      <c r="K785" s="2"/>
      <c r="L785" s="2"/>
      <c r="M785" s="3"/>
      <c r="N785" s="3"/>
      <c r="O785" s="2"/>
      <c r="P785" s="2"/>
      <c r="Q785" s="2"/>
      <c r="R785" s="2"/>
      <c r="S785" s="2"/>
      <c r="T785" s="2"/>
      <c r="U785" s="2"/>
      <c r="V785" s="2"/>
      <c r="W785" s="2"/>
      <c r="X785" s="2"/>
      <c r="Y785" s="2"/>
      <c r="Z785" s="2"/>
      <c r="AA785" s="2"/>
      <c r="AB785" s="2"/>
      <c r="AC785" s="2"/>
    </row>
    <row r="786" spans="1:29" ht="13">
      <c r="A786" s="3"/>
      <c r="B786" s="2"/>
      <c r="C786" s="3"/>
      <c r="D786" s="3"/>
      <c r="E786" s="1"/>
      <c r="F786" s="1"/>
      <c r="G786" s="1"/>
      <c r="H786" s="2"/>
      <c r="I786" s="2"/>
      <c r="J786" s="2"/>
      <c r="K786" s="2"/>
      <c r="L786" s="2"/>
      <c r="M786" s="3"/>
      <c r="N786" s="3"/>
      <c r="O786" s="2"/>
      <c r="P786" s="2"/>
      <c r="Q786" s="2"/>
      <c r="R786" s="2"/>
      <c r="S786" s="2"/>
      <c r="T786" s="2"/>
      <c r="U786" s="2"/>
      <c r="V786" s="2"/>
      <c r="W786" s="2"/>
      <c r="X786" s="2"/>
      <c r="Y786" s="2"/>
      <c r="Z786" s="2"/>
      <c r="AA786" s="2"/>
      <c r="AB786" s="2"/>
      <c r="AC786" s="2"/>
    </row>
    <row r="787" spans="1:29" ht="13">
      <c r="A787" s="3"/>
      <c r="B787" s="2"/>
      <c r="C787" s="3"/>
      <c r="D787" s="3"/>
      <c r="E787" s="1"/>
      <c r="F787" s="1"/>
      <c r="G787" s="1"/>
      <c r="H787" s="2"/>
      <c r="I787" s="2"/>
      <c r="J787" s="2"/>
      <c r="K787" s="2"/>
      <c r="L787" s="2"/>
      <c r="M787" s="3"/>
      <c r="N787" s="3"/>
      <c r="O787" s="2"/>
      <c r="P787" s="2"/>
      <c r="Q787" s="2"/>
      <c r="R787" s="2"/>
      <c r="S787" s="2"/>
      <c r="T787" s="2"/>
      <c r="U787" s="2"/>
      <c r="V787" s="2"/>
      <c r="W787" s="2"/>
      <c r="X787" s="2"/>
      <c r="Y787" s="2"/>
      <c r="Z787" s="2"/>
      <c r="AA787" s="2"/>
      <c r="AB787" s="2"/>
      <c r="AC787" s="2"/>
    </row>
    <row r="788" spans="1:29" ht="13">
      <c r="A788" s="3"/>
      <c r="B788" s="2"/>
      <c r="C788" s="3"/>
      <c r="D788" s="3"/>
      <c r="E788" s="1"/>
      <c r="F788" s="1"/>
      <c r="G788" s="1"/>
      <c r="H788" s="2"/>
      <c r="I788" s="2"/>
      <c r="J788" s="2"/>
      <c r="K788" s="2"/>
      <c r="L788" s="2"/>
      <c r="M788" s="3"/>
      <c r="N788" s="3"/>
      <c r="O788" s="2"/>
      <c r="P788" s="2"/>
      <c r="Q788" s="2"/>
      <c r="R788" s="2"/>
      <c r="S788" s="2"/>
      <c r="T788" s="2"/>
      <c r="U788" s="2"/>
      <c r="V788" s="2"/>
      <c r="W788" s="2"/>
      <c r="X788" s="2"/>
      <c r="Y788" s="2"/>
      <c r="Z788" s="2"/>
      <c r="AA788" s="2"/>
      <c r="AB788" s="2"/>
      <c r="AC788" s="2"/>
    </row>
    <row r="789" spans="1:29" ht="13">
      <c r="A789" s="3"/>
      <c r="B789" s="2"/>
      <c r="C789" s="3"/>
      <c r="D789" s="3"/>
      <c r="E789" s="1"/>
      <c r="F789" s="1"/>
      <c r="G789" s="1"/>
      <c r="H789" s="2"/>
      <c r="I789" s="2"/>
      <c r="J789" s="2"/>
      <c r="K789" s="2"/>
      <c r="L789" s="2"/>
      <c r="M789" s="3"/>
      <c r="N789" s="3"/>
      <c r="O789" s="2"/>
      <c r="P789" s="2"/>
      <c r="Q789" s="2"/>
      <c r="R789" s="2"/>
      <c r="S789" s="2"/>
      <c r="T789" s="2"/>
      <c r="U789" s="2"/>
      <c r="V789" s="2"/>
      <c r="W789" s="2"/>
      <c r="X789" s="2"/>
      <c r="Y789" s="2"/>
      <c r="Z789" s="2"/>
      <c r="AA789" s="2"/>
      <c r="AB789" s="2"/>
      <c r="AC789" s="2"/>
    </row>
    <row r="790" spans="1:29" ht="13">
      <c r="A790" s="3"/>
      <c r="B790" s="2"/>
      <c r="C790" s="3"/>
      <c r="D790" s="3"/>
      <c r="E790" s="1"/>
      <c r="F790" s="1"/>
      <c r="G790" s="1"/>
      <c r="H790" s="2"/>
      <c r="I790" s="2"/>
      <c r="J790" s="2"/>
      <c r="K790" s="2"/>
      <c r="L790" s="2"/>
      <c r="M790" s="3"/>
      <c r="N790" s="3"/>
      <c r="O790" s="2"/>
      <c r="P790" s="2"/>
      <c r="Q790" s="2"/>
      <c r="R790" s="2"/>
      <c r="S790" s="2"/>
      <c r="T790" s="2"/>
      <c r="U790" s="2"/>
      <c r="V790" s="2"/>
      <c r="W790" s="2"/>
      <c r="X790" s="2"/>
      <c r="Y790" s="2"/>
      <c r="Z790" s="2"/>
      <c r="AA790" s="2"/>
      <c r="AB790" s="2"/>
      <c r="AC790" s="2"/>
    </row>
    <row r="791" spans="1:29" ht="13">
      <c r="A791" s="3"/>
      <c r="B791" s="2"/>
      <c r="C791" s="3"/>
      <c r="D791" s="3"/>
      <c r="E791" s="1"/>
      <c r="F791" s="1"/>
      <c r="G791" s="1"/>
      <c r="H791" s="2"/>
      <c r="I791" s="2"/>
      <c r="J791" s="2"/>
      <c r="K791" s="2"/>
      <c r="L791" s="2"/>
      <c r="M791" s="3"/>
      <c r="N791" s="3"/>
      <c r="O791" s="2"/>
      <c r="P791" s="2"/>
      <c r="Q791" s="2"/>
      <c r="R791" s="2"/>
      <c r="S791" s="2"/>
      <c r="T791" s="2"/>
      <c r="U791" s="2"/>
      <c r="V791" s="2"/>
      <c r="W791" s="2"/>
      <c r="X791" s="2"/>
      <c r="Y791" s="2"/>
      <c r="Z791" s="2"/>
      <c r="AA791" s="2"/>
      <c r="AB791" s="2"/>
      <c r="AC791" s="2"/>
    </row>
    <row r="792" spans="1:29" ht="13">
      <c r="A792" s="3"/>
      <c r="B792" s="2"/>
      <c r="C792" s="3"/>
      <c r="D792" s="3"/>
      <c r="E792" s="1"/>
      <c r="F792" s="1"/>
      <c r="G792" s="1"/>
      <c r="H792" s="2"/>
      <c r="I792" s="2"/>
      <c r="J792" s="2"/>
      <c r="K792" s="2"/>
      <c r="L792" s="2"/>
      <c r="M792" s="3"/>
      <c r="N792" s="3"/>
      <c r="O792" s="2"/>
      <c r="P792" s="2"/>
      <c r="Q792" s="2"/>
      <c r="R792" s="2"/>
      <c r="S792" s="2"/>
      <c r="T792" s="2"/>
      <c r="U792" s="2"/>
      <c r="V792" s="2"/>
      <c r="W792" s="2"/>
      <c r="X792" s="2"/>
      <c r="Y792" s="2"/>
      <c r="Z792" s="2"/>
      <c r="AA792" s="2"/>
      <c r="AB792" s="2"/>
      <c r="AC792" s="2"/>
    </row>
    <row r="793" spans="1:29" ht="13">
      <c r="A793" s="3"/>
      <c r="B793" s="2"/>
      <c r="C793" s="3"/>
      <c r="D793" s="3"/>
      <c r="E793" s="1"/>
      <c r="F793" s="1"/>
      <c r="G793" s="1"/>
      <c r="H793" s="2"/>
      <c r="I793" s="2"/>
      <c r="J793" s="2"/>
      <c r="K793" s="2"/>
      <c r="L793" s="2"/>
      <c r="M793" s="3"/>
      <c r="N793" s="3"/>
      <c r="O793" s="2"/>
      <c r="P793" s="2"/>
      <c r="Q793" s="2"/>
      <c r="R793" s="2"/>
      <c r="S793" s="2"/>
      <c r="T793" s="2"/>
      <c r="U793" s="2"/>
      <c r="V793" s="2"/>
      <c r="W793" s="2"/>
      <c r="X793" s="2"/>
      <c r="Y793" s="2"/>
      <c r="Z793" s="2"/>
      <c r="AA793" s="2"/>
      <c r="AB793" s="2"/>
      <c r="AC793" s="2"/>
    </row>
    <row r="794" spans="1:29" ht="13">
      <c r="A794" s="3"/>
      <c r="B794" s="2"/>
      <c r="C794" s="3"/>
      <c r="D794" s="3"/>
      <c r="E794" s="1"/>
      <c r="F794" s="1"/>
      <c r="G794" s="1"/>
      <c r="H794" s="2"/>
      <c r="I794" s="2"/>
      <c r="J794" s="2"/>
      <c r="K794" s="2"/>
      <c r="L794" s="2"/>
      <c r="M794" s="3"/>
      <c r="N794" s="3"/>
      <c r="O794" s="2"/>
      <c r="P794" s="2"/>
      <c r="Q794" s="2"/>
      <c r="R794" s="2"/>
      <c r="S794" s="2"/>
      <c r="T794" s="2"/>
      <c r="U794" s="2"/>
      <c r="V794" s="2"/>
      <c r="W794" s="2"/>
      <c r="X794" s="2"/>
      <c r="Y794" s="2"/>
      <c r="Z794" s="2"/>
      <c r="AA794" s="2"/>
      <c r="AB794" s="2"/>
      <c r="AC794" s="2"/>
    </row>
    <row r="795" spans="1:29" ht="13">
      <c r="A795" s="3"/>
      <c r="B795" s="2"/>
      <c r="C795" s="3"/>
      <c r="D795" s="3"/>
      <c r="E795" s="1"/>
      <c r="F795" s="1"/>
      <c r="G795" s="1"/>
      <c r="H795" s="2"/>
      <c r="I795" s="2"/>
      <c r="J795" s="2"/>
      <c r="K795" s="2"/>
      <c r="L795" s="2"/>
      <c r="M795" s="3"/>
      <c r="N795" s="3"/>
      <c r="O795" s="2"/>
      <c r="P795" s="2"/>
      <c r="Q795" s="2"/>
      <c r="R795" s="2"/>
      <c r="S795" s="2"/>
      <c r="T795" s="2"/>
      <c r="U795" s="2"/>
      <c r="V795" s="2"/>
      <c r="W795" s="2"/>
      <c r="X795" s="2"/>
      <c r="Y795" s="2"/>
      <c r="Z795" s="2"/>
      <c r="AA795" s="2"/>
      <c r="AB795" s="2"/>
      <c r="AC795" s="2"/>
    </row>
    <row r="796" spans="1:29" ht="13">
      <c r="A796" s="3"/>
      <c r="B796" s="2"/>
      <c r="C796" s="3"/>
      <c r="D796" s="3"/>
      <c r="E796" s="1"/>
      <c r="F796" s="1"/>
      <c r="G796" s="1"/>
      <c r="H796" s="2"/>
      <c r="I796" s="2"/>
      <c r="J796" s="2"/>
      <c r="K796" s="2"/>
      <c r="L796" s="2"/>
      <c r="M796" s="3"/>
      <c r="N796" s="3"/>
      <c r="O796" s="2"/>
      <c r="P796" s="2"/>
      <c r="Q796" s="2"/>
      <c r="R796" s="2"/>
      <c r="S796" s="2"/>
      <c r="T796" s="2"/>
      <c r="U796" s="2"/>
      <c r="V796" s="2"/>
      <c r="W796" s="2"/>
      <c r="X796" s="2"/>
      <c r="Y796" s="2"/>
      <c r="Z796" s="2"/>
      <c r="AA796" s="2"/>
      <c r="AB796" s="2"/>
      <c r="AC796" s="2"/>
    </row>
    <row r="797" spans="1:29" ht="13">
      <c r="A797" s="3"/>
      <c r="B797" s="2"/>
      <c r="C797" s="3"/>
      <c r="D797" s="3"/>
      <c r="E797" s="1"/>
      <c r="F797" s="1"/>
      <c r="G797" s="1"/>
      <c r="H797" s="2"/>
      <c r="I797" s="2"/>
      <c r="J797" s="2"/>
      <c r="K797" s="2"/>
      <c r="L797" s="2"/>
      <c r="M797" s="3"/>
      <c r="N797" s="3"/>
      <c r="O797" s="2"/>
      <c r="P797" s="2"/>
      <c r="Q797" s="2"/>
      <c r="R797" s="2"/>
      <c r="S797" s="2"/>
      <c r="T797" s="2"/>
      <c r="U797" s="2"/>
      <c r="V797" s="2"/>
      <c r="W797" s="2"/>
      <c r="X797" s="2"/>
      <c r="Y797" s="2"/>
      <c r="Z797" s="2"/>
      <c r="AA797" s="2"/>
      <c r="AB797" s="2"/>
      <c r="AC797" s="2"/>
    </row>
    <row r="798" spans="1:29" ht="13">
      <c r="A798" s="3"/>
      <c r="B798" s="2"/>
      <c r="C798" s="3"/>
      <c r="D798" s="3"/>
      <c r="E798" s="1"/>
      <c r="F798" s="1"/>
      <c r="G798" s="1"/>
      <c r="H798" s="2"/>
      <c r="I798" s="2"/>
      <c r="J798" s="2"/>
      <c r="K798" s="2"/>
      <c r="L798" s="2"/>
      <c r="M798" s="3"/>
      <c r="N798" s="3"/>
      <c r="O798" s="2"/>
      <c r="P798" s="2"/>
      <c r="Q798" s="2"/>
      <c r="R798" s="2"/>
      <c r="S798" s="2"/>
      <c r="T798" s="2"/>
      <c r="U798" s="2"/>
      <c r="V798" s="2"/>
      <c r="W798" s="2"/>
      <c r="X798" s="2"/>
      <c r="Y798" s="2"/>
      <c r="Z798" s="2"/>
      <c r="AA798" s="2"/>
      <c r="AB798" s="2"/>
      <c r="AC798" s="2"/>
    </row>
    <row r="799" spans="1:29" ht="13">
      <c r="A799" s="3"/>
      <c r="B799" s="2"/>
      <c r="C799" s="3"/>
      <c r="D799" s="3"/>
      <c r="E799" s="1"/>
      <c r="F799" s="1"/>
      <c r="G799" s="1"/>
      <c r="H799" s="2"/>
      <c r="I799" s="2"/>
      <c r="J799" s="2"/>
      <c r="K799" s="2"/>
      <c r="L799" s="2"/>
      <c r="M799" s="3"/>
      <c r="N799" s="3"/>
      <c r="O799" s="2"/>
      <c r="P799" s="2"/>
      <c r="Q799" s="2"/>
      <c r="R799" s="2"/>
      <c r="S799" s="2"/>
      <c r="T799" s="2"/>
      <c r="U799" s="2"/>
      <c r="V799" s="2"/>
      <c r="W799" s="2"/>
      <c r="X799" s="2"/>
      <c r="Y799" s="2"/>
      <c r="Z799" s="2"/>
      <c r="AA799" s="2"/>
      <c r="AB799" s="2"/>
      <c r="AC799" s="2"/>
    </row>
    <row r="800" spans="1:29" ht="13">
      <c r="A800" s="3"/>
      <c r="B800" s="2"/>
      <c r="C800" s="3"/>
      <c r="D800" s="3"/>
      <c r="E800" s="1"/>
      <c r="F800" s="1"/>
      <c r="G800" s="1"/>
      <c r="H800" s="2"/>
      <c r="I800" s="2"/>
      <c r="J800" s="2"/>
      <c r="K800" s="2"/>
      <c r="L800" s="2"/>
      <c r="M800" s="3"/>
      <c r="N800" s="3"/>
      <c r="O800" s="2"/>
      <c r="P800" s="2"/>
      <c r="Q800" s="2"/>
      <c r="R800" s="2"/>
      <c r="S800" s="2"/>
      <c r="T800" s="2"/>
      <c r="U800" s="2"/>
      <c r="V800" s="2"/>
      <c r="W800" s="2"/>
      <c r="X800" s="2"/>
      <c r="Y800" s="2"/>
      <c r="Z800" s="2"/>
      <c r="AA800" s="2"/>
      <c r="AB800" s="2"/>
      <c r="AC800" s="2"/>
    </row>
    <row r="801" spans="1:29" ht="13">
      <c r="A801" s="3"/>
      <c r="B801" s="2"/>
      <c r="C801" s="3"/>
      <c r="D801" s="3"/>
      <c r="E801" s="1"/>
      <c r="F801" s="1"/>
      <c r="G801" s="1"/>
      <c r="H801" s="2"/>
      <c r="I801" s="2"/>
      <c r="J801" s="2"/>
      <c r="K801" s="2"/>
      <c r="L801" s="2"/>
      <c r="M801" s="3"/>
      <c r="N801" s="3"/>
      <c r="O801" s="2"/>
      <c r="P801" s="2"/>
      <c r="Q801" s="2"/>
      <c r="R801" s="2"/>
      <c r="S801" s="2"/>
      <c r="T801" s="2"/>
      <c r="U801" s="2"/>
      <c r="V801" s="2"/>
      <c r="W801" s="2"/>
      <c r="X801" s="2"/>
      <c r="Y801" s="2"/>
      <c r="Z801" s="2"/>
      <c r="AA801" s="2"/>
      <c r="AB801" s="2"/>
      <c r="AC801" s="2"/>
    </row>
    <row r="802" spans="1:29" ht="13">
      <c r="A802" s="3"/>
      <c r="B802" s="2"/>
      <c r="C802" s="3"/>
      <c r="D802" s="3"/>
      <c r="E802" s="1"/>
      <c r="F802" s="1"/>
      <c r="G802" s="1"/>
      <c r="H802" s="2"/>
      <c r="I802" s="2"/>
      <c r="J802" s="2"/>
      <c r="K802" s="2"/>
      <c r="L802" s="2"/>
      <c r="M802" s="3"/>
      <c r="N802" s="3"/>
      <c r="O802" s="2"/>
      <c r="P802" s="2"/>
      <c r="Q802" s="2"/>
      <c r="R802" s="2"/>
      <c r="S802" s="2"/>
      <c r="T802" s="2"/>
      <c r="U802" s="2"/>
      <c r="V802" s="2"/>
      <c r="W802" s="2"/>
      <c r="X802" s="2"/>
      <c r="Y802" s="2"/>
      <c r="Z802" s="2"/>
      <c r="AA802" s="2"/>
      <c r="AB802" s="2"/>
      <c r="AC802" s="2"/>
    </row>
    <row r="803" spans="1:29" ht="13">
      <c r="A803" s="3"/>
      <c r="B803" s="2"/>
      <c r="C803" s="3"/>
      <c r="D803" s="3"/>
      <c r="E803" s="1"/>
      <c r="F803" s="1"/>
      <c r="G803" s="1"/>
      <c r="H803" s="2"/>
      <c r="I803" s="2"/>
      <c r="J803" s="2"/>
      <c r="K803" s="2"/>
      <c r="L803" s="2"/>
      <c r="M803" s="3"/>
      <c r="N803" s="3"/>
      <c r="O803" s="2"/>
      <c r="P803" s="2"/>
      <c r="Q803" s="2"/>
      <c r="R803" s="2"/>
      <c r="S803" s="2"/>
      <c r="T803" s="2"/>
      <c r="U803" s="2"/>
      <c r="V803" s="2"/>
      <c r="W803" s="2"/>
      <c r="X803" s="2"/>
      <c r="Y803" s="2"/>
      <c r="Z803" s="2"/>
      <c r="AA803" s="2"/>
      <c r="AB803" s="2"/>
      <c r="AC803" s="2"/>
    </row>
    <row r="804" spans="1:29" ht="13">
      <c r="A804" s="3"/>
      <c r="B804" s="2"/>
      <c r="C804" s="3"/>
      <c r="D804" s="3"/>
      <c r="E804" s="1"/>
      <c r="F804" s="1"/>
      <c r="G804" s="1"/>
      <c r="H804" s="2"/>
      <c r="I804" s="2"/>
      <c r="J804" s="2"/>
      <c r="K804" s="2"/>
      <c r="L804" s="2"/>
      <c r="M804" s="3"/>
      <c r="N804" s="3"/>
      <c r="O804" s="2"/>
      <c r="P804" s="2"/>
      <c r="Q804" s="2"/>
      <c r="R804" s="2"/>
      <c r="S804" s="2"/>
      <c r="T804" s="2"/>
      <c r="U804" s="2"/>
      <c r="V804" s="2"/>
      <c r="W804" s="2"/>
      <c r="X804" s="2"/>
      <c r="Y804" s="2"/>
      <c r="Z804" s="2"/>
      <c r="AA804" s="2"/>
      <c r="AB804" s="2"/>
      <c r="AC804" s="2"/>
    </row>
    <row r="805" spans="1:29" ht="13">
      <c r="A805" s="3"/>
      <c r="B805" s="2"/>
      <c r="C805" s="3"/>
      <c r="D805" s="3"/>
      <c r="E805" s="1"/>
      <c r="F805" s="1"/>
      <c r="G805" s="1"/>
      <c r="H805" s="2"/>
      <c r="I805" s="2"/>
      <c r="J805" s="2"/>
      <c r="K805" s="2"/>
      <c r="L805" s="2"/>
      <c r="M805" s="3"/>
      <c r="N805" s="3"/>
      <c r="O805" s="2"/>
      <c r="P805" s="2"/>
      <c r="Q805" s="2"/>
      <c r="R805" s="2"/>
      <c r="S805" s="2"/>
      <c r="T805" s="2"/>
      <c r="U805" s="2"/>
      <c r="V805" s="2"/>
      <c r="W805" s="2"/>
      <c r="X805" s="2"/>
      <c r="Y805" s="2"/>
      <c r="Z805" s="2"/>
      <c r="AA805" s="2"/>
      <c r="AB805" s="2"/>
      <c r="AC805" s="2"/>
    </row>
    <row r="806" spans="1:29" ht="13">
      <c r="A806" s="3"/>
      <c r="B806" s="2"/>
      <c r="C806" s="3"/>
      <c r="D806" s="3"/>
      <c r="E806" s="1"/>
      <c r="F806" s="1"/>
      <c r="G806" s="1"/>
      <c r="H806" s="2"/>
      <c r="I806" s="2"/>
      <c r="J806" s="2"/>
      <c r="K806" s="2"/>
      <c r="L806" s="2"/>
      <c r="M806" s="3"/>
      <c r="N806" s="3"/>
      <c r="O806" s="2"/>
      <c r="P806" s="2"/>
      <c r="Q806" s="2"/>
      <c r="R806" s="2"/>
      <c r="S806" s="2"/>
      <c r="T806" s="2"/>
      <c r="U806" s="2"/>
      <c r="V806" s="2"/>
      <c r="W806" s="2"/>
      <c r="X806" s="2"/>
      <c r="Y806" s="2"/>
      <c r="Z806" s="2"/>
      <c r="AA806" s="2"/>
      <c r="AB806" s="2"/>
      <c r="AC806" s="2"/>
    </row>
    <row r="807" spans="1:29" ht="13">
      <c r="A807" s="3"/>
      <c r="B807" s="2"/>
      <c r="C807" s="3"/>
      <c r="D807" s="3"/>
      <c r="E807" s="1"/>
      <c r="F807" s="1"/>
      <c r="G807" s="1"/>
      <c r="H807" s="2"/>
      <c r="I807" s="2"/>
      <c r="J807" s="2"/>
      <c r="K807" s="2"/>
      <c r="L807" s="2"/>
      <c r="M807" s="3"/>
      <c r="N807" s="3"/>
      <c r="O807" s="2"/>
      <c r="P807" s="2"/>
      <c r="Q807" s="2"/>
      <c r="R807" s="2"/>
      <c r="S807" s="2"/>
      <c r="T807" s="2"/>
      <c r="U807" s="2"/>
      <c r="V807" s="2"/>
      <c r="W807" s="2"/>
      <c r="X807" s="2"/>
      <c r="Y807" s="2"/>
      <c r="Z807" s="2"/>
      <c r="AA807" s="2"/>
      <c r="AB807" s="2"/>
      <c r="AC807" s="2"/>
    </row>
    <row r="808" spans="1:29" ht="13">
      <c r="A808" s="3"/>
      <c r="B808" s="2"/>
      <c r="C808" s="3"/>
      <c r="D808" s="3"/>
      <c r="E808" s="1"/>
      <c r="F808" s="1"/>
      <c r="G808" s="1"/>
      <c r="H808" s="2"/>
      <c r="I808" s="2"/>
      <c r="J808" s="2"/>
      <c r="K808" s="2"/>
      <c r="L808" s="2"/>
      <c r="M808" s="3"/>
      <c r="N808" s="3"/>
      <c r="O808" s="2"/>
      <c r="P808" s="2"/>
      <c r="Q808" s="2"/>
      <c r="R808" s="2"/>
      <c r="S808" s="2"/>
      <c r="T808" s="2"/>
      <c r="U808" s="2"/>
      <c r="V808" s="2"/>
      <c r="W808" s="2"/>
      <c r="X808" s="2"/>
      <c r="Y808" s="2"/>
      <c r="Z808" s="2"/>
      <c r="AA808" s="2"/>
      <c r="AB808" s="2"/>
      <c r="AC808" s="2"/>
    </row>
    <row r="809" spans="1:29" ht="13">
      <c r="A809" s="3"/>
      <c r="B809" s="2"/>
      <c r="C809" s="3"/>
      <c r="D809" s="3"/>
      <c r="E809" s="1"/>
      <c r="F809" s="1"/>
      <c r="G809" s="1"/>
      <c r="H809" s="2"/>
      <c r="I809" s="2"/>
      <c r="J809" s="2"/>
      <c r="K809" s="2"/>
      <c r="L809" s="2"/>
      <c r="M809" s="3"/>
      <c r="N809" s="3"/>
      <c r="O809" s="2"/>
      <c r="P809" s="2"/>
      <c r="Q809" s="2"/>
      <c r="R809" s="2"/>
      <c r="S809" s="2"/>
      <c r="T809" s="2"/>
      <c r="U809" s="2"/>
      <c r="V809" s="2"/>
      <c r="W809" s="2"/>
      <c r="X809" s="2"/>
      <c r="Y809" s="2"/>
      <c r="Z809" s="2"/>
      <c r="AA809" s="2"/>
      <c r="AB809" s="2"/>
      <c r="AC809" s="2"/>
    </row>
    <row r="810" spans="1:29" ht="13">
      <c r="A810" s="3"/>
      <c r="B810" s="2"/>
      <c r="C810" s="3"/>
      <c r="D810" s="3"/>
      <c r="E810" s="1"/>
      <c r="F810" s="1"/>
      <c r="G810" s="1"/>
      <c r="H810" s="2"/>
      <c r="I810" s="2"/>
      <c r="J810" s="2"/>
      <c r="K810" s="2"/>
      <c r="L810" s="2"/>
      <c r="M810" s="3"/>
      <c r="N810" s="3"/>
      <c r="O810" s="2"/>
      <c r="P810" s="2"/>
      <c r="Q810" s="2"/>
      <c r="R810" s="2"/>
      <c r="S810" s="2"/>
      <c r="T810" s="2"/>
      <c r="U810" s="2"/>
      <c r="V810" s="2"/>
      <c r="W810" s="2"/>
      <c r="X810" s="2"/>
      <c r="Y810" s="2"/>
      <c r="Z810" s="2"/>
      <c r="AA810" s="2"/>
      <c r="AB810" s="2"/>
      <c r="AC810" s="2"/>
    </row>
    <row r="811" spans="1:29" ht="13">
      <c r="A811" s="3"/>
      <c r="B811" s="2"/>
      <c r="C811" s="3"/>
      <c r="D811" s="3"/>
      <c r="E811" s="1"/>
      <c r="F811" s="1"/>
      <c r="G811" s="1"/>
      <c r="H811" s="2"/>
      <c r="I811" s="2"/>
      <c r="J811" s="2"/>
      <c r="K811" s="2"/>
      <c r="L811" s="2"/>
      <c r="M811" s="3"/>
      <c r="N811" s="3"/>
      <c r="O811" s="2"/>
      <c r="P811" s="2"/>
      <c r="Q811" s="2"/>
      <c r="R811" s="2"/>
      <c r="S811" s="2"/>
      <c r="T811" s="2"/>
      <c r="U811" s="2"/>
      <c r="V811" s="2"/>
      <c r="W811" s="2"/>
      <c r="X811" s="2"/>
      <c r="Y811" s="2"/>
      <c r="Z811" s="2"/>
      <c r="AA811" s="2"/>
      <c r="AB811" s="2"/>
      <c r="AC811" s="2"/>
    </row>
    <row r="812" spans="1:29" ht="13">
      <c r="A812" s="3"/>
      <c r="B812" s="2"/>
      <c r="C812" s="3"/>
      <c r="D812" s="3"/>
      <c r="E812" s="1"/>
      <c r="F812" s="1"/>
      <c r="G812" s="1"/>
      <c r="H812" s="2"/>
      <c r="I812" s="2"/>
      <c r="J812" s="2"/>
      <c r="K812" s="2"/>
      <c r="L812" s="2"/>
      <c r="M812" s="3"/>
      <c r="N812" s="3"/>
      <c r="O812" s="2"/>
      <c r="P812" s="2"/>
      <c r="Q812" s="2"/>
      <c r="R812" s="2"/>
      <c r="S812" s="2"/>
      <c r="T812" s="2"/>
      <c r="U812" s="2"/>
      <c r="V812" s="2"/>
      <c r="W812" s="2"/>
      <c r="X812" s="2"/>
      <c r="Y812" s="2"/>
      <c r="Z812" s="2"/>
      <c r="AA812" s="2"/>
      <c r="AB812" s="2"/>
      <c r="AC812" s="2"/>
    </row>
    <row r="813" spans="1:29" ht="13">
      <c r="A813" s="3"/>
      <c r="B813" s="2"/>
      <c r="C813" s="3"/>
      <c r="D813" s="3"/>
      <c r="E813" s="1"/>
      <c r="F813" s="1"/>
      <c r="G813" s="1"/>
      <c r="H813" s="2"/>
      <c r="I813" s="2"/>
      <c r="J813" s="2"/>
      <c r="K813" s="2"/>
      <c r="L813" s="2"/>
      <c r="M813" s="3"/>
      <c r="N813" s="3"/>
      <c r="O813" s="2"/>
      <c r="P813" s="2"/>
      <c r="Q813" s="2"/>
      <c r="R813" s="2"/>
      <c r="S813" s="2"/>
      <c r="T813" s="2"/>
      <c r="U813" s="2"/>
      <c r="V813" s="2"/>
      <c r="W813" s="2"/>
      <c r="X813" s="2"/>
      <c r="Y813" s="2"/>
      <c r="Z813" s="2"/>
      <c r="AA813" s="2"/>
      <c r="AB813" s="2"/>
      <c r="AC813" s="2"/>
    </row>
    <row r="814" spans="1:29" ht="13">
      <c r="A814" s="3"/>
      <c r="B814" s="2"/>
      <c r="C814" s="3"/>
      <c r="D814" s="3"/>
      <c r="E814" s="1"/>
      <c r="F814" s="1"/>
      <c r="G814" s="1"/>
      <c r="H814" s="2"/>
      <c r="I814" s="2"/>
      <c r="J814" s="2"/>
      <c r="K814" s="2"/>
      <c r="L814" s="2"/>
      <c r="M814" s="3"/>
      <c r="N814" s="3"/>
      <c r="O814" s="2"/>
      <c r="P814" s="2"/>
      <c r="Q814" s="2"/>
      <c r="R814" s="2"/>
      <c r="S814" s="2"/>
      <c r="T814" s="2"/>
      <c r="U814" s="2"/>
      <c r="V814" s="2"/>
      <c r="W814" s="2"/>
      <c r="X814" s="2"/>
      <c r="Y814" s="2"/>
      <c r="Z814" s="2"/>
      <c r="AA814" s="2"/>
      <c r="AB814" s="2"/>
      <c r="AC814" s="2"/>
    </row>
    <row r="815" spans="1:29" ht="13">
      <c r="A815" s="3"/>
      <c r="B815" s="2"/>
      <c r="C815" s="3"/>
      <c r="D815" s="3"/>
      <c r="E815" s="1"/>
      <c r="F815" s="1"/>
      <c r="G815" s="1"/>
      <c r="H815" s="2"/>
      <c r="I815" s="2"/>
      <c r="J815" s="2"/>
      <c r="K815" s="2"/>
      <c r="L815" s="2"/>
      <c r="M815" s="3"/>
      <c r="N815" s="3"/>
      <c r="O815" s="2"/>
      <c r="P815" s="2"/>
      <c r="Q815" s="2"/>
      <c r="R815" s="2"/>
      <c r="S815" s="2"/>
      <c r="T815" s="2"/>
      <c r="U815" s="2"/>
      <c r="V815" s="2"/>
      <c r="W815" s="2"/>
      <c r="X815" s="2"/>
      <c r="Y815" s="2"/>
      <c r="Z815" s="2"/>
      <c r="AA815" s="2"/>
      <c r="AB815" s="2"/>
      <c r="AC815" s="2"/>
    </row>
    <row r="816" spans="1:29" ht="13">
      <c r="A816" s="3"/>
      <c r="B816" s="2"/>
      <c r="C816" s="3"/>
      <c r="D816" s="3"/>
      <c r="E816" s="1"/>
      <c r="F816" s="1"/>
      <c r="G816" s="1"/>
      <c r="H816" s="2"/>
      <c r="I816" s="2"/>
      <c r="J816" s="2"/>
      <c r="K816" s="2"/>
      <c r="L816" s="2"/>
      <c r="M816" s="3"/>
      <c r="N816" s="3"/>
      <c r="O816" s="2"/>
      <c r="P816" s="2"/>
      <c r="Q816" s="2"/>
      <c r="R816" s="2"/>
      <c r="S816" s="2"/>
      <c r="T816" s="2"/>
      <c r="U816" s="2"/>
      <c r="V816" s="2"/>
      <c r="W816" s="2"/>
      <c r="X816" s="2"/>
      <c r="Y816" s="2"/>
      <c r="Z816" s="2"/>
      <c r="AA816" s="2"/>
      <c r="AB816" s="2"/>
      <c r="AC816" s="2"/>
    </row>
    <row r="817" spans="1:29" ht="13">
      <c r="A817" s="3"/>
      <c r="B817" s="2"/>
      <c r="C817" s="3"/>
      <c r="D817" s="3"/>
      <c r="E817" s="1"/>
      <c r="F817" s="1"/>
      <c r="G817" s="1"/>
      <c r="H817" s="2"/>
      <c r="I817" s="2"/>
      <c r="J817" s="2"/>
      <c r="K817" s="2"/>
      <c r="L817" s="2"/>
      <c r="M817" s="3"/>
      <c r="N817" s="3"/>
      <c r="O817" s="2"/>
      <c r="P817" s="2"/>
      <c r="Q817" s="2"/>
      <c r="R817" s="2"/>
      <c r="S817" s="2"/>
      <c r="T817" s="2"/>
      <c r="U817" s="2"/>
      <c r="V817" s="2"/>
      <c r="W817" s="2"/>
      <c r="X817" s="2"/>
      <c r="Y817" s="2"/>
      <c r="Z817" s="2"/>
      <c r="AA817" s="2"/>
      <c r="AB817" s="2"/>
      <c r="AC817" s="2"/>
    </row>
    <row r="818" spans="1:29" ht="13">
      <c r="A818" s="3"/>
      <c r="B818" s="2"/>
      <c r="C818" s="3"/>
      <c r="D818" s="3"/>
      <c r="E818" s="1"/>
      <c r="F818" s="1"/>
      <c r="G818" s="1"/>
      <c r="H818" s="2"/>
      <c r="I818" s="2"/>
      <c r="J818" s="2"/>
      <c r="K818" s="2"/>
      <c r="L818" s="2"/>
      <c r="M818" s="3"/>
      <c r="N818" s="3"/>
      <c r="O818" s="2"/>
      <c r="P818" s="2"/>
      <c r="Q818" s="2"/>
      <c r="R818" s="2"/>
      <c r="S818" s="2"/>
      <c r="T818" s="2"/>
      <c r="U818" s="2"/>
      <c r="V818" s="2"/>
      <c r="W818" s="2"/>
      <c r="X818" s="2"/>
      <c r="Y818" s="2"/>
      <c r="Z818" s="2"/>
      <c r="AA818" s="2"/>
      <c r="AB818" s="2"/>
      <c r="AC818" s="2"/>
    </row>
    <row r="819" spans="1:29" ht="13">
      <c r="A819" s="3"/>
      <c r="B819" s="2"/>
      <c r="C819" s="3"/>
      <c r="D819" s="3"/>
      <c r="E819" s="1"/>
      <c r="F819" s="1"/>
      <c r="G819" s="1"/>
      <c r="H819" s="2"/>
      <c r="I819" s="2"/>
      <c r="J819" s="2"/>
      <c r="K819" s="2"/>
      <c r="L819" s="2"/>
      <c r="M819" s="3"/>
      <c r="N819" s="3"/>
      <c r="O819" s="2"/>
      <c r="P819" s="2"/>
      <c r="Q819" s="2"/>
      <c r="R819" s="2"/>
      <c r="S819" s="2"/>
      <c r="T819" s="2"/>
      <c r="U819" s="2"/>
      <c r="V819" s="2"/>
      <c r="W819" s="2"/>
      <c r="X819" s="2"/>
      <c r="Y819" s="2"/>
      <c r="Z819" s="2"/>
      <c r="AA819" s="2"/>
      <c r="AB819" s="2"/>
      <c r="AC819" s="2"/>
    </row>
    <row r="820" spans="1:29" ht="13">
      <c r="A820" s="3"/>
      <c r="B820" s="2"/>
      <c r="C820" s="3"/>
      <c r="D820" s="3"/>
      <c r="E820" s="1"/>
      <c r="F820" s="1"/>
      <c r="G820" s="1"/>
      <c r="H820" s="2"/>
      <c r="I820" s="2"/>
      <c r="J820" s="2"/>
      <c r="K820" s="2"/>
      <c r="L820" s="2"/>
      <c r="M820" s="3"/>
      <c r="N820" s="3"/>
      <c r="O820" s="2"/>
      <c r="P820" s="2"/>
      <c r="Q820" s="2"/>
      <c r="R820" s="2"/>
      <c r="S820" s="2"/>
      <c r="T820" s="2"/>
      <c r="U820" s="2"/>
      <c r="V820" s="2"/>
      <c r="W820" s="2"/>
      <c r="X820" s="2"/>
      <c r="Y820" s="2"/>
      <c r="Z820" s="2"/>
      <c r="AA820" s="2"/>
      <c r="AB820" s="2"/>
      <c r="AC820" s="2"/>
    </row>
    <row r="821" spans="1:29" ht="13">
      <c r="A821" s="3"/>
      <c r="B821" s="2"/>
      <c r="C821" s="3"/>
      <c r="D821" s="3"/>
      <c r="E821" s="1"/>
      <c r="F821" s="1"/>
      <c r="G821" s="1"/>
      <c r="H821" s="2"/>
      <c r="I821" s="2"/>
      <c r="J821" s="2"/>
      <c r="K821" s="2"/>
      <c r="L821" s="2"/>
      <c r="M821" s="3"/>
      <c r="N821" s="3"/>
      <c r="O821" s="2"/>
      <c r="P821" s="2"/>
      <c r="Q821" s="2"/>
      <c r="R821" s="2"/>
      <c r="S821" s="2"/>
      <c r="T821" s="2"/>
      <c r="U821" s="2"/>
      <c r="V821" s="2"/>
      <c r="W821" s="2"/>
      <c r="X821" s="2"/>
      <c r="Y821" s="2"/>
      <c r="Z821" s="2"/>
      <c r="AA821" s="2"/>
      <c r="AB821" s="2"/>
      <c r="AC821" s="2"/>
    </row>
    <row r="822" spans="1:29" ht="13">
      <c r="A822" s="3"/>
      <c r="B822" s="2"/>
      <c r="C822" s="3"/>
      <c r="D822" s="3"/>
      <c r="E822" s="1"/>
      <c r="F822" s="1"/>
      <c r="G822" s="1"/>
      <c r="H822" s="2"/>
      <c r="I822" s="2"/>
      <c r="J822" s="2"/>
      <c r="K822" s="2"/>
      <c r="L822" s="2"/>
      <c r="M822" s="3"/>
      <c r="N822" s="3"/>
      <c r="O822" s="2"/>
      <c r="P822" s="2"/>
      <c r="Q822" s="2"/>
      <c r="R822" s="2"/>
      <c r="S822" s="2"/>
      <c r="T822" s="2"/>
      <c r="U822" s="2"/>
      <c r="V822" s="2"/>
      <c r="W822" s="2"/>
      <c r="X822" s="2"/>
      <c r="Y822" s="2"/>
      <c r="Z822" s="2"/>
      <c r="AA822" s="2"/>
      <c r="AB822" s="2"/>
      <c r="AC822" s="2"/>
    </row>
    <row r="823" spans="1:29" ht="13">
      <c r="A823" s="3"/>
      <c r="B823" s="2"/>
      <c r="C823" s="3"/>
      <c r="D823" s="3"/>
      <c r="E823" s="1"/>
      <c r="F823" s="1"/>
      <c r="G823" s="1"/>
      <c r="H823" s="2"/>
      <c r="I823" s="2"/>
      <c r="J823" s="2"/>
      <c r="K823" s="2"/>
      <c r="L823" s="2"/>
      <c r="M823" s="3"/>
      <c r="N823" s="3"/>
      <c r="O823" s="2"/>
      <c r="P823" s="2"/>
      <c r="Q823" s="2"/>
      <c r="R823" s="2"/>
      <c r="S823" s="2"/>
      <c r="T823" s="2"/>
      <c r="U823" s="2"/>
      <c r="V823" s="2"/>
      <c r="W823" s="2"/>
      <c r="X823" s="2"/>
      <c r="Y823" s="2"/>
      <c r="Z823" s="2"/>
      <c r="AA823" s="2"/>
      <c r="AB823" s="2"/>
      <c r="AC823" s="2"/>
    </row>
    <row r="824" spans="1:29" ht="13">
      <c r="A824" s="3"/>
      <c r="B824" s="2"/>
      <c r="C824" s="3"/>
      <c r="D824" s="3"/>
      <c r="E824" s="1"/>
      <c r="F824" s="1"/>
      <c r="G824" s="1"/>
      <c r="H824" s="2"/>
      <c r="I824" s="2"/>
      <c r="J824" s="2"/>
      <c r="K824" s="2"/>
      <c r="L824" s="2"/>
      <c r="M824" s="3"/>
      <c r="N824" s="3"/>
      <c r="O824" s="2"/>
      <c r="P824" s="2"/>
      <c r="Q824" s="2"/>
      <c r="R824" s="2"/>
      <c r="S824" s="2"/>
      <c r="T824" s="2"/>
      <c r="U824" s="2"/>
      <c r="V824" s="2"/>
      <c r="W824" s="2"/>
      <c r="X824" s="2"/>
      <c r="Y824" s="2"/>
      <c r="Z824" s="2"/>
      <c r="AA824" s="2"/>
      <c r="AB824" s="2"/>
      <c r="AC824" s="2"/>
    </row>
    <row r="825" spans="1:29" ht="13">
      <c r="A825" s="3"/>
      <c r="B825" s="2"/>
      <c r="C825" s="3"/>
      <c r="D825" s="3"/>
      <c r="E825" s="1"/>
      <c r="F825" s="1"/>
      <c r="G825" s="1"/>
      <c r="H825" s="2"/>
      <c r="I825" s="2"/>
      <c r="J825" s="2"/>
      <c r="K825" s="2"/>
      <c r="L825" s="2"/>
      <c r="M825" s="3"/>
      <c r="N825" s="3"/>
      <c r="O825" s="2"/>
      <c r="P825" s="2"/>
      <c r="Q825" s="2"/>
      <c r="R825" s="2"/>
      <c r="S825" s="2"/>
      <c r="T825" s="2"/>
      <c r="U825" s="2"/>
      <c r="V825" s="2"/>
      <c r="W825" s="2"/>
      <c r="X825" s="2"/>
      <c r="Y825" s="2"/>
      <c r="Z825" s="2"/>
      <c r="AA825" s="2"/>
      <c r="AB825" s="2"/>
      <c r="AC825" s="2"/>
    </row>
    <row r="826" spans="1:29" ht="13">
      <c r="A826" s="3"/>
      <c r="B826" s="2"/>
      <c r="C826" s="3"/>
      <c r="D826" s="3"/>
      <c r="E826" s="1"/>
      <c r="F826" s="1"/>
      <c r="G826" s="1"/>
      <c r="H826" s="2"/>
      <c r="I826" s="2"/>
      <c r="J826" s="2"/>
      <c r="K826" s="2"/>
      <c r="L826" s="2"/>
      <c r="M826" s="3"/>
      <c r="N826" s="3"/>
      <c r="O826" s="2"/>
      <c r="P826" s="2"/>
      <c r="Q826" s="2"/>
      <c r="R826" s="2"/>
      <c r="S826" s="2"/>
      <c r="T826" s="2"/>
      <c r="U826" s="2"/>
      <c r="V826" s="2"/>
      <c r="W826" s="2"/>
      <c r="X826" s="2"/>
      <c r="Y826" s="2"/>
      <c r="Z826" s="2"/>
      <c r="AA826" s="2"/>
      <c r="AB826" s="2"/>
      <c r="AC826" s="2"/>
    </row>
    <row r="827" spans="1:29" ht="13">
      <c r="A827" s="3"/>
      <c r="B827" s="2"/>
      <c r="C827" s="3"/>
      <c r="D827" s="3"/>
      <c r="E827" s="1"/>
      <c r="F827" s="1"/>
      <c r="G827" s="1"/>
      <c r="H827" s="2"/>
      <c r="I827" s="2"/>
      <c r="J827" s="2"/>
      <c r="K827" s="2"/>
      <c r="L827" s="2"/>
      <c r="M827" s="3"/>
      <c r="N827" s="3"/>
      <c r="O827" s="2"/>
      <c r="P827" s="2"/>
      <c r="Q827" s="2"/>
      <c r="R827" s="2"/>
      <c r="S827" s="2"/>
      <c r="T827" s="2"/>
      <c r="U827" s="2"/>
      <c r="V827" s="2"/>
      <c r="W827" s="2"/>
      <c r="X827" s="2"/>
      <c r="Y827" s="2"/>
      <c r="Z827" s="2"/>
      <c r="AA827" s="2"/>
      <c r="AB827" s="2"/>
      <c r="AC827" s="2"/>
    </row>
    <row r="828" spans="1:29" ht="13">
      <c r="A828" s="3"/>
      <c r="B828" s="2"/>
      <c r="C828" s="3"/>
      <c r="D828" s="3"/>
      <c r="E828" s="1"/>
      <c r="F828" s="1"/>
      <c r="G828" s="1"/>
      <c r="H828" s="2"/>
      <c r="I828" s="2"/>
      <c r="J828" s="2"/>
      <c r="K828" s="2"/>
      <c r="L828" s="2"/>
      <c r="M828" s="3"/>
      <c r="N828" s="3"/>
      <c r="O828" s="2"/>
      <c r="P828" s="2"/>
      <c r="Q828" s="2"/>
      <c r="R828" s="2"/>
      <c r="S828" s="2"/>
      <c r="T828" s="2"/>
      <c r="U828" s="2"/>
      <c r="V828" s="2"/>
      <c r="W828" s="2"/>
      <c r="X828" s="2"/>
      <c r="Y828" s="2"/>
      <c r="Z828" s="2"/>
      <c r="AA828" s="2"/>
      <c r="AB828" s="2"/>
      <c r="AC828" s="2"/>
    </row>
    <row r="829" spans="1:29" ht="13">
      <c r="A829" s="3"/>
      <c r="B829" s="2"/>
      <c r="C829" s="3"/>
      <c r="D829" s="3"/>
      <c r="E829" s="1"/>
      <c r="F829" s="1"/>
      <c r="G829" s="1"/>
      <c r="H829" s="2"/>
      <c r="I829" s="2"/>
      <c r="J829" s="2"/>
      <c r="K829" s="2"/>
      <c r="L829" s="2"/>
      <c r="M829" s="3"/>
      <c r="N829" s="3"/>
      <c r="O829" s="2"/>
      <c r="P829" s="2"/>
      <c r="Q829" s="2"/>
      <c r="R829" s="2"/>
      <c r="S829" s="2"/>
      <c r="T829" s="2"/>
      <c r="U829" s="2"/>
      <c r="V829" s="2"/>
      <c r="W829" s="2"/>
      <c r="X829" s="2"/>
      <c r="Y829" s="2"/>
      <c r="Z829" s="2"/>
      <c r="AA829" s="2"/>
      <c r="AB829" s="2"/>
      <c r="AC829" s="2"/>
    </row>
    <row r="830" spans="1:29" ht="13">
      <c r="A830" s="3"/>
      <c r="B830" s="2"/>
      <c r="C830" s="3"/>
      <c r="D830" s="3"/>
      <c r="E830" s="1"/>
      <c r="F830" s="1"/>
      <c r="G830" s="1"/>
      <c r="H830" s="2"/>
      <c r="I830" s="2"/>
      <c r="J830" s="2"/>
      <c r="K830" s="2"/>
      <c r="L830" s="2"/>
      <c r="M830" s="3"/>
      <c r="N830" s="3"/>
      <c r="O830" s="2"/>
      <c r="P830" s="2"/>
      <c r="Q830" s="2"/>
      <c r="R830" s="2"/>
      <c r="S830" s="2"/>
      <c r="T830" s="2"/>
      <c r="U830" s="2"/>
      <c r="V830" s="2"/>
      <c r="W830" s="2"/>
      <c r="X830" s="2"/>
      <c r="Y830" s="2"/>
      <c r="Z830" s="2"/>
      <c r="AA830" s="2"/>
      <c r="AB830" s="2"/>
      <c r="AC830" s="2"/>
    </row>
    <row r="831" spans="1:29" ht="13">
      <c r="A831" s="3"/>
      <c r="B831" s="2"/>
      <c r="C831" s="3"/>
      <c r="D831" s="3"/>
      <c r="E831" s="1"/>
      <c r="F831" s="1"/>
      <c r="G831" s="1"/>
      <c r="H831" s="2"/>
      <c r="I831" s="2"/>
      <c r="J831" s="2"/>
      <c r="K831" s="2"/>
      <c r="L831" s="2"/>
      <c r="M831" s="3"/>
      <c r="N831" s="3"/>
      <c r="O831" s="2"/>
      <c r="P831" s="2"/>
      <c r="Q831" s="2"/>
      <c r="R831" s="2"/>
      <c r="S831" s="2"/>
      <c r="T831" s="2"/>
      <c r="U831" s="2"/>
      <c r="V831" s="2"/>
      <c r="W831" s="2"/>
      <c r="X831" s="2"/>
      <c r="Y831" s="2"/>
      <c r="Z831" s="2"/>
      <c r="AA831" s="2"/>
      <c r="AB831" s="2"/>
      <c r="AC831" s="2"/>
    </row>
    <row r="832" spans="1:29" ht="13">
      <c r="A832" s="3"/>
      <c r="B832" s="2"/>
      <c r="C832" s="3"/>
      <c r="D832" s="3"/>
      <c r="E832" s="1"/>
      <c r="F832" s="1"/>
      <c r="G832" s="1"/>
      <c r="H832" s="2"/>
      <c r="I832" s="2"/>
      <c r="J832" s="2"/>
      <c r="K832" s="2"/>
      <c r="L832" s="2"/>
      <c r="M832" s="3"/>
      <c r="N832" s="3"/>
      <c r="O832" s="2"/>
      <c r="P832" s="2"/>
      <c r="Q832" s="2"/>
      <c r="R832" s="2"/>
      <c r="S832" s="2"/>
      <c r="T832" s="2"/>
      <c r="U832" s="2"/>
      <c r="V832" s="2"/>
      <c r="W832" s="2"/>
      <c r="X832" s="2"/>
      <c r="Y832" s="2"/>
      <c r="Z832" s="2"/>
      <c r="AA832" s="2"/>
      <c r="AB832" s="2"/>
      <c r="AC832" s="2"/>
    </row>
    <row r="833" spans="1:29" ht="13">
      <c r="A833" s="3"/>
      <c r="B833" s="2"/>
      <c r="C833" s="3"/>
      <c r="D833" s="3"/>
      <c r="E833" s="1"/>
      <c r="F833" s="1"/>
      <c r="G833" s="1"/>
      <c r="H833" s="2"/>
      <c r="I833" s="2"/>
      <c r="J833" s="2"/>
      <c r="K833" s="2"/>
      <c r="L833" s="2"/>
      <c r="M833" s="3"/>
      <c r="N833" s="3"/>
      <c r="O833" s="2"/>
      <c r="P833" s="2"/>
      <c r="Q833" s="2"/>
      <c r="R833" s="2"/>
      <c r="S833" s="2"/>
      <c r="T833" s="2"/>
      <c r="U833" s="2"/>
      <c r="V833" s="2"/>
      <c r="W833" s="2"/>
      <c r="X833" s="2"/>
      <c r="Y833" s="2"/>
      <c r="Z833" s="2"/>
      <c r="AA833" s="2"/>
      <c r="AB833" s="2"/>
      <c r="AC833" s="2"/>
    </row>
    <row r="834" spans="1:29" ht="13">
      <c r="A834" s="3"/>
      <c r="B834" s="2"/>
      <c r="C834" s="3"/>
      <c r="D834" s="3"/>
      <c r="E834" s="1"/>
      <c r="F834" s="1"/>
      <c r="G834" s="1"/>
      <c r="H834" s="2"/>
      <c r="I834" s="2"/>
      <c r="J834" s="2"/>
      <c r="K834" s="2"/>
      <c r="L834" s="2"/>
      <c r="M834" s="3"/>
      <c r="N834" s="3"/>
      <c r="O834" s="2"/>
      <c r="P834" s="2"/>
      <c r="Q834" s="2"/>
      <c r="R834" s="2"/>
      <c r="S834" s="2"/>
      <c r="T834" s="2"/>
      <c r="U834" s="2"/>
      <c r="V834" s="2"/>
      <c r="W834" s="2"/>
      <c r="X834" s="2"/>
      <c r="Y834" s="2"/>
      <c r="Z834" s="2"/>
      <c r="AA834" s="2"/>
      <c r="AB834" s="2"/>
      <c r="AC834" s="2"/>
    </row>
    <row r="835" spans="1:29" ht="13">
      <c r="A835" s="3"/>
      <c r="B835" s="2"/>
      <c r="C835" s="3"/>
      <c r="D835" s="3"/>
      <c r="E835" s="1"/>
      <c r="F835" s="1"/>
      <c r="G835" s="1"/>
      <c r="H835" s="2"/>
      <c r="I835" s="2"/>
      <c r="J835" s="2"/>
      <c r="K835" s="2"/>
      <c r="L835" s="2"/>
      <c r="M835" s="3"/>
      <c r="N835" s="3"/>
      <c r="O835" s="2"/>
      <c r="P835" s="2"/>
      <c r="Q835" s="2"/>
      <c r="R835" s="2"/>
      <c r="S835" s="2"/>
      <c r="T835" s="2"/>
      <c r="U835" s="2"/>
      <c r="V835" s="2"/>
      <c r="W835" s="2"/>
      <c r="X835" s="2"/>
      <c r="Y835" s="2"/>
      <c r="Z835" s="2"/>
      <c r="AA835" s="2"/>
      <c r="AB835" s="2"/>
      <c r="AC835" s="2"/>
    </row>
    <row r="836" spans="1:29" ht="13">
      <c r="A836" s="3"/>
      <c r="B836" s="2"/>
      <c r="C836" s="3"/>
      <c r="D836" s="3"/>
      <c r="E836" s="1"/>
      <c r="F836" s="1"/>
      <c r="G836" s="1"/>
      <c r="H836" s="2"/>
      <c r="I836" s="2"/>
      <c r="J836" s="2"/>
      <c r="K836" s="2"/>
      <c r="L836" s="2"/>
      <c r="M836" s="3"/>
      <c r="N836" s="3"/>
      <c r="O836" s="2"/>
      <c r="P836" s="2"/>
      <c r="Q836" s="2"/>
      <c r="R836" s="2"/>
      <c r="S836" s="2"/>
      <c r="T836" s="2"/>
      <c r="U836" s="2"/>
      <c r="V836" s="2"/>
      <c r="W836" s="2"/>
      <c r="X836" s="2"/>
      <c r="Y836" s="2"/>
      <c r="Z836" s="2"/>
      <c r="AA836" s="2"/>
      <c r="AB836" s="2"/>
      <c r="AC836" s="2"/>
    </row>
    <row r="837" spans="1:29" ht="13">
      <c r="A837" s="3"/>
      <c r="B837" s="2"/>
      <c r="C837" s="3"/>
      <c r="D837" s="3"/>
      <c r="E837" s="1"/>
      <c r="F837" s="1"/>
      <c r="G837" s="1"/>
      <c r="H837" s="2"/>
      <c r="I837" s="2"/>
      <c r="J837" s="2"/>
      <c r="K837" s="2"/>
      <c r="L837" s="2"/>
      <c r="M837" s="3"/>
      <c r="N837" s="3"/>
      <c r="O837" s="2"/>
      <c r="P837" s="2"/>
      <c r="Q837" s="2"/>
      <c r="R837" s="2"/>
      <c r="S837" s="2"/>
      <c r="T837" s="2"/>
      <c r="U837" s="2"/>
      <c r="V837" s="2"/>
      <c r="W837" s="2"/>
      <c r="X837" s="2"/>
      <c r="Y837" s="2"/>
      <c r="Z837" s="2"/>
      <c r="AA837" s="2"/>
      <c r="AB837" s="2"/>
      <c r="AC837" s="2"/>
    </row>
    <row r="838" spans="1:29" ht="13">
      <c r="A838" s="3"/>
      <c r="B838" s="2"/>
      <c r="C838" s="3"/>
      <c r="D838" s="3"/>
      <c r="E838" s="1"/>
      <c r="F838" s="1"/>
      <c r="G838" s="1"/>
      <c r="H838" s="2"/>
      <c r="I838" s="2"/>
      <c r="J838" s="2"/>
      <c r="K838" s="2"/>
      <c r="L838" s="2"/>
      <c r="M838" s="3"/>
      <c r="N838" s="3"/>
      <c r="O838" s="2"/>
      <c r="P838" s="2"/>
      <c r="Q838" s="2"/>
      <c r="R838" s="2"/>
      <c r="S838" s="2"/>
      <c r="T838" s="2"/>
      <c r="U838" s="2"/>
      <c r="V838" s="2"/>
      <c r="W838" s="2"/>
      <c r="X838" s="2"/>
      <c r="Y838" s="2"/>
      <c r="Z838" s="2"/>
      <c r="AA838" s="2"/>
      <c r="AB838" s="2"/>
      <c r="AC838" s="2"/>
    </row>
    <row r="839" spans="1:29" ht="13">
      <c r="A839" s="3"/>
      <c r="B839" s="2"/>
      <c r="C839" s="3"/>
      <c r="D839" s="3"/>
      <c r="E839" s="1"/>
      <c r="F839" s="1"/>
      <c r="G839" s="1"/>
      <c r="H839" s="2"/>
      <c r="I839" s="2"/>
      <c r="J839" s="2"/>
      <c r="K839" s="2"/>
      <c r="L839" s="2"/>
      <c r="M839" s="3"/>
      <c r="N839" s="3"/>
      <c r="O839" s="2"/>
      <c r="P839" s="2"/>
      <c r="Q839" s="2"/>
      <c r="R839" s="2"/>
      <c r="S839" s="2"/>
      <c r="T839" s="2"/>
      <c r="U839" s="2"/>
      <c r="V839" s="2"/>
      <c r="W839" s="2"/>
      <c r="X839" s="2"/>
      <c r="Y839" s="2"/>
      <c r="Z839" s="2"/>
      <c r="AA839" s="2"/>
      <c r="AB839" s="2"/>
      <c r="AC839" s="2"/>
    </row>
    <row r="840" spans="1:29" ht="13">
      <c r="A840" s="3"/>
      <c r="B840" s="2"/>
      <c r="C840" s="3"/>
      <c r="D840" s="3"/>
      <c r="E840" s="1"/>
      <c r="F840" s="1"/>
      <c r="G840" s="1"/>
      <c r="H840" s="2"/>
      <c r="I840" s="2"/>
      <c r="J840" s="2"/>
      <c r="K840" s="2"/>
      <c r="L840" s="2"/>
      <c r="M840" s="3"/>
      <c r="N840" s="3"/>
      <c r="O840" s="2"/>
      <c r="P840" s="2"/>
      <c r="Q840" s="2"/>
      <c r="R840" s="2"/>
      <c r="S840" s="2"/>
      <c r="T840" s="2"/>
      <c r="U840" s="2"/>
      <c r="V840" s="2"/>
      <c r="W840" s="2"/>
      <c r="X840" s="2"/>
      <c r="Y840" s="2"/>
      <c r="Z840" s="2"/>
      <c r="AA840" s="2"/>
      <c r="AB840" s="2"/>
      <c r="AC840" s="2"/>
    </row>
    <row r="841" spans="1:29" ht="13">
      <c r="A841" s="3"/>
      <c r="B841" s="2"/>
      <c r="C841" s="3"/>
      <c r="D841" s="3"/>
      <c r="E841" s="1"/>
      <c r="F841" s="1"/>
      <c r="G841" s="1"/>
      <c r="H841" s="2"/>
      <c r="I841" s="2"/>
      <c r="J841" s="2"/>
      <c r="K841" s="2"/>
      <c r="L841" s="2"/>
      <c r="M841" s="3"/>
      <c r="N841" s="3"/>
      <c r="O841" s="2"/>
      <c r="P841" s="2"/>
      <c r="Q841" s="2"/>
      <c r="R841" s="2"/>
      <c r="S841" s="2"/>
      <c r="T841" s="2"/>
      <c r="U841" s="2"/>
      <c r="V841" s="2"/>
      <c r="W841" s="2"/>
      <c r="X841" s="2"/>
      <c r="Y841" s="2"/>
      <c r="Z841" s="2"/>
      <c r="AA841" s="2"/>
      <c r="AB841" s="2"/>
      <c r="AC841" s="2"/>
    </row>
    <row r="842" spans="1:29" ht="13">
      <c r="A842" s="3"/>
      <c r="B842" s="2"/>
      <c r="C842" s="3"/>
      <c r="D842" s="3"/>
      <c r="E842" s="1"/>
      <c r="F842" s="1"/>
      <c r="G842" s="1"/>
      <c r="H842" s="2"/>
      <c r="I842" s="2"/>
      <c r="J842" s="2"/>
      <c r="K842" s="2"/>
      <c r="L842" s="2"/>
      <c r="M842" s="3"/>
      <c r="N842" s="3"/>
      <c r="O842" s="2"/>
      <c r="P842" s="2"/>
      <c r="Q842" s="2"/>
      <c r="R842" s="2"/>
      <c r="S842" s="2"/>
      <c r="T842" s="2"/>
      <c r="U842" s="2"/>
      <c r="V842" s="2"/>
      <c r="W842" s="2"/>
      <c r="X842" s="2"/>
      <c r="Y842" s="2"/>
      <c r="Z842" s="2"/>
      <c r="AA842" s="2"/>
      <c r="AB842" s="2"/>
      <c r="AC842" s="2"/>
    </row>
    <row r="843" spans="1:29" ht="13">
      <c r="A843" s="3"/>
      <c r="B843" s="2"/>
      <c r="C843" s="3"/>
      <c r="D843" s="3"/>
      <c r="E843" s="1"/>
      <c r="F843" s="1"/>
      <c r="G843" s="1"/>
      <c r="H843" s="2"/>
      <c r="I843" s="2"/>
      <c r="J843" s="2"/>
      <c r="K843" s="2"/>
      <c r="L843" s="2"/>
      <c r="M843" s="3"/>
      <c r="N843" s="3"/>
      <c r="O843" s="2"/>
      <c r="P843" s="2"/>
      <c r="Q843" s="2"/>
      <c r="R843" s="2"/>
      <c r="S843" s="2"/>
      <c r="T843" s="2"/>
      <c r="U843" s="2"/>
      <c r="V843" s="2"/>
      <c r="W843" s="2"/>
      <c r="X843" s="2"/>
      <c r="Y843" s="2"/>
      <c r="Z843" s="2"/>
      <c r="AA843" s="2"/>
      <c r="AB843" s="2"/>
      <c r="AC843" s="2"/>
    </row>
    <row r="844" spans="1:29" ht="13">
      <c r="A844" s="3"/>
      <c r="B844" s="2"/>
      <c r="C844" s="3"/>
      <c r="D844" s="3"/>
      <c r="E844" s="1"/>
      <c r="F844" s="1"/>
      <c r="G844" s="1"/>
      <c r="H844" s="2"/>
      <c r="I844" s="2"/>
      <c r="J844" s="2"/>
      <c r="K844" s="2"/>
      <c r="L844" s="2"/>
      <c r="M844" s="3"/>
      <c r="N844" s="3"/>
      <c r="O844" s="2"/>
      <c r="P844" s="2"/>
      <c r="Q844" s="2"/>
      <c r="R844" s="2"/>
      <c r="S844" s="2"/>
      <c r="T844" s="2"/>
      <c r="U844" s="2"/>
      <c r="V844" s="2"/>
      <c r="W844" s="2"/>
      <c r="X844" s="2"/>
      <c r="Y844" s="2"/>
      <c r="Z844" s="2"/>
      <c r="AA844" s="2"/>
      <c r="AB844" s="2"/>
      <c r="AC844" s="2"/>
    </row>
    <row r="845" spans="1:29" ht="13">
      <c r="A845" s="3"/>
      <c r="B845" s="2"/>
      <c r="C845" s="3"/>
      <c r="D845" s="3"/>
      <c r="E845" s="1"/>
      <c r="F845" s="1"/>
      <c r="G845" s="1"/>
      <c r="H845" s="2"/>
      <c r="I845" s="2"/>
      <c r="J845" s="2"/>
      <c r="K845" s="2"/>
      <c r="L845" s="2"/>
      <c r="M845" s="3"/>
      <c r="N845" s="3"/>
      <c r="O845" s="2"/>
      <c r="P845" s="2"/>
      <c r="Q845" s="2"/>
      <c r="R845" s="2"/>
      <c r="S845" s="2"/>
      <c r="T845" s="2"/>
      <c r="U845" s="2"/>
      <c r="V845" s="2"/>
      <c r="W845" s="2"/>
      <c r="X845" s="2"/>
      <c r="Y845" s="2"/>
      <c r="Z845" s="2"/>
      <c r="AA845" s="2"/>
      <c r="AB845" s="2"/>
      <c r="AC845" s="2"/>
    </row>
    <row r="846" spans="1:29" ht="13">
      <c r="A846" s="3"/>
      <c r="B846" s="2"/>
      <c r="C846" s="3"/>
      <c r="D846" s="3"/>
      <c r="E846" s="1"/>
      <c r="F846" s="1"/>
      <c r="G846" s="1"/>
      <c r="H846" s="2"/>
      <c r="I846" s="2"/>
      <c r="J846" s="2"/>
      <c r="K846" s="2"/>
      <c r="L846" s="2"/>
      <c r="M846" s="3"/>
      <c r="N846" s="3"/>
      <c r="O846" s="2"/>
      <c r="P846" s="2"/>
      <c r="Q846" s="2"/>
      <c r="R846" s="2"/>
      <c r="S846" s="2"/>
      <c r="T846" s="2"/>
      <c r="U846" s="2"/>
      <c r="V846" s="2"/>
      <c r="W846" s="2"/>
      <c r="X846" s="2"/>
      <c r="Y846" s="2"/>
      <c r="Z846" s="2"/>
      <c r="AA846" s="2"/>
      <c r="AB846" s="2"/>
      <c r="AC846" s="2"/>
    </row>
    <row r="847" spans="1:29" ht="13">
      <c r="A847" s="3"/>
      <c r="B847" s="2"/>
      <c r="C847" s="3"/>
      <c r="D847" s="3"/>
      <c r="E847" s="1"/>
      <c r="F847" s="1"/>
      <c r="G847" s="1"/>
      <c r="H847" s="2"/>
      <c r="I847" s="2"/>
      <c r="J847" s="2"/>
      <c r="K847" s="2"/>
      <c r="L847" s="2"/>
      <c r="M847" s="3"/>
      <c r="N847" s="3"/>
      <c r="O847" s="2"/>
      <c r="P847" s="2"/>
      <c r="Q847" s="2"/>
      <c r="R847" s="2"/>
      <c r="S847" s="2"/>
      <c r="T847" s="2"/>
      <c r="U847" s="2"/>
      <c r="V847" s="2"/>
      <c r="W847" s="2"/>
      <c r="X847" s="2"/>
      <c r="Y847" s="2"/>
      <c r="Z847" s="2"/>
      <c r="AA847" s="2"/>
      <c r="AB847" s="2"/>
      <c r="AC847" s="2"/>
    </row>
    <row r="848" spans="1:29" ht="13">
      <c r="A848" s="3"/>
      <c r="B848" s="2"/>
      <c r="C848" s="3"/>
      <c r="D848" s="3"/>
      <c r="E848" s="1"/>
      <c r="F848" s="1"/>
      <c r="G848" s="1"/>
      <c r="H848" s="2"/>
      <c r="I848" s="2"/>
      <c r="J848" s="2"/>
      <c r="K848" s="2"/>
      <c r="L848" s="2"/>
      <c r="M848" s="3"/>
      <c r="N848" s="3"/>
      <c r="O848" s="2"/>
      <c r="P848" s="2"/>
      <c r="Q848" s="2"/>
      <c r="R848" s="2"/>
      <c r="S848" s="2"/>
      <c r="T848" s="2"/>
      <c r="U848" s="2"/>
      <c r="V848" s="2"/>
      <c r="W848" s="2"/>
      <c r="X848" s="2"/>
      <c r="Y848" s="2"/>
      <c r="Z848" s="2"/>
      <c r="AA848" s="2"/>
      <c r="AB848" s="2"/>
      <c r="AC848" s="2"/>
    </row>
    <row r="849" spans="1:29" ht="13">
      <c r="A849" s="3"/>
      <c r="B849" s="2"/>
      <c r="C849" s="3"/>
      <c r="D849" s="3"/>
      <c r="E849" s="1"/>
      <c r="F849" s="1"/>
      <c r="G849" s="1"/>
      <c r="H849" s="2"/>
      <c r="I849" s="2"/>
      <c r="J849" s="2"/>
      <c r="K849" s="2"/>
      <c r="L849" s="2"/>
      <c r="M849" s="3"/>
      <c r="N849" s="3"/>
      <c r="O849" s="2"/>
      <c r="P849" s="2"/>
      <c r="Q849" s="2"/>
      <c r="R849" s="2"/>
      <c r="S849" s="2"/>
      <c r="T849" s="2"/>
      <c r="U849" s="2"/>
      <c r="V849" s="2"/>
      <c r="W849" s="2"/>
      <c r="X849" s="2"/>
      <c r="Y849" s="2"/>
      <c r="Z849" s="2"/>
      <c r="AA849" s="2"/>
      <c r="AB849" s="2"/>
      <c r="AC849" s="2"/>
    </row>
    <row r="850" spans="1:29" ht="13">
      <c r="A850" s="3"/>
      <c r="B850" s="2"/>
      <c r="C850" s="3"/>
      <c r="D850" s="3"/>
      <c r="E850" s="1"/>
      <c r="F850" s="1"/>
      <c r="G850" s="1"/>
      <c r="H850" s="2"/>
      <c r="I850" s="2"/>
      <c r="J850" s="2"/>
      <c r="K850" s="2"/>
      <c r="L850" s="2"/>
      <c r="M850" s="3"/>
      <c r="N850" s="3"/>
      <c r="O850" s="2"/>
      <c r="P850" s="2"/>
      <c r="Q850" s="2"/>
      <c r="R850" s="2"/>
      <c r="S850" s="2"/>
      <c r="T850" s="2"/>
      <c r="U850" s="2"/>
      <c r="V850" s="2"/>
      <c r="W850" s="2"/>
      <c r="X850" s="2"/>
      <c r="Y850" s="2"/>
      <c r="Z850" s="2"/>
      <c r="AA850" s="2"/>
      <c r="AB850" s="2"/>
      <c r="AC850" s="2"/>
    </row>
    <row r="851" spans="1:29" ht="13">
      <c r="A851" s="3"/>
      <c r="B851" s="2"/>
      <c r="C851" s="3"/>
      <c r="D851" s="3"/>
      <c r="E851" s="1"/>
      <c r="F851" s="1"/>
      <c r="G851" s="1"/>
      <c r="H851" s="2"/>
      <c r="I851" s="2"/>
      <c r="J851" s="2"/>
      <c r="K851" s="2"/>
      <c r="L851" s="2"/>
      <c r="M851" s="3"/>
      <c r="N851" s="3"/>
      <c r="O851" s="2"/>
      <c r="P851" s="2"/>
      <c r="Q851" s="2"/>
      <c r="R851" s="2"/>
      <c r="S851" s="2"/>
      <c r="T851" s="2"/>
      <c r="U851" s="2"/>
      <c r="V851" s="2"/>
      <c r="W851" s="2"/>
      <c r="X851" s="2"/>
      <c r="Y851" s="2"/>
      <c r="Z851" s="2"/>
      <c r="AA851" s="2"/>
      <c r="AB851" s="2"/>
      <c r="AC851" s="2"/>
    </row>
    <row r="852" spans="1:29" ht="13">
      <c r="A852" s="3"/>
      <c r="B852" s="2"/>
      <c r="C852" s="3"/>
      <c r="D852" s="3"/>
      <c r="E852" s="1"/>
      <c r="F852" s="1"/>
      <c r="G852" s="1"/>
      <c r="H852" s="2"/>
      <c r="I852" s="2"/>
      <c r="J852" s="2"/>
      <c r="K852" s="2"/>
      <c r="L852" s="2"/>
      <c r="M852" s="3"/>
      <c r="N852" s="3"/>
      <c r="O852" s="2"/>
      <c r="P852" s="2"/>
      <c r="Q852" s="2"/>
      <c r="R852" s="2"/>
      <c r="S852" s="2"/>
      <c r="T852" s="2"/>
      <c r="U852" s="2"/>
      <c r="V852" s="2"/>
      <c r="W852" s="2"/>
      <c r="X852" s="2"/>
      <c r="Y852" s="2"/>
      <c r="Z852" s="2"/>
      <c r="AA852" s="2"/>
      <c r="AB852" s="2"/>
      <c r="AC852" s="2"/>
    </row>
    <row r="853" spans="1:29" ht="13">
      <c r="A853" s="3"/>
      <c r="B853" s="2"/>
      <c r="C853" s="3"/>
      <c r="D853" s="3"/>
      <c r="E853" s="1"/>
      <c r="F853" s="1"/>
      <c r="G853" s="1"/>
      <c r="H853" s="2"/>
      <c r="I853" s="2"/>
      <c r="J853" s="2"/>
      <c r="K853" s="2"/>
      <c r="L853" s="2"/>
      <c r="M853" s="3"/>
      <c r="N853" s="3"/>
      <c r="O853" s="2"/>
      <c r="P853" s="2"/>
      <c r="Q853" s="2"/>
      <c r="R853" s="2"/>
      <c r="S853" s="2"/>
      <c r="T853" s="2"/>
      <c r="U853" s="2"/>
      <c r="V853" s="2"/>
      <c r="W853" s="2"/>
      <c r="X853" s="2"/>
      <c r="Y853" s="2"/>
      <c r="Z853" s="2"/>
      <c r="AA853" s="2"/>
      <c r="AB853" s="2"/>
      <c r="AC853" s="2"/>
    </row>
    <row r="854" spans="1:29" ht="13">
      <c r="A854" s="3"/>
      <c r="B854" s="2"/>
      <c r="C854" s="3"/>
      <c r="D854" s="3"/>
      <c r="E854" s="1"/>
      <c r="F854" s="1"/>
      <c r="G854" s="1"/>
      <c r="H854" s="2"/>
      <c r="I854" s="2"/>
      <c r="J854" s="2"/>
      <c r="K854" s="2"/>
      <c r="L854" s="2"/>
      <c r="M854" s="3"/>
      <c r="N854" s="3"/>
      <c r="O854" s="2"/>
      <c r="P854" s="2"/>
      <c r="Q854" s="2"/>
      <c r="R854" s="2"/>
      <c r="S854" s="2"/>
      <c r="T854" s="2"/>
      <c r="U854" s="2"/>
      <c r="V854" s="2"/>
      <c r="W854" s="2"/>
      <c r="X854" s="2"/>
      <c r="Y854" s="2"/>
      <c r="Z854" s="2"/>
      <c r="AA854" s="2"/>
      <c r="AB854" s="2"/>
      <c r="AC854" s="2"/>
    </row>
    <row r="855" spans="1:29" ht="13">
      <c r="A855" s="3"/>
      <c r="B855" s="2"/>
      <c r="C855" s="3"/>
      <c r="D855" s="3"/>
      <c r="E855" s="1"/>
      <c r="F855" s="1"/>
      <c r="G855" s="1"/>
      <c r="H855" s="2"/>
      <c r="I855" s="2"/>
      <c r="J855" s="2"/>
      <c r="K855" s="2"/>
      <c r="L855" s="2"/>
      <c r="M855" s="3"/>
      <c r="N855" s="3"/>
      <c r="O855" s="2"/>
      <c r="P855" s="2"/>
      <c r="Q855" s="2"/>
      <c r="R855" s="2"/>
      <c r="S855" s="2"/>
      <c r="T855" s="2"/>
      <c r="U855" s="2"/>
      <c r="V855" s="2"/>
      <c r="W855" s="2"/>
      <c r="X855" s="2"/>
      <c r="Y855" s="2"/>
      <c r="Z855" s="2"/>
      <c r="AA855" s="2"/>
      <c r="AB855" s="2"/>
      <c r="AC855" s="2"/>
    </row>
    <row r="856" spans="1:29" ht="13">
      <c r="A856" s="3"/>
      <c r="B856" s="2"/>
      <c r="C856" s="3"/>
      <c r="D856" s="3"/>
      <c r="E856" s="1"/>
      <c r="F856" s="1"/>
      <c r="G856" s="1"/>
      <c r="H856" s="2"/>
      <c r="I856" s="2"/>
      <c r="J856" s="2"/>
      <c r="K856" s="2"/>
      <c r="L856" s="2"/>
      <c r="M856" s="3"/>
      <c r="N856" s="3"/>
      <c r="O856" s="2"/>
      <c r="P856" s="2"/>
      <c r="Q856" s="2"/>
      <c r="R856" s="2"/>
      <c r="S856" s="2"/>
      <c r="T856" s="2"/>
      <c r="U856" s="2"/>
      <c r="V856" s="2"/>
      <c r="W856" s="2"/>
      <c r="X856" s="2"/>
      <c r="Y856" s="2"/>
      <c r="Z856" s="2"/>
      <c r="AA856" s="2"/>
      <c r="AB856" s="2"/>
      <c r="AC856" s="2"/>
    </row>
    <row r="857" spans="1:29" ht="13">
      <c r="A857" s="3"/>
      <c r="B857" s="2"/>
      <c r="C857" s="3"/>
      <c r="D857" s="3"/>
      <c r="E857" s="1"/>
      <c r="F857" s="1"/>
      <c r="G857" s="1"/>
      <c r="H857" s="2"/>
      <c r="I857" s="2"/>
      <c r="J857" s="2"/>
      <c r="K857" s="2"/>
      <c r="L857" s="2"/>
      <c r="M857" s="3"/>
      <c r="N857" s="3"/>
      <c r="O857" s="2"/>
      <c r="P857" s="2"/>
      <c r="Q857" s="2"/>
      <c r="R857" s="2"/>
      <c r="S857" s="2"/>
      <c r="T857" s="2"/>
      <c r="U857" s="2"/>
      <c r="V857" s="2"/>
      <c r="W857" s="2"/>
      <c r="X857" s="2"/>
      <c r="Y857" s="2"/>
      <c r="Z857" s="2"/>
      <c r="AA857" s="2"/>
      <c r="AB857" s="2"/>
      <c r="AC857" s="2"/>
    </row>
    <row r="858" spans="1:29" ht="13">
      <c r="A858" s="3"/>
      <c r="B858" s="2"/>
      <c r="C858" s="3"/>
      <c r="D858" s="3"/>
      <c r="E858" s="1"/>
      <c r="F858" s="1"/>
      <c r="G858" s="1"/>
      <c r="H858" s="2"/>
      <c r="I858" s="2"/>
      <c r="J858" s="2"/>
      <c r="K858" s="2"/>
      <c r="L858" s="2"/>
      <c r="M858" s="3"/>
      <c r="N858" s="3"/>
      <c r="O858" s="2"/>
      <c r="P858" s="2"/>
      <c r="Q858" s="2"/>
      <c r="R858" s="2"/>
      <c r="S858" s="2"/>
      <c r="T858" s="2"/>
      <c r="U858" s="2"/>
      <c r="V858" s="2"/>
      <c r="W858" s="2"/>
      <c r="X858" s="2"/>
      <c r="Y858" s="2"/>
      <c r="Z858" s="2"/>
      <c r="AA858" s="2"/>
      <c r="AB858" s="2"/>
      <c r="AC858" s="2"/>
    </row>
    <row r="859" spans="1:29" ht="13">
      <c r="A859" s="3"/>
      <c r="B859" s="2"/>
      <c r="C859" s="3"/>
      <c r="D859" s="3"/>
      <c r="E859" s="1"/>
      <c r="F859" s="1"/>
      <c r="G859" s="1"/>
      <c r="H859" s="2"/>
      <c r="I859" s="2"/>
      <c r="J859" s="2"/>
      <c r="K859" s="2"/>
      <c r="L859" s="2"/>
      <c r="M859" s="3"/>
      <c r="N859" s="3"/>
      <c r="O859" s="2"/>
      <c r="P859" s="2"/>
      <c r="Q859" s="2"/>
      <c r="R859" s="2"/>
      <c r="S859" s="2"/>
      <c r="T859" s="2"/>
      <c r="U859" s="2"/>
      <c r="V859" s="2"/>
      <c r="W859" s="2"/>
      <c r="X859" s="2"/>
      <c r="Y859" s="2"/>
      <c r="Z859" s="2"/>
      <c r="AA859" s="2"/>
      <c r="AB859" s="2"/>
      <c r="AC859" s="2"/>
    </row>
    <row r="860" spans="1:29" ht="13">
      <c r="A860" s="3"/>
      <c r="B860" s="2"/>
      <c r="C860" s="3"/>
      <c r="D860" s="3"/>
      <c r="E860" s="1"/>
      <c r="F860" s="1"/>
      <c r="G860" s="1"/>
      <c r="H860" s="2"/>
      <c r="I860" s="2"/>
      <c r="J860" s="2"/>
      <c r="K860" s="2"/>
      <c r="L860" s="2"/>
      <c r="M860" s="3"/>
      <c r="N860" s="3"/>
      <c r="O860" s="2"/>
      <c r="P860" s="2"/>
      <c r="Q860" s="2"/>
      <c r="R860" s="2"/>
      <c r="S860" s="2"/>
      <c r="T860" s="2"/>
      <c r="U860" s="2"/>
      <c r="V860" s="2"/>
      <c r="W860" s="2"/>
      <c r="X860" s="2"/>
      <c r="Y860" s="2"/>
      <c r="Z860" s="2"/>
      <c r="AA860" s="2"/>
      <c r="AB860" s="2"/>
      <c r="AC860" s="2"/>
    </row>
    <row r="861" spans="1:29" ht="13">
      <c r="A861" s="3"/>
      <c r="B861" s="2"/>
      <c r="C861" s="3"/>
      <c r="D861" s="3"/>
      <c r="E861" s="1"/>
      <c r="F861" s="1"/>
      <c r="G861" s="1"/>
      <c r="H861" s="2"/>
      <c r="I861" s="2"/>
      <c r="J861" s="2"/>
      <c r="K861" s="2"/>
      <c r="L861" s="2"/>
      <c r="M861" s="3"/>
      <c r="N861" s="3"/>
      <c r="O861" s="2"/>
      <c r="P861" s="2"/>
      <c r="Q861" s="2"/>
      <c r="R861" s="2"/>
      <c r="S861" s="2"/>
      <c r="T861" s="2"/>
      <c r="U861" s="2"/>
      <c r="V861" s="2"/>
      <c r="W861" s="2"/>
      <c r="X861" s="2"/>
      <c r="Y861" s="2"/>
      <c r="Z861" s="2"/>
      <c r="AA861" s="2"/>
      <c r="AB861" s="2"/>
      <c r="AC861" s="2"/>
    </row>
    <row r="862" spans="1:29" ht="13">
      <c r="A862" s="3"/>
      <c r="B862" s="2"/>
      <c r="C862" s="3"/>
      <c r="D862" s="3"/>
      <c r="E862" s="1"/>
      <c r="F862" s="1"/>
      <c r="G862" s="1"/>
      <c r="H862" s="2"/>
      <c r="I862" s="2"/>
      <c r="J862" s="2"/>
      <c r="K862" s="2"/>
      <c r="L862" s="2"/>
      <c r="M862" s="3"/>
      <c r="N862" s="3"/>
      <c r="O862" s="2"/>
      <c r="P862" s="2"/>
      <c r="Q862" s="2"/>
      <c r="R862" s="2"/>
      <c r="S862" s="2"/>
      <c r="T862" s="2"/>
      <c r="U862" s="2"/>
      <c r="V862" s="2"/>
      <c r="W862" s="2"/>
      <c r="X862" s="2"/>
      <c r="Y862" s="2"/>
      <c r="Z862" s="2"/>
      <c r="AA862" s="2"/>
      <c r="AB862" s="2"/>
      <c r="AC862" s="2"/>
    </row>
    <row r="863" spans="1:29" ht="13">
      <c r="A863" s="3"/>
      <c r="B863" s="2"/>
      <c r="C863" s="3"/>
      <c r="D863" s="3"/>
      <c r="E863" s="1"/>
      <c r="F863" s="1"/>
      <c r="G863" s="1"/>
      <c r="H863" s="2"/>
      <c r="I863" s="2"/>
      <c r="J863" s="2"/>
      <c r="K863" s="2"/>
      <c r="L863" s="2"/>
      <c r="M863" s="3"/>
      <c r="N863" s="3"/>
      <c r="O863" s="2"/>
      <c r="P863" s="2"/>
      <c r="Q863" s="2"/>
      <c r="R863" s="2"/>
      <c r="S863" s="2"/>
      <c r="T863" s="2"/>
      <c r="U863" s="2"/>
      <c r="V863" s="2"/>
      <c r="W863" s="2"/>
      <c r="X863" s="2"/>
      <c r="Y863" s="2"/>
      <c r="Z863" s="2"/>
      <c r="AA863" s="2"/>
      <c r="AB863" s="2"/>
      <c r="AC863" s="2"/>
    </row>
    <row r="864" spans="1:29" ht="13">
      <c r="A864" s="3"/>
      <c r="B864" s="2"/>
      <c r="C864" s="3"/>
      <c r="D864" s="3"/>
      <c r="E864" s="1"/>
      <c r="F864" s="1"/>
      <c r="G864" s="1"/>
      <c r="H864" s="2"/>
      <c r="I864" s="2"/>
      <c r="J864" s="2"/>
      <c r="K864" s="2"/>
      <c r="L864" s="2"/>
      <c r="M864" s="3"/>
      <c r="N864" s="3"/>
      <c r="O864" s="2"/>
      <c r="P864" s="2"/>
      <c r="Q864" s="2"/>
      <c r="R864" s="2"/>
      <c r="S864" s="2"/>
      <c r="T864" s="2"/>
      <c r="U864" s="2"/>
      <c r="V864" s="2"/>
      <c r="W864" s="2"/>
      <c r="X864" s="2"/>
      <c r="Y864" s="2"/>
      <c r="Z864" s="2"/>
      <c r="AA864" s="2"/>
      <c r="AB864" s="2"/>
      <c r="AC864" s="2"/>
    </row>
    <row r="865" spans="1:29" ht="13">
      <c r="A865" s="3"/>
      <c r="B865" s="2"/>
      <c r="C865" s="3"/>
      <c r="D865" s="3"/>
      <c r="E865" s="1"/>
      <c r="F865" s="1"/>
      <c r="G865" s="1"/>
      <c r="H865" s="2"/>
      <c r="I865" s="2"/>
      <c r="J865" s="2"/>
      <c r="K865" s="2"/>
      <c r="L865" s="2"/>
      <c r="M865" s="3"/>
      <c r="N865" s="3"/>
      <c r="O865" s="2"/>
      <c r="P865" s="2"/>
      <c r="Q865" s="2"/>
      <c r="R865" s="2"/>
      <c r="S865" s="2"/>
      <c r="T865" s="2"/>
      <c r="U865" s="2"/>
      <c r="V865" s="2"/>
      <c r="W865" s="2"/>
      <c r="X865" s="2"/>
      <c r="Y865" s="2"/>
      <c r="Z865" s="2"/>
      <c r="AA865" s="2"/>
      <c r="AB865" s="2"/>
      <c r="AC865" s="2"/>
    </row>
    <row r="866" spans="1:29" ht="13">
      <c r="A866" s="3"/>
      <c r="B866" s="2"/>
      <c r="C866" s="3"/>
      <c r="D866" s="3"/>
      <c r="E866" s="1"/>
      <c r="F866" s="1"/>
      <c r="G866" s="1"/>
      <c r="H866" s="2"/>
      <c r="I866" s="2"/>
      <c r="J866" s="2"/>
      <c r="K866" s="2"/>
      <c r="L866" s="2"/>
      <c r="M866" s="3"/>
      <c r="N866" s="3"/>
      <c r="O866" s="2"/>
      <c r="P866" s="2"/>
      <c r="Q866" s="2"/>
      <c r="R866" s="2"/>
      <c r="S866" s="2"/>
      <c r="T866" s="2"/>
      <c r="U866" s="2"/>
      <c r="V866" s="2"/>
      <c r="W866" s="2"/>
      <c r="X866" s="2"/>
      <c r="Y866" s="2"/>
      <c r="Z866" s="2"/>
      <c r="AA866" s="2"/>
      <c r="AB866" s="2"/>
      <c r="AC866" s="2"/>
    </row>
    <row r="867" spans="1:29" ht="13">
      <c r="A867" s="3"/>
      <c r="B867" s="2"/>
      <c r="C867" s="3"/>
      <c r="D867" s="3"/>
      <c r="E867" s="1"/>
      <c r="F867" s="1"/>
      <c r="G867" s="1"/>
      <c r="H867" s="2"/>
      <c r="I867" s="2"/>
      <c r="J867" s="2"/>
      <c r="K867" s="2"/>
      <c r="L867" s="2"/>
      <c r="M867" s="3"/>
      <c r="N867" s="3"/>
      <c r="O867" s="2"/>
      <c r="P867" s="2"/>
      <c r="Q867" s="2"/>
      <c r="R867" s="2"/>
      <c r="S867" s="2"/>
      <c r="T867" s="2"/>
      <c r="U867" s="2"/>
      <c r="V867" s="2"/>
      <c r="W867" s="2"/>
      <c r="X867" s="2"/>
      <c r="Y867" s="2"/>
      <c r="Z867" s="2"/>
      <c r="AA867" s="2"/>
      <c r="AB867" s="2"/>
      <c r="AC867" s="2"/>
    </row>
    <row r="868" spans="1:29" ht="13">
      <c r="A868" s="3"/>
      <c r="B868" s="2"/>
      <c r="C868" s="3"/>
      <c r="D868" s="3"/>
      <c r="E868" s="1"/>
      <c r="F868" s="1"/>
      <c r="G868" s="1"/>
      <c r="H868" s="2"/>
      <c r="I868" s="2"/>
      <c r="J868" s="2"/>
      <c r="K868" s="2"/>
      <c r="L868" s="2"/>
      <c r="M868" s="3"/>
      <c r="N868" s="3"/>
      <c r="O868" s="2"/>
      <c r="P868" s="2"/>
      <c r="Q868" s="2"/>
      <c r="R868" s="2"/>
      <c r="S868" s="2"/>
      <c r="T868" s="2"/>
      <c r="U868" s="2"/>
      <c r="V868" s="2"/>
      <c r="W868" s="2"/>
      <c r="X868" s="2"/>
      <c r="Y868" s="2"/>
      <c r="Z868" s="2"/>
      <c r="AA868" s="2"/>
      <c r="AB868" s="2"/>
      <c r="AC868" s="2"/>
    </row>
    <row r="869" spans="1:29" ht="13">
      <c r="A869" s="3"/>
      <c r="B869" s="2"/>
      <c r="C869" s="3"/>
      <c r="D869" s="3"/>
      <c r="E869" s="1"/>
      <c r="F869" s="1"/>
      <c r="G869" s="1"/>
      <c r="H869" s="2"/>
      <c r="I869" s="2"/>
      <c r="J869" s="2"/>
      <c r="K869" s="2"/>
      <c r="L869" s="2"/>
      <c r="M869" s="3"/>
      <c r="N869" s="3"/>
      <c r="O869" s="2"/>
      <c r="P869" s="2"/>
      <c r="Q869" s="2"/>
      <c r="R869" s="2"/>
      <c r="S869" s="2"/>
      <c r="T869" s="2"/>
      <c r="U869" s="2"/>
      <c r="V869" s="2"/>
      <c r="W869" s="2"/>
      <c r="X869" s="2"/>
      <c r="Y869" s="2"/>
      <c r="Z869" s="2"/>
      <c r="AA869" s="2"/>
      <c r="AB869" s="2"/>
      <c r="AC869" s="2"/>
    </row>
    <row r="870" spans="1:29" ht="13">
      <c r="A870" s="3"/>
      <c r="B870" s="2"/>
      <c r="C870" s="3"/>
      <c r="D870" s="3"/>
      <c r="E870" s="1"/>
      <c r="F870" s="1"/>
      <c r="G870" s="1"/>
      <c r="H870" s="2"/>
      <c r="I870" s="2"/>
      <c r="J870" s="2"/>
      <c r="K870" s="2"/>
      <c r="L870" s="2"/>
      <c r="M870" s="3"/>
      <c r="N870" s="3"/>
      <c r="O870" s="2"/>
      <c r="P870" s="2"/>
      <c r="Q870" s="2"/>
      <c r="R870" s="2"/>
      <c r="S870" s="2"/>
      <c r="T870" s="2"/>
      <c r="U870" s="2"/>
      <c r="V870" s="2"/>
      <c r="W870" s="2"/>
      <c r="X870" s="2"/>
      <c r="Y870" s="2"/>
      <c r="Z870" s="2"/>
      <c r="AA870" s="2"/>
      <c r="AB870" s="2"/>
      <c r="AC870" s="2"/>
    </row>
    <row r="871" spans="1:29" ht="13">
      <c r="A871" s="3"/>
      <c r="B871" s="2"/>
      <c r="C871" s="3"/>
      <c r="D871" s="3"/>
      <c r="E871" s="1"/>
      <c r="F871" s="1"/>
      <c r="G871" s="1"/>
      <c r="H871" s="2"/>
      <c r="I871" s="2"/>
      <c r="J871" s="2"/>
      <c r="K871" s="2"/>
      <c r="L871" s="2"/>
      <c r="M871" s="3"/>
      <c r="N871" s="3"/>
      <c r="O871" s="2"/>
      <c r="P871" s="2"/>
      <c r="Q871" s="2"/>
      <c r="R871" s="2"/>
      <c r="S871" s="2"/>
      <c r="T871" s="2"/>
      <c r="U871" s="2"/>
      <c r="V871" s="2"/>
      <c r="W871" s="2"/>
      <c r="X871" s="2"/>
      <c r="Y871" s="2"/>
      <c r="Z871" s="2"/>
      <c r="AA871" s="2"/>
      <c r="AB871" s="2"/>
      <c r="AC871" s="2"/>
    </row>
    <row r="872" spans="1:29" ht="13">
      <c r="A872" s="3"/>
      <c r="B872" s="2"/>
      <c r="C872" s="3"/>
      <c r="D872" s="3"/>
      <c r="E872" s="1"/>
      <c r="F872" s="1"/>
      <c r="G872" s="1"/>
      <c r="H872" s="2"/>
      <c r="I872" s="2"/>
      <c r="J872" s="2"/>
      <c r="K872" s="2"/>
      <c r="L872" s="2"/>
      <c r="M872" s="3"/>
      <c r="N872" s="3"/>
      <c r="O872" s="2"/>
      <c r="P872" s="2"/>
      <c r="Q872" s="2"/>
      <c r="R872" s="2"/>
      <c r="S872" s="2"/>
      <c r="T872" s="2"/>
      <c r="U872" s="2"/>
      <c r="V872" s="2"/>
      <c r="W872" s="2"/>
      <c r="X872" s="2"/>
      <c r="Y872" s="2"/>
      <c r="Z872" s="2"/>
      <c r="AA872" s="2"/>
      <c r="AB872" s="2"/>
      <c r="AC872" s="2"/>
    </row>
    <row r="873" spans="1:29" ht="13">
      <c r="A873" s="3"/>
      <c r="B873" s="2"/>
      <c r="C873" s="3"/>
      <c r="D873" s="3"/>
      <c r="E873" s="1"/>
      <c r="F873" s="1"/>
      <c r="G873" s="1"/>
      <c r="H873" s="2"/>
      <c r="I873" s="2"/>
      <c r="J873" s="2"/>
      <c r="K873" s="2"/>
      <c r="L873" s="2"/>
      <c r="M873" s="3"/>
      <c r="N873" s="3"/>
      <c r="O873" s="2"/>
      <c r="P873" s="2"/>
      <c r="Q873" s="2"/>
      <c r="R873" s="2"/>
      <c r="S873" s="2"/>
      <c r="T873" s="2"/>
      <c r="U873" s="2"/>
      <c r="V873" s="2"/>
      <c r="W873" s="2"/>
      <c r="X873" s="2"/>
      <c r="Y873" s="2"/>
      <c r="Z873" s="2"/>
      <c r="AA873" s="2"/>
      <c r="AB873" s="2"/>
      <c r="AC873" s="2"/>
    </row>
    <row r="874" spans="1:29" ht="13">
      <c r="A874" s="3"/>
      <c r="B874" s="2"/>
      <c r="C874" s="3"/>
      <c r="D874" s="3"/>
      <c r="E874" s="1"/>
      <c r="F874" s="1"/>
      <c r="G874" s="1"/>
      <c r="H874" s="2"/>
      <c r="I874" s="2"/>
      <c r="J874" s="2"/>
      <c r="K874" s="2"/>
      <c r="L874" s="2"/>
      <c r="M874" s="3"/>
      <c r="N874" s="3"/>
      <c r="O874" s="2"/>
      <c r="P874" s="2"/>
      <c r="Q874" s="2"/>
      <c r="R874" s="2"/>
      <c r="S874" s="2"/>
      <c r="T874" s="2"/>
      <c r="U874" s="2"/>
      <c r="V874" s="2"/>
      <c r="W874" s="2"/>
      <c r="X874" s="2"/>
      <c r="Y874" s="2"/>
      <c r="Z874" s="2"/>
      <c r="AA874" s="2"/>
      <c r="AB874" s="2"/>
      <c r="AC874" s="2"/>
    </row>
    <row r="875" spans="1:29" ht="13">
      <c r="A875" s="3"/>
      <c r="B875" s="2"/>
      <c r="C875" s="3"/>
      <c r="D875" s="3"/>
      <c r="E875" s="1"/>
      <c r="F875" s="1"/>
      <c r="G875" s="1"/>
      <c r="H875" s="2"/>
      <c r="I875" s="2"/>
      <c r="J875" s="2"/>
      <c r="K875" s="2"/>
      <c r="L875" s="2"/>
      <c r="M875" s="3"/>
      <c r="N875" s="3"/>
      <c r="O875" s="2"/>
      <c r="P875" s="2"/>
      <c r="Q875" s="2"/>
      <c r="R875" s="2"/>
      <c r="S875" s="2"/>
      <c r="T875" s="2"/>
      <c r="U875" s="2"/>
      <c r="V875" s="2"/>
      <c r="W875" s="2"/>
      <c r="X875" s="2"/>
      <c r="Y875" s="2"/>
      <c r="Z875" s="2"/>
      <c r="AA875" s="2"/>
      <c r="AB875" s="2"/>
      <c r="AC875" s="2"/>
    </row>
    <row r="876" spans="1:29" ht="13">
      <c r="A876" s="3"/>
      <c r="B876" s="2"/>
      <c r="C876" s="3"/>
      <c r="D876" s="3"/>
      <c r="E876" s="1"/>
      <c r="F876" s="1"/>
      <c r="G876" s="1"/>
      <c r="H876" s="2"/>
      <c r="I876" s="2"/>
      <c r="J876" s="2"/>
      <c r="K876" s="2"/>
      <c r="L876" s="2"/>
      <c r="M876" s="3"/>
      <c r="N876" s="3"/>
      <c r="O876" s="2"/>
      <c r="P876" s="2"/>
      <c r="Q876" s="2"/>
      <c r="R876" s="2"/>
      <c r="S876" s="2"/>
      <c r="T876" s="2"/>
      <c r="U876" s="2"/>
      <c r="V876" s="2"/>
      <c r="W876" s="2"/>
      <c r="X876" s="2"/>
      <c r="Y876" s="2"/>
      <c r="Z876" s="2"/>
      <c r="AA876" s="2"/>
      <c r="AB876" s="2"/>
      <c r="AC876" s="2"/>
    </row>
    <row r="877" spans="1:29" ht="13">
      <c r="A877" s="3"/>
      <c r="B877" s="2"/>
      <c r="C877" s="3"/>
      <c r="D877" s="3"/>
      <c r="E877" s="1"/>
      <c r="F877" s="1"/>
      <c r="G877" s="1"/>
      <c r="H877" s="2"/>
      <c r="I877" s="2"/>
      <c r="J877" s="2"/>
      <c r="K877" s="2"/>
      <c r="L877" s="2"/>
      <c r="M877" s="3"/>
      <c r="N877" s="3"/>
      <c r="O877" s="2"/>
      <c r="P877" s="2"/>
      <c r="Q877" s="2"/>
      <c r="R877" s="2"/>
      <c r="S877" s="2"/>
      <c r="T877" s="2"/>
      <c r="U877" s="2"/>
      <c r="V877" s="2"/>
      <c r="W877" s="2"/>
      <c r="X877" s="2"/>
      <c r="Y877" s="2"/>
      <c r="Z877" s="2"/>
      <c r="AA877" s="2"/>
      <c r="AB877" s="2"/>
      <c r="AC877" s="2"/>
    </row>
    <row r="878" spans="1:29" ht="13">
      <c r="A878" s="3"/>
      <c r="B878" s="2"/>
      <c r="C878" s="3"/>
      <c r="D878" s="3"/>
      <c r="E878" s="1"/>
      <c r="F878" s="1"/>
      <c r="G878" s="1"/>
      <c r="H878" s="2"/>
      <c r="I878" s="2"/>
      <c r="J878" s="2"/>
      <c r="K878" s="2"/>
      <c r="L878" s="2"/>
      <c r="M878" s="3"/>
      <c r="N878" s="3"/>
      <c r="O878" s="2"/>
      <c r="P878" s="2"/>
      <c r="Q878" s="2"/>
      <c r="R878" s="2"/>
      <c r="S878" s="2"/>
      <c r="T878" s="2"/>
      <c r="U878" s="2"/>
      <c r="V878" s="2"/>
      <c r="W878" s="2"/>
      <c r="X878" s="2"/>
      <c r="Y878" s="2"/>
      <c r="Z878" s="2"/>
      <c r="AA878" s="2"/>
      <c r="AB878" s="2"/>
      <c r="AC878" s="2"/>
    </row>
    <row r="879" spans="1:29" ht="13">
      <c r="A879" s="3"/>
      <c r="B879" s="2"/>
      <c r="C879" s="3"/>
      <c r="D879" s="3"/>
      <c r="E879" s="1"/>
      <c r="F879" s="1"/>
      <c r="G879" s="1"/>
      <c r="H879" s="2"/>
      <c r="I879" s="2"/>
      <c r="J879" s="2"/>
      <c r="K879" s="2"/>
      <c r="L879" s="2"/>
      <c r="M879" s="3"/>
      <c r="N879" s="3"/>
      <c r="O879" s="2"/>
      <c r="P879" s="2"/>
      <c r="Q879" s="2"/>
      <c r="R879" s="2"/>
      <c r="S879" s="2"/>
      <c r="T879" s="2"/>
      <c r="U879" s="2"/>
      <c r="V879" s="2"/>
      <c r="W879" s="2"/>
      <c r="X879" s="2"/>
      <c r="Y879" s="2"/>
      <c r="Z879" s="2"/>
      <c r="AA879" s="2"/>
      <c r="AB879" s="2"/>
      <c r="AC879" s="2"/>
    </row>
    <row r="880" spans="1:29" ht="13">
      <c r="A880" s="3"/>
      <c r="B880" s="2"/>
      <c r="C880" s="3"/>
      <c r="D880" s="3"/>
      <c r="E880" s="1"/>
      <c r="F880" s="1"/>
      <c r="G880" s="1"/>
      <c r="H880" s="2"/>
      <c r="I880" s="2"/>
      <c r="J880" s="2"/>
      <c r="K880" s="2"/>
      <c r="L880" s="2"/>
      <c r="M880" s="3"/>
      <c r="N880" s="3"/>
      <c r="O880" s="2"/>
      <c r="P880" s="2"/>
      <c r="Q880" s="2"/>
      <c r="R880" s="2"/>
      <c r="S880" s="2"/>
      <c r="T880" s="2"/>
      <c r="U880" s="2"/>
      <c r="V880" s="2"/>
      <c r="W880" s="2"/>
      <c r="X880" s="2"/>
      <c r="Y880" s="2"/>
      <c r="Z880" s="2"/>
      <c r="AA880" s="2"/>
      <c r="AB880" s="2"/>
      <c r="AC880" s="2"/>
    </row>
    <row r="881" spans="1:29" ht="13">
      <c r="A881" s="3"/>
      <c r="B881" s="2"/>
      <c r="C881" s="3"/>
      <c r="D881" s="3"/>
      <c r="E881" s="1"/>
      <c r="F881" s="1"/>
      <c r="G881" s="1"/>
      <c r="H881" s="2"/>
      <c r="I881" s="2"/>
      <c r="J881" s="2"/>
      <c r="K881" s="2"/>
      <c r="L881" s="2"/>
      <c r="M881" s="3"/>
      <c r="N881" s="3"/>
      <c r="O881" s="2"/>
      <c r="P881" s="2"/>
      <c r="Q881" s="2"/>
      <c r="R881" s="2"/>
      <c r="S881" s="2"/>
      <c r="T881" s="2"/>
      <c r="U881" s="2"/>
      <c r="V881" s="2"/>
      <c r="W881" s="2"/>
      <c r="X881" s="2"/>
      <c r="Y881" s="2"/>
      <c r="Z881" s="2"/>
      <c r="AA881" s="2"/>
      <c r="AB881" s="2"/>
      <c r="AC881" s="2"/>
    </row>
    <row r="882" spans="1:29" ht="13">
      <c r="A882" s="3"/>
      <c r="B882" s="2"/>
      <c r="C882" s="3"/>
      <c r="D882" s="3"/>
      <c r="E882" s="1"/>
      <c r="F882" s="1"/>
      <c r="G882" s="1"/>
      <c r="H882" s="2"/>
      <c r="I882" s="2"/>
      <c r="J882" s="2"/>
      <c r="K882" s="2"/>
      <c r="L882" s="2"/>
      <c r="M882" s="3"/>
      <c r="N882" s="3"/>
      <c r="O882" s="2"/>
      <c r="P882" s="2"/>
      <c r="Q882" s="2"/>
      <c r="R882" s="2"/>
      <c r="S882" s="2"/>
      <c r="T882" s="2"/>
      <c r="U882" s="2"/>
      <c r="V882" s="2"/>
      <c r="W882" s="2"/>
      <c r="X882" s="2"/>
      <c r="Y882" s="2"/>
      <c r="Z882" s="2"/>
      <c r="AA882" s="2"/>
      <c r="AB882" s="2"/>
      <c r="AC882" s="2"/>
    </row>
    <row r="883" spans="1:29" ht="13">
      <c r="A883" s="3"/>
      <c r="B883" s="2"/>
      <c r="C883" s="3"/>
      <c r="D883" s="3"/>
      <c r="E883" s="1"/>
      <c r="F883" s="1"/>
      <c r="G883" s="1"/>
      <c r="H883" s="2"/>
      <c r="I883" s="2"/>
      <c r="J883" s="2"/>
      <c r="K883" s="2"/>
      <c r="L883" s="2"/>
      <c r="M883" s="3"/>
      <c r="N883" s="3"/>
      <c r="O883" s="2"/>
      <c r="P883" s="2"/>
      <c r="Q883" s="2"/>
      <c r="R883" s="2"/>
      <c r="S883" s="2"/>
      <c r="T883" s="2"/>
      <c r="U883" s="2"/>
      <c r="V883" s="2"/>
      <c r="W883" s="2"/>
      <c r="X883" s="2"/>
      <c r="Y883" s="2"/>
      <c r="Z883" s="2"/>
      <c r="AA883" s="2"/>
      <c r="AB883" s="2"/>
      <c r="AC883" s="2"/>
    </row>
    <row r="884" spans="1:29" ht="13">
      <c r="A884" s="3"/>
      <c r="B884" s="2"/>
      <c r="C884" s="3"/>
      <c r="D884" s="3"/>
      <c r="E884" s="1"/>
      <c r="F884" s="1"/>
      <c r="G884" s="1"/>
      <c r="H884" s="2"/>
      <c r="I884" s="2"/>
      <c r="J884" s="2"/>
      <c r="K884" s="2"/>
      <c r="L884" s="2"/>
      <c r="M884" s="3"/>
      <c r="N884" s="3"/>
      <c r="O884" s="2"/>
      <c r="P884" s="2"/>
      <c r="Q884" s="2"/>
      <c r="R884" s="2"/>
      <c r="S884" s="2"/>
      <c r="T884" s="2"/>
      <c r="U884" s="2"/>
      <c r="V884" s="2"/>
      <c r="W884" s="2"/>
      <c r="X884" s="2"/>
      <c r="Y884" s="2"/>
      <c r="Z884" s="2"/>
      <c r="AA884" s="2"/>
      <c r="AB884" s="2"/>
      <c r="AC884" s="2"/>
    </row>
    <row r="885" spans="1:29" ht="13">
      <c r="A885" s="3"/>
      <c r="B885" s="2"/>
      <c r="C885" s="3"/>
      <c r="D885" s="3"/>
      <c r="E885" s="1"/>
      <c r="F885" s="1"/>
      <c r="G885" s="1"/>
      <c r="H885" s="2"/>
      <c r="I885" s="2"/>
      <c r="J885" s="2"/>
      <c r="K885" s="2"/>
      <c r="L885" s="2"/>
      <c r="M885" s="3"/>
      <c r="N885" s="3"/>
      <c r="O885" s="2"/>
      <c r="P885" s="2"/>
      <c r="Q885" s="2"/>
      <c r="R885" s="2"/>
      <c r="S885" s="2"/>
      <c r="T885" s="2"/>
      <c r="U885" s="2"/>
      <c r="V885" s="2"/>
      <c r="W885" s="2"/>
      <c r="X885" s="2"/>
      <c r="Y885" s="2"/>
      <c r="Z885" s="2"/>
      <c r="AA885" s="2"/>
      <c r="AB885" s="2"/>
      <c r="AC885" s="2"/>
    </row>
    <row r="886" spans="1:29" ht="13">
      <c r="A886" s="3"/>
      <c r="B886" s="2"/>
      <c r="C886" s="3"/>
      <c r="D886" s="3"/>
      <c r="E886" s="1"/>
      <c r="F886" s="1"/>
      <c r="G886" s="1"/>
      <c r="H886" s="2"/>
      <c r="I886" s="2"/>
      <c r="J886" s="2"/>
      <c r="K886" s="2"/>
      <c r="L886" s="2"/>
      <c r="M886" s="3"/>
      <c r="N886" s="3"/>
      <c r="O886" s="2"/>
      <c r="P886" s="2"/>
      <c r="Q886" s="2"/>
      <c r="R886" s="2"/>
      <c r="S886" s="2"/>
      <c r="T886" s="2"/>
      <c r="U886" s="2"/>
      <c r="V886" s="2"/>
      <c r="W886" s="2"/>
      <c r="X886" s="2"/>
      <c r="Y886" s="2"/>
      <c r="Z886" s="2"/>
      <c r="AA886" s="2"/>
      <c r="AB886" s="2"/>
      <c r="AC886" s="2"/>
    </row>
    <row r="887" spans="1:29" ht="13">
      <c r="A887" s="3"/>
      <c r="B887" s="2"/>
      <c r="C887" s="3"/>
      <c r="D887" s="3"/>
      <c r="E887" s="1"/>
      <c r="F887" s="1"/>
      <c r="G887" s="1"/>
      <c r="H887" s="2"/>
      <c r="I887" s="2"/>
      <c r="J887" s="2"/>
      <c r="K887" s="2"/>
      <c r="L887" s="2"/>
      <c r="M887" s="3"/>
      <c r="N887" s="3"/>
      <c r="O887" s="2"/>
      <c r="P887" s="2"/>
      <c r="Q887" s="2"/>
      <c r="R887" s="2"/>
      <c r="S887" s="2"/>
      <c r="T887" s="2"/>
      <c r="U887" s="2"/>
      <c r="V887" s="2"/>
      <c r="W887" s="2"/>
      <c r="X887" s="2"/>
      <c r="Y887" s="2"/>
      <c r="Z887" s="2"/>
      <c r="AA887" s="2"/>
      <c r="AB887" s="2"/>
      <c r="AC887" s="2"/>
    </row>
    <row r="888" spans="1:29" ht="13">
      <c r="A888" s="3"/>
      <c r="B888" s="2"/>
      <c r="C888" s="3"/>
      <c r="D888" s="3"/>
      <c r="E888" s="1"/>
      <c r="F888" s="1"/>
      <c r="G888" s="1"/>
      <c r="H888" s="2"/>
      <c r="I888" s="2"/>
      <c r="J888" s="2"/>
      <c r="K888" s="2"/>
      <c r="L888" s="2"/>
      <c r="M888" s="3"/>
      <c r="N888" s="3"/>
      <c r="O888" s="2"/>
      <c r="P888" s="2"/>
      <c r="Q888" s="2"/>
      <c r="R888" s="2"/>
      <c r="S888" s="2"/>
      <c r="T888" s="2"/>
      <c r="U888" s="2"/>
      <c r="V888" s="2"/>
      <c r="W888" s="2"/>
      <c r="X888" s="2"/>
      <c r="Y888" s="2"/>
      <c r="Z888" s="2"/>
      <c r="AA888" s="2"/>
      <c r="AB888" s="2"/>
      <c r="AC888" s="2"/>
    </row>
    <row r="889" spans="1:29" ht="13">
      <c r="A889" s="3"/>
      <c r="B889" s="2"/>
      <c r="C889" s="3"/>
      <c r="D889" s="3"/>
      <c r="E889" s="1"/>
      <c r="F889" s="1"/>
      <c r="G889" s="1"/>
      <c r="H889" s="2"/>
      <c r="I889" s="2"/>
      <c r="J889" s="2"/>
      <c r="K889" s="2"/>
      <c r="L889" s="2"/>
      <c r="M889" s="3"/>
      <c r="N889" s="3"/>
      <c r="O889" s="2"/>
      <c r="P889" s="2"/>
      <c r="Q889" s="2"/>
      <c r="R889" s="2"/>
      <c r="S889" s="2"/>
      <c r="T889" s="2"/>
      <c r="U889" s="2"/>
      <c r="V889" s="2"/>
      <c r="W889" s="2"/>
      <c r="X889" s="2"/>
      <c r="Y889" s="2"/>
      <c r="Z889" s="2"/>
      <c r="AA889" s="2"/>
      <c r="AB889" s="2"/>
      <c r="AC889" s="2"/>
    </row>
    <row r="890" spans="1:29" ht="13">
      <c r="A890" s="3"/>
      <c r="B890" s="2"/>
      <c r="C890" s="3"/>
      <c r="D890" s="3"/>
      <c r="E890" s="1"/>
      <c r="F890" s="1"/>
      <c r="G890" s="1"/>
      <c r="H890" s="2"/>
      <c r="I890" s="2"/>
      <c r="J890" s="2"/>
      <c r="K890" s="2"/>
      <c r="L890" s="2"/>
      <c r="M890" s="3"/>
      <c r="N890" s="3"/>
      <c r="O890" s="2"/>
      <c r="P890" s="2"/>
      <c r="Q890" s="2"/>
      <c r="R890" s="2"/>
      <c r="S890" s="2"/>
      <c r="T890" s="2"/>
      <c r="U890" s="2"/>
      <c r="V890" s="2"/>
      <c r="W890" s="2"/>
      <c r="X890" s="2"/>
      <c r="Y890" s="2"/>
      <c r="Z890" s="2"/>
      <c r="AA890" s="2"/>
      <c r="AB890" s="2"/>
      <c r="AC890" s="2"/>
    </row>
    <row r="891" spans="1:29" ht="13">
      <c r="A891" s="3"/>
      <c r="B891" s="2"/>
      <c r="C891" s="3"/>
      <c r="D891" s="3"/>
      <c r="E891" s="1"/>
      <c r="F891" s="1"/>
      <c r="G891" s="1"/>
      <c r="H891" s="2"/>
      <c r="I891" s="2"/>
      <c r="J891" s="2"/>
      <c r="K891" s="2"/>
      <c r="L891" s="2"/>
      <c r="M891" s="3"/>
      <c r="N891" s="3"/>
      <c r="O891" s="2"/>
      <c r="P891" s="2"/>
      <c r="Q891" s="2"/>
      <c r="R891" s="2"/>
      <c r="S891" s="2"/>
      <c r="T891" s="2"/>
      <c r="U891" s="2"/>
      <c r="V891" s="2"/>
      <c r="W891" s="2"/>
      <c r="X891" s="2"/>
      <c r="Y891" s="2"/>
      <c r="Z891" s="2"/>
      <c r="AA891" s="2"/>
      <c r="AB891" s="2"/>
      <c r="AC891" s="2"/>
    </row>
    <row r="892" spans="1:29" ht="13">
      <c r="A892" s="3"/>
      <c r="B892" s="2"/>
      <c r="C892" s="3"/>
      <c r="D892" s="3"/>
      <c r="E892" s="1"/>
      <c r="F892" s="1"/>
      <c r="G892" s="1"/>
      <c r="H892" s="2"/>
      <c r="I892" s="2"/>
      <c r="J892" s="2"/>
      <c r="K892" s="2"/>
      <c r="L892" s="2"/>
      <c r="M892" s="3"/>
      <c r="N892" s="3"/>
      <c r="O892" s="2"/>
      <c r="P892" s="2"/>
      <c r="Q892" s="2"/>
      <c r="R892" s="2"/>
      <c r="S892" s="2"/>
      <c r="T892" s="2"/>
      <c r="U892" s="2"/>
      <c r="V892" s="2"/>
      <c r="W892" s="2"/>
      <c r="X892" s="2"/>
      <c r="Y892" s="2"/>
      <c r="Z892" s="2"/>
      <c r="AA892" s="2"/>
      <c r="AB892" s="2"/>
      <c r="AC892" s="2"/>
    </row>
    <row r="893" spans="1:29" ht="13">
      <c r="A893" s="3"/>
      <c r="B893" s="2"/>
      <c r="C893" s="3"/>
      <c r="D893" s="3"/>
      <c r="E893" s="1"/>
      <c r="F893" s="1"/>
      <c r="G893" s="1"/>
      <c r="H893" s="2"/>
      <c r="I893" s="2"/>
      <c r="J893" s="2"/>
      <c r="K893" s="2"/>
      <c r="L893" s="2"/>
      <c r="M893" s="3"/>
      <c r="N893" s="3"/>
      <c r="O893" s="2"/>
      <c r="P893" s="2"/>
      <c r="Q893" s="2"/>
      <c r="R893" s="2"/>
      <c r="S893" s="2"/>
      <c r="T893" s="2"/>
      <c r="U893" s="2"/>
      <c r="V893" s="2"/>
      <c r="W893" s="2"/>
      <c r="X893" s="2"/>
      <c r="Y893" s="2"/>
      <c r="Z893" s="2"/>
      <c r="AA893" s="2"/>
      <c r="AB893" s="2"/>
      <c r="AC893" s="2"/>
    </row>
    <row r="894" spans="1:29" ht="13">
      <c r="A894" s="3"/>
      <c r="B894" s="2"/>
      <c r="C894" s="3"/>
      <c r="D894" s="3"/>
      <c r="E894" s="1"/>
      <c r="F894" s="1"/>
      <c r="G894" s="1"/>
      <c r="H894" s="2"/>
      <c r="I894" s="2"/>
      <c r="J894" s="2"/>
      <c r="K894" s="2"/>
      <c r="L894" s="2"/>
      <c r="M894" s="3"/>
      <c r="N894" s="3"/>
      <c r="O894" s="2"/>
      <c r="P894" s="2"/>
      <c r="Q894" s="2"/>
      <c r="R894" s="2"/>
      <c r="S894" s="2"/>
      <c r="T894" s="2"/>
      <c r="U894" s="2"/>
      <c r="V894" s="2"/>
      <c r="W894" s="2"/>
      <c r="X894" s="2"/>
      <c r="Y894" s="2"/>
      <c r="Z894" s="2"/>
      <c r="AA894" s="2"/>
      <c r="AB894" s="2"/>
      <c r="AC894" s="2"/>
    </row>
    <row r="895" spans="1:29" ht="13">
      <c r="A895" s="3"/>
      <c r="B895" s="2"/>
      <c r="C895" s="3"/>
      <c r="D895" s="3"/>
      <c r="E895" s="1"/>
      <c r="F895" s="1"/>
      <c r="G895" s="1"/>
      <c r="H895" s="2"/>
      <c r="I895" s="2"/>
      <c r="J895" s="2"/>
      <c r="K895" s="2"/>
      <c r="L895" s="2"/>
      <c r="M895" s="3"/>
      <c r="N895" s="3"/>
      <c r="O895" s="2"/>
      <c r="P895" s="2"/>
      <c r="Q895" s="2"/>
      <c r="R895" s="2"/>
      <c r="S895" s="2"/>
      <c r="T895" s="2"/>
      <c r="U895" s="2"/>
      <c r="V895" s="2"/>
      <c r="W895" s="2"/>
      <c r="X895" s="2"/>
      <c r="Y895" s="2"/>
      <c r="Z895" s="2"/>
      <c r="AA895" s="2"/>
      <c r="AB895" s="2"/>
      <c r="AC895" s="2"/>
    </row>
    <row r="896" spans="1:29" ht="13">
      <c r="A896" s="3"/>
      <c r="B896" s="2"/>
      <c r="C896" s="3"/>
      <c r="D896" s="3"/>
      <c r="E896" s="1"/>
      <c r="F896" s="1"/>
      <c r="G896" s="1"/>
      <c r="H896" s="2"/>
      <c r="I896" s="2"/>
      <c r="J896" s="2"/>
      <c r="K896" s="2"/>
      <c r="L896" s="2"/>
      <c r="M896" s="3"/>
      <c r="N896" s="3"/>
      <c r="O896" s="2"/>
      <c r="P896" s="2"/>
      <c r="Q896" s="2"/>
      <c r="R896" s="2"/>
      <c r="S896" s="2"/>
      <c r="T896" s="2"/>
      <c r="U896" s="2"/>
      <c r="V896" s="2"/>
      <c r="W896" s="2"/>
      <c r="X896" s="2"/>
      <c r="Y896" s="2"/>
      <c r="Z896" s="2"/>
      <c r="AA896" s="2"/>
      <c r="AB896" s="2"/>
      <c r="AC896" s="2"/>
    </row>
    <row r="897" spans="1:29" ht="13">
      <c r="A897" s="3"/>
      <c r="B897" s="2"/>
      <c r="C897" s="3"/>
      <c r="D897" s="3"/>
      <c r="E897" s="1"/>
      <c r="F897" s="1"/>
      <c r="G897" s="1"/>
      <c r="H897" s="2"/>
      <c r="I897" s="2"/>
      <c r="J897" s="2"/>
      <c r="K897" s="2"/>
      <c r="L897" s="2"/>
      <c r="M897" s="3"/>
      <c r="N897" s="3"/>
      <c r="O897" s="2"/>
      <c r="P897" s="2"/>
      <c r="Q897" s="2"/>
      <c r="R897" s="2"/>
      <c r="S897" s="2"/>
      <c r="T897" s="2"/>
      <c r="U897" s="2"/>
      <c r="V897" s="2"/>
      <c r="W897" s="2"/>
      <c r="X897" s="2"/>
      <c r="Y897" s="2"/>
      <c r="Z897" s="2"/>
      <c r="AA897" s="2"/>
      <c r="AB897" s="2"/>
      <c r="AC897" s="2"/>
    </row>
    <row r="898" spans="1:29" ht="13">
      <c r="A898" s="3"/>
      <c r="B898" s="2"/>
      <c r="C898" s="3"/>
      <c r="D898" s="3"/>
      <c r="E898" s="1"/>
      <c r="F898" s="1"/>
      <c r="G898" s="1"/>
      <c r="H898" s="2"/>
      <c r="I898" s="2"/>
      <c r="J898" s="2"/>
      <c r="K898" s="2"/>
      <c r="L898" s="2"/>
      <c r="M898" s="3"/>
      <c r="N898" s="3"/>
      <c r="O898" s="2"/>
      <c r="P898" s="2"/>
      <c r="Q898" s="2"/>
      <c r="R898" s="2"/>
      <c r="S898" s="2"/>
      <c r="T898" s="2"/>
      <c r="U898" s="2"/>
      <c r="V898" s="2"/>
      <c r="W898" s="2"/>
      <c r="X898" s="2"/>
      <c r="Y898" s="2"/>
      <c r="Z898" s="2"/>
      <c r="AA898" s="2"/>
      <c r="AB898" s="2"/>
      <c r="AC898" s="2"/>
    </row>
    <row r="899" spans="1:29" ht="13">
      <c r="A899" s="3"/>
      <c r="B899" s="2"/>
      <c r="C899" s="3"/>
      <c r="D899" s="3"/>
      <c r="E899" s="1"/>
      <c r="F899" s="1"/>
      <c r="G899" s="1"/>
      <c r="H899" s="2"/>
      <c r="I899" s="2"/>
      <c r="J899" s="2"/>
      <c r="K899" s="2"/>
      <c r="L899" s="2"/>
      <c r="M899" s="3"/>
      <c r="N899" s="3"/>
      <c r="O899" s="2"/>
      <c r="P899" s="2"/>
      <c r="Q899" s="2"/>
      <c r="R899" s="2"/>
      <c r="S899" s="2"/>
      <c r="T899" s="2"/>
      <c r="U899" s="2"/>
      <c r="V899" s="2"/>
      <c r="W899" s="2"/>
      <c r="X899" s="2"/>
      <c r="Y899" s="2"/>
      <c r="Z899" s="2"/>
      <c r="AA899" s="2"/>
      <c r="AB899" s="2"/>
      <c r="AC899" s="2"/>
    </row>
    <row r="900" spans="1:29" ht="13">
      <c r="A900" s="3"/>
      <c r="B900" s="2"/>
      <c r="C900" s="3"/>
      <c r="D900" s="3"/>
      <c r="E900" s="1"/>
      <c r="F900" s="1"/>
      <c r="G900" s="1"/>
      <c r="H900" s="2"/>
      <c r="I900" s="2"/>
      <c r="J900" s="2"/>
      <c r="K900" s="2"/>
      <c r="L900" s="2"/>
      <c r="M900" s="3"/>
      <c r="N900" s="3"/>
      <c r="O900" s="2"/>
      <c r="P900" s="2"/>
      <c r="Q900" s="2"/>
      <c r="R900" s="2"/>
      <c r="S900" s="2"/>
      <c r="T900" s="2"/>
      <c r="U900" s="2"/>
      <c r="V900" s="2"/>
      <c r="W900" s="2"/>
      <c r="X900" s="2"/>
      <c r="Y900" s="2"/>
      <c r="Z900" s="2"/>
      <c r="AA900" s="2"/>
      <c r="AB900" s="2"/>
      <c r="AC900" s="2"/>
    </row>
    <row r="901" spans="1:29" ht="13">
      <c r="A901" s="3"/>
      <c r="B901" s="2"/>
      <c r="C901" s="3"/>
      <c r="D901" s="3"/>
      <c r="E901" s="1"/>
      <c r="F901" s="1"/>
      <c r="G901" s="1"/>
      <c r="H901" s="2"/>
      <c r="I901" s="2"/>
      <c r="J901" s="2"/>
      <c r="K901" s="2"/>
      <c r="L901" s="2"/>
      <c r="M901" s="3"/>
      <c r="N901" s="3"/>
      <c r="O901" s="2"/>
      <c r="P901" s="2"/>
      <c r="Q901" s="2"/>
      <c r="R901" s="2"/>
      <c r="S901" s="2"/>
      <c r="T901" s="2"/>
      <c r="U901" s="2"/>
      <c r="V901" s="2"/>
      <c r="W901" s="2"/>
      <c r="X901" s="2"/>
      <c r="Y901" s="2"/>
      <c r="Z901" s="2"/>
      <c r="AA901" s="2"/>
      <c r="AB901" s="2"/>
      <c r="AC901" s="2"/>
    </row>
    <row r="902" spans="1:29" ht="13">
      <c r="A902" s="3"/>
      <c r="B902" s="2"/>
      <c r="C902" s="3"/>
      <c r="D902" s="3"/>
      <c r="E902" s="1"/>
      <c r="F902" s="1"/>
      <c r="G902" s="1"/>
      <c r="H902" s="2"/>
      <c r="I902" s="2"/>
      <c r="J902" s="2"/>
      <c r="K902" s="2"/>
      <c r="L902" s="2"/>
      <c r="M902" s="3"/>
      <c r="N902" s="3"/>
      <c r="O902" s="2"/>
      <c r="P902" s="2"/>
      <c r="Q902" s="2"/>
      <c r="R902" s="2"/>
      <c r="S902" s="2"/>
      <c r="T902" s="2"/>
      <c r="U902" s="2"/>
      <c r="V902" s="2"/>
      <c r="W902" s="2"/>
      <c r="X902" s="2"/>
      <c r="Y902" s="2"/>
      <c r="Z902" s="2"/>
      <c r="AA902" s="2"/>
      <c r="AB902" s="2"/>
      <c r="AC902" s="2"/>
    </row>
    <row r="903" spans="1:29" ht="13">
      <c r="A903" s="3"/>
      <c r="B903" s="2"/>
      <c r="C903" s="3"/>
      <c r="D903" s="3"/>
      <c r="E903" s="1"/>
      <c r="F903" s="1"/>
      <c r="G903" s="1"/>
      <c r="H903" s="2"/>
      <c r="I903" s="2"/>
      <c r="J903" s="2"/>
      <c r="K903" s="2"/>
      <c r="L903" s="2"/>
      <c r="M903" s="3"/>
      <c r="N903" s="3"/>
      <c r="O903" s="2"/>
      <c r="P903" s="2"/>
      <c r="Q903" s="2"/>
      <c r="R903" s="2"/>
      <c r="S903" s="2"/>
      <c r="T903" s="2"/>
      <c r="U903" s="2"/>
      <c r="V903" s="2"/>
      <c r="W903" s="2"/>
      <c r="X903" s="2"/>
      <c r="Y903" s="2"/>
      <c r="Z903" s="2"/>
      <c r="AA903" s="2"/>
      <c r="AB903" s="2"/>
      <c r="AC903" s="2"/>
    </row>
    <row r="904" spans="1:29" ht="13">
      <c r="A904" s="3"/>
      <c r="B904" s="2"/>
      <c r="C904" s="3"/>
      <c r="D904" s="3"/>
      <c r="E904" s="1"/>
      <c r="F904" s="1"/>
      <c r="G904" s="1"/>
      <c r="H904" s="2"/>
      <c r="I904" s="2"/>
      <c r="J904" s="2"/>
      <c r="K904" s="2"/>
      <c r="L904" s="2"/>
      <c r="M904" s="3"/>
      <c r="N904" s="3"/>
      <c r="O904" s="2"/>
      <c r="P904" s="2"/>
      <c r="Q904" s="2"/>
      <c r="R904" s="2"/>
      <c r="S904" s="2"/>
      <c r="T904" s="2"/>
      <c r="U904" s="2"/>
      <c r="V904" s="2"/>
      <c r="W904" s="2"/>
      <c r="X904" s="2"/>
      <c r="Y904" s="2"/>
      <c r="Z904" s="2"/>
      <c r="AA904" s="2"/>
      <c r="AB904" s="2"/>
      <c r="AC904" s="2"/>
    </row>
    <row r="905" spans="1:29" ht="13">
      <c r="A905" s="3"/>
      <c r="B905" s="2"/>
      <c r="C905" s="3"/>
      <c r="D905" s="3"/>
      <c r="E905" s="1"/>
      <c r="F905" s="1"/>
      <c r="G905" s="1"/>
      <c r="H905" s="2"/>
      <c r="I905" s="2"/>
      <c r="J905" s="2"/>
      <c r="K905" s="2"/>
      <c r="L905" s="2"/>
      <c r="M905" s="3"/>
      <c r="N905" s="3"/>
      <c r="O905" s="2"/>
      <c r="P905" s="2"/>
      <c r="Q905" s="2"/>
      <c r="R905" s="2"/>
      <c r="S905" s="2"/>
      <c r="T905" s="2"/>
      <c r="U905" s="2"/>
      <c r="V905" s="2"/>
      <c r="W905" s="2"/>
      <c r="X905" s="2"/>
      <c r="Y905" s="2"/>
      <c r="Z905" s="2"/>
      <c r="AA905" s="2"/>
      <c r="AB905" s="2"/>
      <c r="AC905" s="2"/>
    </row>
    <row r="906" spans="1:29" ht="13">
      <c r="A906" s="3"/>
      <c r="B906" s="2"/>
      <c r="C906" s="3"/>
      <c r="D906" s="3"/>
      <c r="E906" s="1"/>
      <c r="F906" s="1"/>
      <c r="G906" s="1"/>
      <c r="H906" s="2"/>
      <c r="I906" s="2"/>
      <c r="J906" s="2"/>
      <c r="K906" s="2"/>
      <c r="L906" s="2"/>
      <c r="M906" s="3"/>
      <c r="N906" s="3"/>
      <c r="O906" s="2"/>
      <c r="P906" s="2"/>
      <c r="Q906" s="2"/>
      <c r="R906" s="2"/>
      <c r="S906" s="2"/>
      <c r="T906" s="2"/>
      <c r="U906" s="2"/>
      <c r="V906" s="2"/>
      <c r="W906" s="2"/>
      <c r="X906" s="2"/>
      <c r="Y906" s="2"/>
      <c r="Z906" s="2"/>
      <c r="AA906" s="2"/>
      <c r="AB906" s="2"/>
      <c r="AC906" s="2"/>
    </row>
    <row r="907" spans="1:29" ht="13">
      <c r="A907" s="3"/>
      <c r="B907" s="2"/>
      <c r="C907" s="3"/>
      <c r="D907" s="3"/>
      <c r="E907" s="1"/>
      <c r="F907" s="1"/>
      <c r="G907" s="1"/>
      <c r="H907" s="2"/>
      <c r="I907" s="2"/>
      <c r="J907" s="2"/>
      <c r="K907" s="2"/>
      <c r="L907" s="2"/>
      <c r="M907" s="3"/>
      <c r="N907" s="3"/>
      <c r="O907" s="2"/>
      <c r="P907" s="2"/>
      <c r="Q907" s="2"/>
      <c r="R907" s="2"/>
      <c r="S907" s="2"/>
      <c r="T907" s="2"/>
      <c r="U907" s="2"/>
      <c r="V907" s="2"/>
      <c r="W907" s="2"/>
      <c r="X907" s="2"/>
      <c r="Y907" s="2"/>
      <c r="Z907" s="2"/>
      <c r="AA907" s="2"/>
      <c r="AB907" s="2"/>
      <c r="AC907" s="2"/>
    </row>
    <row r="908" spans="1:29" ht="13">
      <c r="A908" s="3"/>
      <c r="B908" s="2"/>
      <c r="C908" s="3"/>
      <c r="D908" s="3"/>
      <c r="E908" s="1"/>
      <c r="F908" s="1"/>
      <c r="G908" s="1"/>
      <c r="H908" s="2"/>
      <c r="I908" s="2"/>
      <c r="J908" s="2"/>
      <c r="K908" s="2"/>
      <c r="L908" s="2"/>
      <c r="M908" s="3"/>
      <c r="N908" s="3"/>
      <c r="O908" s="2"/>
      <c r="P908" s="2"/>
      <c r="Q908" s="2"/>
      <c r="R908" s="2"/>
      <c r="S908" s="2"/>
      <c r="T908" s="2"/>
      <c r="U908" s="2"/>
      <c r="V908" s="2"/>
      <c r="W908" s="2"/>
      <c r="X908" s="2"/>
      <c r="Y908" s="2"/>
      <c r="Z908" s="2"/>
      <c r="AA908" s="2"/>
      <c r="AB908" s="2"/>
      <c r="AC908" s="2"/>
    </row>
    <row r="909" spans="1:29" ht="13">
      <c r="A909" s="3"/>
      <c r="B909" s="2"/>
      <c r="C909" s="3"/>
      <c r="D909" s="3"/>
      <c r="E909" s="1"/>
      <c r="F909" s="1"/>
      <c r="G909" s="1"/>
      <c r="H909" s="2"/>
      <c r="I909" s="2"/>
      <c r="J909" s="2"/>
      <c r="K909" s="2"/>
      <c r="L909" s="2"/>
      <c r="M909" s="3"/>
      <c r="N909" s="3"/>
      <c r="O909" s="2"/>
      <c r="P909" s="2"/>
      <c r="Q909" s="2"/>
      <c r="R909" s="2"/>
      <c r="S909" s="2"/>
      <c r="T909" s="2"/>
      <c r="U909" s="2"/>
      <c r="V909" s="2"/>
      <c r="W909" s="2"/>
      <c r="X909" s="2"/>
      <c r="Y909" s="2"/>
      <c r="Z909" s="2"/>
      <c r="AA909" s="2"/>
      <c r="AB909" s="2"/>
      <c r="AC909" s="2"/>
    </row>
    <row r="910" spans="1:29" ht="13">
      <c r="A910" s="3"/>
      <c r="B910" s="2"/>
      <c r="C910" s="3"/>
      <c r="D910" s="3"/>
      <c r="E910" s="1"/>
      <c r="F910" s="1"/>
      <c r="G910" s="1"/>
      <c r="H910" s="2"/>
      <c r="I910" s="2"/>
      <c r="J910" s="2"/>
      <c r="K910" s="2"/>
      <c r="L910" s="2"/>
      <c r="M910" s="3"/>
      <c r="N910" s="3"/>
      <c r="O910" s="2"/>
      <c r="P910" s="2"/>
      <c r="Q910" s="2"/>
      <c r="R910" s="2"/>
      <c r="S910" s="2"/>
      <c r="T910" s="2"/>
      <c r="U910" s="2"/>
      <c r="V910" s="2"/>
      <c r="W910" s="2"/>
      <c r="X910" s="2"/>
      <c r="Y910" s="2"/>
      <c r="Z910" s="2"/>
      <c r="AA910" s="2"/>
      <c r="AB910" s="2"/>
      <c r="AC910" s="2"/>
    </row>
    <row r="911" spans="1:29" ht="13">
      <c r="A911" s="3"/>
      <c r="B911" s="2"/>
      <c r="C911" s="3"/>
      <c r="D911" s="3"/>
      <c r="E911" s="1"/>
      <c r="F911" s="1"/>
      <c r="G911" s="1"/>
      <c r="H911" s="2"/>
      <c r="I911" s="2"/>
      <c r="J911" s="2"/>
      <c r="K911" s="2"/>
      <c r="L911" s="2"/>
      <c r="M911" s="3"/>
      <c r="N911" s="3"/>
      <c r="O911" s="2"/>
      <c r="P911" s="2"/>
      <c r="Q911" s="2"/>
      <c r="R911" s="2"/>
      <c r="S911" s="2"/>
      <c r="T911" s="2"/>
      <c r="U911" s="2"/>
      <c r="V911" s="2"/>
      <c r="W911" s="2"/>
      <c r="X911" s="2"/>
      <c r="Y911" s="2"/>
      <c r="Z911" s="2"/>
      <c r="AA911" s="2"/>
      <c r="AB911" s="2"/>
      <c r="AC911" s="2"/>
    </row>
    <row r="912" spans="1:29" ht="13">
      <c r="A912" s="3"/>
      <c r="B912" s="2"/>
      <c r="C912" s="3"/>
      <c r="D912" s="3"/>
      <c r="E912" s="1"/>
      <c r="F912" s="1"/>
      <c r="G912" s="1"/>
      <c r="H912" s="2"/>
      <c r="I912" s="2"/>
      <c r="J912" s="2"/>
      <c r="K912" s="2"/>
      <c r="L912" s="2"/>
      <c r="M912" s="3"/>
      <c r="N912" s="3"/>
      <c r="O912" s="2"/>
      <c r="P912" s="2"/>
      <c r="Q912" s="2"/>
      <c r="R912" s="2"/>
      <c r="S912" s="2"/>
      <c r="T912" s="2"/>
      <c r="U912" s="2"/>
      <c r="V912" s="2"/>
      <c r="W912" s="2"/>
      <c r="X912" s="2"/>
      <c r="Y912" s="2"/>
      <c r="Z912" s="2"/>
      <c r="AA912" s="2"/>
      <c r="AB912" s="2"/>
      <c r="AC912" s="2"/>
    </row>
    <row r="913" spans="1:29" ht="13">
      <c r="A913" s="3"/>
      <c r="B913" s="2"/>
      <c r="C913" s="3"/>
      <c r="D913" s="3"/>
      <c r="E913" s="1"/>
      <c r="F913" s="1"/>
      <c r="G913" s="1"/>
      <c r="H913" s="2"/>
      <c r="I913" s="2"/>
      <c r="J913" s="2"/>
      <c r="K913" s="2"/>
      <c r="L913" s="2"/>
      <c r="M913" s="3"/>
      <c r="N913" s="3"/>
      <c r="O913" s="2"/>
      <c r="P913" s="2"/>
      <c r="Q913" s="2"/>
      <c r="R913" s="2"/>
      <c r="S913" s="2"/>
      <c r="T913" s="2"/>
      <c r="U913" s="2"/>
      <c r="V913" s="2"/>
      <c r="W913" s="2"/>
      <c r="X913" s="2"/>
      <c r="Y913" s="2"/>
      <c r="Z913" s="2"/>
      <c r="AA913" s="2"/>
      <c r="AB913" s="2"/>
      <c r="AC913" s="2"/>
    </row>
    <row r="914" spans="1:29" ht="13">
      <c r="A914" s="3"/>
      <c r="B914" s="2"/>
      <c r="C914" s="3"/>
      <c r="D914" s="3"/>
      <c r="E914" s="1"/>
      <c r="F914" s="1"/>
      <c r="G914" s="1"/>
      <c r="H914" s="2"/>
      <c r="I914" s="2"/>
      <c r="J914" s="2"/>
      <c r="K914" s="2"/>
      <c r="L914" s="2"/>
      <c r="M914" s="3"/>
      <c r="N914" s="3"/>
      <c r="O914" s="2"/>
      <c r="P914" s="2"/>
      <c r="Q914" s="2"/>
      <c r="R914" s="2"/>
      <c r="S914" s="2"/>
      <c r="T914" s="2"/>
      <c r="U914" s="2"/>
      <c r="V914" s="2"/>
      <c r="W914" s="2"/>
      <c r="X914" s="2"/>
      <c r="Y914" s="2"/>
      <c r="Z914" s="2"/>
      <c r="AA914" s="2"/>
      <c r="AB914" s="2"/>
      <c r="AC914" s="2"/>
    </row>
    <row r="915" spans="1:29" ht="13">
      <c r="A915" s="3"/>
      <c r="B915" s="2"/>
      <c r="C915" s="3"/>
      <c r="D915" s="3"/>
      <c r="E915" s="1"/>
      <c r="F915" s="1"/>
      <c r="G915" s="1"/>
      <c r="H915" s="2"/>
      <c r="I915" s="2"/>
      <c r="J915" s="2"/>
      <c r="K915" s="2"/>
      <c r="L915" s="2"/>
      <c r="M915" s="3"/>
      <c r="N915" s="3"/>
      <c r="O915" s="2"/>
      <c r="P915" s="2"/>
      <c r="Q915" s="2"/>
      <c r="R915" s="2"/>
      <c r="S915" s="2"/>
      <c r="T915" s="2"/>
      <c r="U915" s="2"/>
      <c r="V915" s="2"/>
      <c r="W915" s="2"/>
      <c r="X915" s="2"/>
      <c r="Y915" s="2"/>
      <c r="Z915" s="2"/>
      <c r="AA915" s="2"/>
      <c r="AB915" s="2"/>
      <c r="AC915" s="2"/>
    </row>
    <row r="916" spans="1:29" ht="13">
      <c r="A916" s="3"/>
      <c r="B916" s="2"/>
      <c r="C916" s="3"/>
      <c r="D916" s="3"/>
      <c r="E916" s="1"/>
      <c r="F916" s="1"/>
      <c r="G916" s="1"/>
      <c r="H916" s="2"/>
      <c r="I916" s="2"/>
      <c r="J916" s="2"/>
      <c r="K916" s="2"/>
      <c r="L916" s="2"/>
      <c r="M916" s="3"/>
      <c r="N916" s="3"/>
      <c r="O916" s="2"/>
      <c r="P916" s="2"/>
      <c r="Q916" s="2"/>
      <c r="R916" s="2"/>
      <c r="S916" s="2"/>
      <c r="T916" s="2"/>
      <c r="U916" s="2"/>
      <c r="V916" s="2"/>
      <c r="W916" s="2"/>
      <c r="X916" s="2"/>
      <c r="Y916" s="2"/>
      <c r="Z916" s="2"/>
      <c r="AA916" s="2"/>
      <c r="AB916" s="2"/>
      <c r="AC916" s="2"/>
    </row>
    <row r="917" spans="1:29" ht="13">
      <c r="A917" s="3"/>
      <c r="B917" s="2"/>
      <c r="C917" s="3"/>
      <c r="D917" s="3"/>
      <c r="E917" s="1"/>
      <c r="F917" s="1"/>
      <c r="G917" s="1"/>
      <c r="H917" s="2"/>
      <c r="I917" s="2"/>
      <c r="J917" s="2"/>
      <c r="K917" s="2"/>
      <c r="L917" s="2"/>
      <c r="M917" s="3"/>
      <c r="N917" s="3"/>
      <c r="O917" s="2"/>
      <c r="P917" s="2"/>
      <c r="Q917" s="2"/>
      <c r="R917" s="2"/>
      <c r="S917" s="2"/>
      <c r="T917" s="2"/>
      <c r="U917" s="2"/>
      <c r="V917" s="2"/>
      <c r="W917" s="2"/>
      <c r="X917" s="2"/>
      <c r="Y917" s="2"/>
      <c r="Z917" s="2"/>
      <c r="AA917" s="2"/>
      <c r="AB917" s="2"/>
      <c r="AC917" s="2"/>
    </row>
    <row r="918" spans="1:29" ht="13">
      <c r="A918" s="3"/>
      <c r="B918" s="2"/>
      <c r="C918" s="3"/>
      <c r="D918" s="3"/>
      <c r="E918" s="1"/>
      <c r="F918" s="1"/>
      <c r="G918" s="1"/>
      <c r="H918" s="2"/>
      <c r="I918" s="2"/>
      <c r="J918" s="2"/>
      <c r="K918" s="2"/>
      <c r="L918" s="2"/>
      <c r="M918" s="3"/>
      <c r="N918" s="3"/>
      <c r="O918" s="2"/>
      <c r="P918" s="2"/>
      <c r="Q918" s="2"/>
      <c r="R918" s="2"/>
      <c r="S918" s="2"/>
      <c r="T918" s="2"/>
      <c r="U918" s="2"/>
      <c r="V918" s="2"/>
      <c r="W918" s="2"/>
      <c r="X918" s="2"/>
      <c r="Y918" s="2"/>
      <c r="Z918" s="2"/>
      <c r="AA918" s="2"/>
      <c r="AB918" s="2"/>
      <c r="AC918" s="2"/>
    </row>
    <row r="919" spans="1:29" ht="13">
      <c r="A919" s="3"/>
      <c r="B919" s="2"/>
      <c r="C919" s="3"/>
      <c r="D919" s="3"/>
      <c r="E919" s="1"/>
      <c r="F919" s="1"/>
      <c r="G919" s="1"/>
      <c r="H919" s="2"/>
      <c r="I919" s="2"/>
      <c r="J919" s="2"/>
      <c r="K919" s="2"/>
      <c r="L919" s="2"/>
      <c r="M919" s="3"/>
      <c r="N919" s="3"/>
      <c r="O919" s="2"/>
      <c r="P919" s="2"/>
      <c r="Q919" s="2"/>
      <c r="R919" s="2"/>
      <c r="S919" s="2"/>
      <c r="T919" s="2"/>
      <c r="U919" s="2"/>
      <c r="V919" s="2"/>
      <c r="W919" s="2"/>
      <c r="X919" s="2"/>
      <c r="Y919" s="2"/>
      <c r="Z919" s="2"/>
      <c r="AA919" s="2"/>
      <c r="AB919" s="2"/>
      <c r="AC919" s="2"/>
    </row>
    <row r="920" spans="1:29" ht="13">
      <c r="A920" s="3"/>
      <c r="B920" s="2"/>
      <c r="C920" s="3"/>
      <c r="D920" s="3"/>
      <c r="E920" s="1"/>
      <c r="F920" s="1"/>
      <c r="G920" s="1"/>
      <c r="H920" s="2"/>
      <c r="I920" s="2"/>
      <c r="J920" s="2"/>
      <c r="K920" s="2"/>
      <c r="L920" s="2"/>
      <c r="M920" s="3"/>
      <c r="N920" s="3"/>
      <c r="O920" s="2"/>
      <c r="P920" s="2"/>
      <c r="Q920" s="2"/>
      <c r="R920" s="2"/>
      <c r="S920" s="2"/>
      <c r="T920" s="2"/>
      <c r="U920" s="2"/>
      <c r="V920" s="2"/>
      <c r="W920" s="2"/>
      <c r="X920" s="2"/>
      <c r="Y920" s="2"/>
      <c r="Z920" s="2"/>
      <c r="AA920" s="2"/>
      <c r="AB920" s="2"/>
      <c r="AC920" s="2"/>
    </row>
    <row r="921" spans="1:29" ht="13">
      <c r="A921" s="3"/>
      <c r="B921" s="2"/>
      <c r="C921" s="3"/>
      <c r="D921" s="3"/>
      <c r="E921" s="1"/>
      <c r="F921" s="1"/>
      <c r="G921" s="1"/>
      <c r="H921" s="2"/>
      <c r="I921" s="2"/>
      <c r="J921" s="2"/>
      <c r="K921" s="2"/>
      <c r="L921" s="2"/>
      <c r="M921" s="3"/>
      <c r="N921" s="3"/>
      <c r="O921" s="2"/>
      <c r="P921" s="2"/>
      <c r="Q921" s="2"/>
      <c r="R921" s="2"/>
      <c r="S921" s="2"/>
      <c r="T921" s="2"/>
      <c r="U921" s="2"/>
      <c r="V921" s="2"/>
      <c r="W921" s="2"/>
      <c r="X921" s="2"/>
      <c r="Y921" s="2"/>
      <c r="Z921" s="2"/>
      <c r="AA921" s="2"/>
      <c r="AB921" s="2"/>
      <c r="AC921" s="2"/>
    </row>
    <row r="922" spans="1:29" ht="13">
      <c r="A922" s="3"/>
      <c r="B922" s="2"/>
      <c r="C922" s="3"/>
      <c r="D922" s="3"/>
      <c r="E922" s="1"/>
      <c r="F922" s="1"/>
      <c r="G922" s="1"/>
      <c r="H922" s="2"/>
      <c r="I922" s="2"/>
      <c r="J922" s="2"/>
      <c r="K922" s="2"/>
      <c r="L922" s="2"/>
      <c r="M922" s="3"/>
      <c r="N922" s="3"/>
      <c r="O922" s="2"/>
      <c r="P922" s="2"/>
      <c r="Q922" s="2"/>
      <c r="R922" s="2"/>
      <c r="S922" s="2"/>
      <c r="T922" s="2"/>
      <c r="U922" s="2"/>
      <c r="V922" s="2"/>
      <c r="W922" s="2"/>
      <c r="X922" s="2"/>
      <c r="Y922" s="2"/>
      <c r="Z922" s="2"/>
      <c r="AA922" s="2"/>
      <c r="AB922" s="2"/>
      <c r="AC922" s="2"/>
    </row>
    <row r="923" spans="1:29" ht="13">
      <c r="A923" s="3"/>
      <c r="B923" s="2"/>
      <c r="C923" s="3"/>
      <c r="D923" s="3"/>
      <c r="E923" s="1"/>
      <c r="F923" s="1"/>
      <c r="G923" s="1"/>
      <c r="H923" s="2"/>
      <c r="I923" s="2"/>
      <c r="J923" s="2"/>
      <c r="K923" s="2"/>
      <c r="L923" s="2"/>
      <c r="M923" s="3"/>
      <c r="N923" s="3"/>
      <c r="O923" s="2"/>
      <c r="P923" s="2"/>
      <c r="Q923" s="2"/>
      <c r="R923" s="2"/>
      <c r="S923" s="2"/>
      <c r="T923" s="2"/>
      <c r="U923" s="2"/>
      <c r="V923" s="2"/>
      <c r="W923" s="2"/>
      <c r="X923" s="2"/>
      <c r="Y923" s="2"/>
      <c r="Z923" s="2"/>
      <c r="AA923" s="2"/>
      <c r="AB923" s="2"/>
      <c r="AC923" s="2"/>
    </row>
    <row r="924" spans="1:29" ht="13">
      <c r="A924" s="3"/>
      <c r="B924" s="2"/>
      <c r="C924" s="3"/>
      <c r="D924" s="3"/>
      <c r="E924" s="1"/>
      <c r="F924" s="1"/>
      <c r="G924" s="1"/>
      <c r="H924" s="2"/>
      <c r="I924" s="2"/>
      <c r="J924" s="2"/>
      <c r="K924" s="2"/>
      <c r="L924" s="2"/>
      <c r="M924" s="3"/>
      <c r="N924" s="3"/>
      <c r="O924" s="2"/>
      <c r="P924" s="2"/>
      <c r="Q924" s="2"/>
      <c r="R924" s="2"/>
      <c r="S924" s="2"/>
      <c r="T924" s="2"/>
      <c r="U924" s="2"/>
      <c r="V924" s="2"/>
      <c r="W924" s="2"/>
      <c r="X924" s="2"/>
      <c r="Y924" s="2"/>
      <c r="Z924" s="2"/>
      <c r="AA924" s="2"/>
      <c r="AB924" s="2"/>
      <c r="AC924" s="2"/>
    </row>
    <row r="925" spans="1:29" ht="13">
      <c r="A925" s="3"/>
      <c r="B925" s="2"/>
      <c r="C925" s="3"/>
      <c r="D925" s="3"/>
      <c r="E925" s="1"/>
      <c r="F925" s="1"/>
      <c r="G925" s="1"/>
      <c r="H925" s="2"/>
      <c r="I925" s="2"/>
      <c r="J925" s="2"/>
      <c r="K925" s="2"/>
      <c r="L925" s="2"/>
      <c r="M925" s="3"/>
      <c r="N925" s="3"/>
      <c r="O925" s="2"/>
      <c r="P925" s="2"/>
      <c r="Q925" s="2"/>
      <c r="R925" s="2"/>
      <c r="S925" s="2"/>
      <c r="T925" s="2"/>
      <c r="U925" s="2"/>
      <c r="V925" s="2"/>
      <c r="W925" s="2"/>
      <c r="X925" s="2"/>
      <c r="Y925" s="2"/>
      <c r="Z925" s="2"/>
      <c r="AA925" s="2"/>
      <c r="AB925" s="2"/>
      <c r="AC925" s="2"/>
    </row>
    <row r="926" spans="1:29" ht="13">
      <c r="A926" s="3"/>
      <c r="B926" s="2"/>
      <c r="C926" s="3"/>
      <c r="D926" s="3"/>
      <c r="E926" s="1"/>
      <c r="F926" s="1"/>
      <c r="G926" s="1"/>
      <c r="H926" s="2"/>
      <c r="I926" s="2"/>
      <c r="J926" s="2"/>
      <c r="K926" s="2"/>
      <c r="L926" s="2"/>
      <c r="M926" s="3"/>
      <c r="N926" s="3"/>
      <c r="O926" s="2"/>
      <c r="P926" s="2"/>
      <c r="Q926" s="2"/>
      <c r="R926" s="2"/>
      <c r="S926" s="2"/>
      <c r="T926" s="2"/>
      <c r="U926" s="2"/>
      <c r="V926" s="2"/>
      <c r="W926" s="2"/>
      <c r="X926" s="2"/>
      <c r="Y926" s="2"/>
      <c r="Z926" s="2"/>
      <c r="AA926" s="2"/>
      <c r="AB926" s="2"/>
      <c r="AC926" s="2"/>
    </row>
    <row r="927" spans="1:29" ht="13">
      <c r="A927" s="3"/>
      <c r="B927" s="2"/>
      <c r="C927" s="3"/>
      <c r="D927" s="3"/>
      <c r="E927" s="1"/>
      <c r="F927" s="1"/>
      <c r="G927" s="1"/>
      <c r="H927" s="2"/>
      <c r="I927" s="2"/>
      <c r="J927" s="2"/>
      <c r="K927" s="2"/>
      <c r="L927" s="2"/>
      <c r="M927" s="3"/>
      <c r="N927" s="3"/>
      <c r="O927" s="2"/>
      <c r="P927" s="2"/>
      <c r="Q927" s="2"/>
      <c r="R927" s="2"/>
      <c r="S927" s="2"/>
      <c r="T927" s="2"/>
      <c r="U927" s="2"/>
      <c r="V927" s="2"/>
      <c r="W927" s="2"/>
      <c r="X927" s="2"/>
      <c r="Y927" s="2"/>
      <c r="Z927" s="2"/>
      <c r="AA927" s="2"/>
      <c r="AB927" s="2"/>
      <c r="AC927" s="2"/>
    </row>
    <row r="928" spans="1:29" ht="13">
      <c r="A928" s="3"/>
      <c r="B928" s="2"/>
      <c r="C928" s="3"/>
      <c r="D928" s="3"/>
      <c r="E928" s="1"/>
      <c r="F928" s="1"/>
      <c r="G928" s="1"/>
      <c r="H928" s="2"/>
      <c r="I928" s="2"/>
      <c r="J928" s="2"/>
      <c r="K928" s="2"/>
      <c r="L928" s="2"/>
      <c r="M928" s="3"/>
      <c r="N928" s="3"/>
      <c r="O928" s="2"/>
      <c r="P928" s="2"/>
      <c r="Q928" s="2"/>
      <c r="R928" s="2"/>
      <c r="S928" s="2"/>
      <c r="T928" s="2"/>
      <c r="U928" s="2"/>
      <c r="V928" s="2"/>
      <c r="W928" s="2"/>
      <c r="X928" s="2"/>
      <c r="Y928" s="2"/>
      <c r="Z928" s="2"/>
      <c r="AA928" s="2"/>
      <c r="AB928" s="2"/>
      <c r="AC928" s="2"/>
    </row>
    <row r="929" spans="1:29" ht="13">
      <c r="A929" s="3"/>
      <c r="B929" s="2"/>
      <c r="C929" s="3"/>
      <c r="D929" s="3"/>
      <c r="E929" s="1"/>
      <c r="F929" s="1"/>
      <c r="G929" s="1"/>
      <c r="H929" s="2"/>
      <c r="I929" s="2"/>
      <c r="J929" s="2"/>
      <c r="K929" s="2"/>
      <c r="L929" s="2"/>
      <c r="M929" s="3"/>
      <c r="N929" s="3"/>
      <c r="O929" s="2"/>
      <c r="P929" s="2"/>
      <c r="Q929" s="2"/>
      <c r="R929" s="2"/>
      <c r="S929" s="2"/>
      <c r="T929" s="2"/>
      <c r="U929" s="2"/>
      <c r="V929" s="2"/>
      <c r="W929" s="2"/>
      <c r="X929" s="2"/>
      <c r="Y929" s="2"/>
      <c r="Z929" s="2"/>
      <c r="AA929" s="2"/>
      <c r="AB929" s="2"/>
      <c r="AC929" s="2"/>
    </row>
    <row r="930" spans="1:29" ht="13">
      <c r="A930" s="3"/>
      <c r="B930" s="2"/>
      <c r="C930" s="3"/>
      <c r="D930" s="3"/>
      <c r="E930" s="1"/>
      <c r="F930" s="1"/>
      <c r="G930" s="1"/>
      <c r="H930" s="2"/>
      <c r="I930" s="2"/>
      <c r="J930" s="2"/>
      <c r="K930" s="2"/>
      <c r="L930" s="2"/>
      <c r="M930" s="3"/>
      <c r="N930" s="3"/>
      <c r="O930" s="2"/>
      <c r="P930" s="2"/>
      <c r="Q930" s="2"/>
      <c r="R930" s="2"/>
      <c r="S930" s="2"/>
      <c r="T930" s="2"/>
      <c r="U930" s="2"/>
      <c r="V930" s="2"/>
      <c r="W930" s="2"/>
      <c r="X930" s="2"/>
      <c r="Y930" s="2"/>
      <c r="Z930" s="2"/>
      <c r="AA930" s="2"/>
      <c r="AB930" s="2"/>
      <c r="AC930" s="2"/>
    </row>
    <row r="931" spans="1:29" ht="13">
      <c r="A931" s="3"/>
      <c r="B931" s="2"/>
      <c r="C931" s="3"/>
      <c r="D931" s="3"/>
      <c r="E931" s="1"/>
      <c r="F931" s="1"/>
      <c r="G931" s="1"/>
      <c r="H931" s="2"/>
      <c r="I931" s="2"/>
      <c r="J931" s="2"/>
      <c r="K931" s="2"/>
      <c r="L931" s="2"/>
      <c r="M931" s="3"/>
      <c r="N931" s="3"/>
      <c r="O931" s="2"/>
      <c r="P931" s="2"/>
      <c r="Q931" s="2"/>
      <c r="R931" s="2"/>
      <c r="S931" s="2"/>
      <c r="T931" s="2"/>
      <c r="U931" s="2"/>
      <c r="V931" s="2"/>
      <c r="W931" s="2"/>
      <c r="X931" s="2"/>
      <c r="Y931" s="2"/>
      <c r="Z931" s="2"/>
      <c r="AA931" s="2"/>
      <c r="AB931" s="2"/>
      <c r="AC931" s="2"/>
    </row>
    <row r="932" spans="1:29" ht="13">
      <c r="A932" s="3"/>
      <c r="B932" s="2"/>
      <c r="C932" s="3"/>
      <c r="D932" s="3"/>
      <c r="E932" s="1"/>
      <c r="F932" s="1"/>
      <c r="G932" s="1"/>
      <c r="H932" s="2"/>
      <c r="I932" s="2"/>
      <c r="J932" s="2"/>
      <c r="K932" s="2"/>
      <c r="L932" s="2"/>
      <c r="M932" s="3"/>
      <c r="N932" s="3"/>
      <c r="O932" s="2"/>
      <c r="P932" s="2"/>
      <c r="Q932" s="2"/>
      <c r="R932" s="2"/>
      <c r="S932" s="2"/>
      <c r="T932" s="2"/>
      <c r="U932" s="2"/>
      <c r="V932" s="2"/>
      <c r="W932" s="2"/>
      <c r="X932" s="2"/>
      <c r="Y932" s="2"/>
      <c r="Z932" s="2"/>
      <c r="AA932" s="2"/>
      <c r="AB932" s="2"/>
      <c r="AC932" s="2"/>
    </row>
    <row r="933" spans="1:29" ht="13">
      <c r="A933" s="3"/>
      <c r="B933" s="2"/>
      <c r="C933" s="3"/>
      <c r="D933" s="3"/>
      <c r="E933" s="1"/>
      <c r="F933" s="1"/>
      <c r="G933" s="1"/>
      <c r="H933" s="2"/>
      <c r="I933" s="2"/>
      <c r="J933" s="2"/>
      <c r="K933" s="2"/>
      <c r="L933" s="2"/>
      <c r="M933" s="3"/>
      <c r="N933" s="3"/>
      <c r="O933" s="2"/>
      <c r="P933" s="2"/>
      <c r="Q933" s="2"/>
      <c r="R933" s="2"/>
      <c r="S933" s="2"/>
      <c r="T933" s="2"/>
      <c r="U933" s="2"/>
      <c r="V933" s="2"/>
      <c r="W933" s="2"/>
      <c r="X933" s="2"/>
      <c r="Y933" s="2"/>
      <c r="Z933" s="2"/>
      <c r="AA933" s="2"/>
      <c r="AB933" s="2"/>
      <c r="AC933" s="2"/>
    </row>
    <row r="934" spans="1:29" ht="13">
      <c r="A934" s="3"/>
      <c r="B934" s="2"/>
      <c r="C934" s="3"/>
      <c r="D934" s="3"/>
      <c r="E934" s="1"/>
      <c r="F934" s="1"/>
      <c r="G934" s="1"/>
      <c r="H934" s="2"/>
      <c r="I934" s="2"/>
      <c r="J934" s="2"/>
      <c r="K934" s="2"/>
      <c r="L934" s="2"/>
      <c r="M934" s="3"/>
      <c r="N934" s="3"/>
      <c r="O934" s="2"/>
      <c r="P934" s="2"/>
      <c r="Q934" s="2"/>
      <c r="R934" s="2"/>
      <c r="S934" s="2"/>
      <c r="T934" s="2"/>
      <c r="U934" s="2"/>
      <c r="V934" s="2"/>
      <c r="W934" s="2"/>
      <c r="X934" s="2"/>
      <c r="Y934" s="2"/>
      <c r="Z934" s="2"/>
      <c r="AA934" s="2"/>
      <c r="AB934" s="2"/>
      <c r="AC934" s="2"/>
    </row>
    <row r="935" spans="1:29" ht="13">
      <c r="A935" s="3"/>
      <c r="B935" s="2"/>
      <c r="C935" s="3"/>
      <c r="D935" s="3"/>
      <c r="E935" s="1"/>
      <c r="F935" s="1"/>
      <c r="G935" s="1"/>
      <c r="H935" s="2"/>
      <c r="I935" s="2"/>
      <c r="J935" s="2"/>
      <c r="K935" s="2"/>
      <c r="L935" s="2"/>
      <c r="M935" s="3"/>
      <c r="N935" s="3"/>
      <c r="O935" s="2"/>
      <c r="P935" s="2"/>
      <c r="Q935" s="2"/>
      <c r="R935" s="2"/>
      <c r="S935" s="2"/>
      <c r="T935" s="2"/>
      <c r="U935" s="2"/>
      <c r="V935" s="2"/>
      <c r="W935" s="2"/>
      <c r="X935" s="2"/>
      <c r="Y935" s="2"/>
      <c r="Z935" s="2"/>
      <c r="AA935" s="2"/>
      <c r="AB935" s="2"/>
      <c r="AC935" s="2"/>
    </row>
    <row r="936" spans="1:29" ht="13">
      <c r="A936" s="3"/>
      <c r="B936" s="2"/>
      <c r="C936" s="3"/>
      <c r="D936" s="3"/>
      <c r="E936" s="1"/>
      <c r="F936" s="1"/>
      <c r="G936" s="1"/>
      <c r="H936" s="2"/>
      <c r="I936" s="2"/>
      <c r="J936" s="2"/>
      <c r="K936" s="2"/>
      <c r="L936" s="2"/>
      <c r="M936" s="3"/>
      <c r="N936" s="3"/>
      <c r="O936" s="2"/>
      <c r="P936" s="2"/>
      <c r="Q936" s="2"/>
      <c r="R936" s="2"/>
      <c r="S936" s="2"/>
      <c r="T936" s="2"/>
      <c r="U936" s="2"/>
      <c r="V936" s="2"/>
      <c r="W936" s="2"/>
      <c r="X936" s="2"/>
      <c r="Y936" s="2"/>
      <c r="Z936" s="2"/>
      <c r="AA936" s="2"/>
      <c r="AB936" s="2"/>
      <c r="AC936" s="2"/>
    </row>
    <row r="937" spans="1:29" ht="13">
      <c r="A937" s="3"/>
      <c r="B937" s="2"/>
      <c r="C937" s="3"/>
      <c r="D937" s="3"/>
      <c r="E937" s="1"/>
      <c r="F937" s="1"/>
      <c r="G937" s="1"/>
      <c r="H937" s="2"/>
      <c r="I937" s="2"/>
      <c r="J937" s="2"/>
      <c r="K937" s="2"/>
      <c r="L937" s="2"/>
      <c r="M937" s="3"/>
      <c r="N937" s="3"/>
      <c r="O937" s="2"/>
      <c r="P937" s="2"/>
      <c r="Q937" s="2"/>
      <c r="R937" s="2"/>
      <c r="S937" s="2"/>
      <c r="T937" s="2"/>
      <c r="U937" s="2"/>
      <c r="V937" s="2"/>
      <c r="W937" s="2"/>
      <c r="X937" s="2"/>
      <c r="Y937" s="2"/>
      <c r="Z937" s="2"/>
      <c r="AA937" s="2"/>
      <c r="AB937" s="2"/>
      <c r="AC937" s="2"/>
    </row>
    <row r="938" spans="1:29" ht="13">
      <c r="A938" s="3"/>
      <c r="B938" s="2"/>
      <c r="C938" s="3"/>
      <c r="D938" s="3"/>
      <c r="E938" s="1"/>
      <c r="F938" s="1"/>
      <c r="G938" s="1"/>
      <c r="H938" s="2"/>
      <c r="I938" s="2"/>
      <c r="J938" s="2"/>
      <c r="K938" s="2"/>
      <c r="L938" s="2"/>
      <c r="M938" s="3"/>
      <c r="N938" s="3"/>
      <c r="O938" s="2"/>
      <c r="P938" s="2"/>
      <c r="Q938" s="2"/>
      <c r="R938" s="2"/>
      <c r="S938" s="2"/>
      <c r="T938" s="2"/>
      <c r="U938" s="2"/>
      <c r="V938" s="2"/>
      <c r="W938" s="2"/>
      <c r="X938" s="2"/>
      <c r="Y938" s="2"/>
      <c r="Z938" s="2"/>
      <c r="AA938" s="2"/>
      <c r="AB938" s="2"/>
      <c r="AC938" s="2"/>
    </row>
    <row r="939" spans="1:29" ht="13">
      <c r="A939" s="3"/>
      <c r="B939" s="2"/>
      <c r="C939" s="3"/>
      <c r="D939" s="3"/>
      <c r="E939" s="1"/>
      <c r="F939" s="1"/>
      <c r="G939" s="1"/>
      <c r="H939" s="2"/>
      <c r="I939" s="2"/>
      <c r="J939" s="2"/>
      <c r="K939" s="2"/>
      <c r="L939" s="2"/>
      <c r="M939" s="16" t="s">
        <v>1546</v>
      </c>
      <c r="N939" s="3"/>
      <c r="O939" s="2"/>
      <c r="P939" s="2"/>
      <c r="Q939" s="2"/>
      <c r="R939" s="2"/>
      <c r="S939" s="2"/>
      <c r="T939" s="2"/>
      <c r="U939" s="2"/>
      <c r="V939" s="2"/>
      <c r="W939" s="2"/>
      <c r="X939" s="2"/>
      <c r="Y939" s="2"/>
      <c r="Z939" s="2"/>
      <c r="AA939" s="2"/>
      <c r="AB939" s="2"/>
      <c r="AC939" s="2"/>
    </row>
  </sheetData>
  <autoFilter ref="A5:AC231" xr:uid="{00000000-0009-0000-0000-000000000000}"/>
  <mergeCells count="30">
    <mergeCell ref="H3:L3"/>
    <mergeCell ref="M3:M4"/>
    <mergeCell ref="A1:D1"/>
    <mergeCell ref="A2:Q2"/>
    <mergeCell ref="A3:A4"/>
    <mergeCell ref="B3:B4"/>
    <mergeCell ref="C3:C4"/>
    <mergeCell ref="D3:D4"/>
    <mergeCell ref="E3:E4"/>
    <mergeCell ref="Q3:Q4"/>
    <mergeCell ref="F3:F4"/>
    <mergeCell ref="G3:G4"/>
    <mergeCell ref="N3:N4"/>
    <mergeCell ref="O3:P3"/>
    <mergeCell ref="Q6:Q11"/>
    <mergeCell ref="Q12:Q29"/>
    <mergeCell ref="Q30:Q42"/>
    <mergeCell ref="Q43:Q55"/>
    <mergeCell ref="Q56:Q63"/>
    <mergeCell ref="A231:M231"/>
    <mergeCell ref="Q217:Q220"/>
    <mergeCell ref="Q221:Q230"/>
    <mergeCell ref="O231:Q231"/>
    <mergeCell ref="Q64:Q113"/>
    <mergeCell ref="Q114:Q134"/>
    <mergeCell ref="Q135:Q141"/>
    <mergeCell ref="Q142:Q161"/>
    <mergeCell ref="Q162:Q192"/>
    <mergeCell ref="Q193:Q194"/>
    <mergeCell ref="Q195:Q216"/>
  </mergeCells>
  <dataValidations count="1">
    <dataValidation type="list" allowBlank="1" showErrorMessage="1" sqref="N5:N230" xr:uid="{00000000-0002-0000-0000-000000000000}">
      <formula1>"ĐẠT,KHÔNG ĐẠT"</formula1>
    </dataValidation>
  </dataValidations>
  <hyperlinks>
    <hyperlink ref="O6" r:id="rId1" xr:uid="{00000000-0004-0000-0000-000000000000}"/>
    <hyperlink ref="P6" r:id="rId2" xr:uid="{00000000-0004-0000-0000-000001000000}"/>
    <hyperlink ref="O7" r:id="rId3" xr:uid="{00000000-0004-0000-0000-000002000000}"/>
    <hyperlink ref="P7" r:id="rId4" xr:uid="{00000000-0004-0000-0000-000003000000}"/>
    <hyperlink ref="O8" r:id="rId5" xr:uid="{00000000-0004-0000-0000-000004000000}"/>
    <hyperlink ref="P8" r:id="rId6" xr:uid="{00000000-0004-0000-0000-000005000000}"/>
    <hyperlink ref="O9" r:id="rId7" xr:uid="{00000000-0004-0000-0000-000006000000}"/>
    <hyperlink ref="P9" r:id="rId8" xr:uid="{00000000-0004-0000-0000-000007000000}"/>
    <hyperlink ref="P10" r:id="rId9" xr:uid="{00000000-0004-0000-0000-000008000000}"/>
    <hyperlink ref="P11" r:id="rId10" xr:uid="{00000000-0004-0000-0000-000009000000}"/>
    <hyperlink ref="O12" r:id="rId11" xr:uid="{00000000-0004-0000-0000-00000A000000}"/>
    <hyperlink ref="P12" r:id="rId12" xr:uid="{00000000-0004-0000-0000-00000B000000}"/>
    <hyperlink ref="O13" r:id="rId13" xr:uid="{00000000-0004-0000-0000-00000C000000}"/>
    <hyperlink ref="P13" r:id="rId14" xr:uid="{00000000-0004-0000-0000-00000D000000}"/>
    <hyperlink ref="O14" r:id="rId15" xr:uid="{00000000-0004-0000-0000-00000E000000}"/>
    <hyperlink ref="P14" r:id="rId16" xr:uid="{00000000-0004-0000-0000-00000F000000}"/>
    <hyperlink ref="O15" r:id="rId17" xr:uid="{00000000-0004-0000-0000-000010000000}"/>
    <hyperlink ref="P15" r:id="rId18" xr:uid="{00000000-0004-0000-0000-000011000000}"/>
    <hyperlink ref="O16" r:id="rId19" xr:uid="{00000000-0004-0000-0000-000012000000}"/>
    <hyperlink ref="P16" r:id="rId20" xr:uid="{00000000-0004-0000-0000-000013000000}"/>
    <hyperlink ref="O17" r:id="rId21" xr:uid="{00000000-0004-0000-0000-000014000000}"/>
    <hyperlink ref="P17" r:id="rId22" xr:uid="{00000000-0004-0000-0000-000015000000}"/>
    <hyperlink ref="O18" r:id="rId23" xr:uid="{00000000-0004-0000-0000-000016000000}"/>
    <hyperlink ref="P18" r:id="rId24" xr:uid="{00000000-0004-0000-0000-000017000000}"/>
    <hyperlink ref="O19" r:id="rId25" xr:uid="{00000000-0004-0000-0000-000018000000}"/>
    <hyperlink ref="P19" r:id="rId26" xr:uid="{00000000-0004-0000-0000-000019000000}"/>
    <hyperlink ref="O20" r:id="rId27" xr:uid="{00000000-0004-0000-0000-00001A000000}"/>
    <hyperlink ref="P20" r:id="rId28" xr:uid="{00000000-0004-0000-0000-00001B000000}"/>
    <hyperlink ref="O21" r:id="rId29" xr:uid="{00000000-0004-0000-0000-00001C000000}"/>
    <hyperlink ref="P21" r:id="rId30" xr:uid="{00000000-0004-0000-0000-00001D000000}"/>
    <hyperlink ref="O22" r:id="rId31" xr:uid="{00000000-0004-0000-0000-00001E000000}"/>
    <hyperlink ref="P22" r:id="rId32" xr:uid="{00000000-0004-0000-0000-00001F000000}"/>
    <hyperlink ref="O23" r:id="rId33" xr:uid="{00000000-0004-0000-0000-000020000000}"/>
    <hyperlink ref="P23" r:id="rId34" xr:uid="{00000000-0004-0000-0000-000021000000}"/>
    <hyperlink ref="O24" r:id="rId35" xr:uid="{00000000-0004-0000-0000-000022000000}"/>
    <hyperlink ref="P24" r:id="rId36" xr:uid="{00000000-0004-0000-0000-000023000000}"/>
    <hyperlink ref="O25" r:id="rId37" xr:uid="{00000000-0004-0000-0000-000024000000}"/>
    <hyperlink ref="P25" r:id="rId38" xr:uid="{00000000-0004-0000-0000-000025000000}"/>
    <hyperlink ref="O26" r:id="rId39" xr:uid="{00000000-0004-0000-0000-000026000000}"/>
    <hyperlink ref="P26" r:id="rId40" xr:uid="{00000000-0004-0000-0000-000027000000}"/>
    <hyperlink ref="O27" r:id="rId41" xr:uid="{00000000-0004-0000-0000-000028000000}"/>
    <hyperlink ref="P27" r:id="rId42" xr:uid="{00000000-0004-0000-0000-000029000000}"/>
    <hyperlink ref="O28" r:id="rId43" xr:uid="{00000000-0004-0000-0000-00002A000000}"/>
    <hyperlink ref="P28" r:id="rId44" xr:uid="{00000000-0004-0000-0000-00002B000000}"/>
    <hyperlink ref="P29" r:id="rId45" xr:uid="{00000000-0004-0000-0000-00002C000000}"/>
    <hyperlink ref="O30" r:id="rId46" xr:uid="{00000000-0004-0000-0000-00002D000000}"/>
    <hyperlink ref="P30" r:id="rId47" xr:uid="{00000000-0004-0000-0000-00002E000000}"/>
    <hyperlink ref="O31" r:id="rId48" xr:uid="{00000000-0004-0000-0000-00002F000000}"/>
    <hyperlink ref="P31" r:id="rId49" xr:uid="{00000000-0004-0000-0000-000030000000}"/>
    <hyperlink ref="O32" r:id="rId50" xr:uid="{00000000-0004-0000-0000-000031000000}"/>
    <hyperlink ref="P32" r:id="rId51" xr:uid="{00000000-0004-0000-0000-000032000000}"/>
    <hyperlink ref="O33" r:id="rId52" xr:uid="{00000000-0004-0000-0000-000033000000}"/>
    <hyperlink ref="P33" r:id="rId53" xr:uid="{00000000-0004-0000-0000-000034000000}"/>
    <hyperlink ref="O34" r:id="rId54" xr:uid="{00000000-0004-0000-0000-000035000000}"/>
    <hyperlink ref="P34" r:id="rId55" xr:uid="{00000000-0004-0000-0000-000036000000}"/>
    <hyperlink ref="O35" r:id="rId56" xr:uid="{00000000-0004-0000-0000-000037000000}"/>
    <hyperlink ref="P35" r:id="rId57" xr:uid="{00000000-0004-0000-0000-000038000000}"/>
    <hyperlink ref="O36" r:id="rId58" xr:uid="{00000000-0004-0000-0000-000039000000}"/>
    <hyperlink ref="P36" r:id="rId59" xr:uid="{00000000-0004-0000-0000-00003A000000}"/>
    <hyperlink ref="O37" r:id="rId60" xr:uid="{00000000-0004-0000-0000-00003B000000}"/>
    <hyperlink ref="P37" r:id="rId61" xr:uid="{00000000-0004-0000-0000-00003C000000}"/>
    <hyperlink ref="O38" r:id="rId62" xr:uid="{00000000-0004-0000-0000-00003D000000}"/>
    <hyperlink ref="P38" r:id="rId63" xr:uid="{00000000-0004-0000-0000-00003E000000}"/>
    <hyperlink ref="O39" r:id="rId64" xr:uid="{00000000-0004-0000-0000-00003F000000}"/>
    <hyperlink ref="P39" r:id="rId65" xr:uid="{00000000-0004-0000-0000-000040000000}"/>
    <hyperlink ref="O40" r:id="rId66" xr:uid="{00000000-0004-0000-0000-000041000000}"/>
    <hyperlink ref="P40" r:id="rId67" xr:uid="{00000000-0004-0000-0000-000042000000}"/>
    <hyperlink ref="O41" r:id="rId68" xr:uid="{00000000-0004-0000-0000-000043000000}"/>
    <hyperlink ref="P41" r:id="rId69" xr:uid="{00000000-0004-0000-0000-000044000000}"/>
    <hyperlink ref="O42" r:id="rId70" xr:uid="{00000000-0004-0000-0000-000045000000}"/>
    <hyperlink ref="P42" r:id="rId71" xr:uid="{00000000-0004-0000-0000-000046000000}"/>
    <hyperlink ref="O43" r:id="rId72" xr:uid="{00000000-0004-0000-0000-000047000000}"/>
    <hyperlink ref="P43" r:id="rId73" xr:uid="{00000000-0004-0000-0000-000048000000}"/>
    <hyperlink ref="O44" r:id="rId74" xr:uid="{00000000-0004-0000-0000-000049000000}"/>
    <hyperlink ref="P44" r:id="rId75" xr:uid="{00000000-0004-0000-0000-00004A000000}"/>
    <hyperlink ref="O45" r:id="rId76" xr:uid="{00000000-0004-0000-0000-00004B000000}"/>
    <hyperlink ref="P45" r:id="rId77" xr:uid="{00000000-0004-0000-0000-00004C000000}"/>
    <hyperlink ref="O46" r:id="rId78" xr:uid="{00000000-0004-0000-0000-00004D000000}"/>
    <hyperlink ref="P46" r:id="rId79" xr:uid="{00000000-0004-0000-0000-00004E000000}"/>
    <hyperlink ref="O47" r:id="rId80" xr:uid="{00000000-0004-0000-0000-00004F000000}"/>
    <hyperlink ref="P47" r:id="rId81" xr:uid="{00000000-0004-0000-0000-000050000000}"/>
    <hyperlink ref="O48" r:id="rId82" xr:uid="{00000000-0004-0000-0000-000051000000}"/>
    <hyperlink ref="P48" r:id="rId83" xr:uid="{00000000-0004-0000-0000-000052000000}"/>
    <hyperlink ref="O49" r:id="rId84" xr:uid="{00000000-0004-0000-0000-000053000000}"/>
    <hyperlink ref="P49" r:id="rId85" xr:uid="{00000000-0004-0000-0000-000054000000}"/>
    <hyperlink ref="O50" r:id="rId86" xr:uid="{00000000-0004-0000-0000-000055000000}"/>
    <hyperlink ref="P50" r:id="rId87" xr:uid="{00000000-0004-0000-0000-000056000000}"/>
    <hyperlink ref="O51" r:id="rId88" xr:uid="{00000000-0004-0000-0000-000057000000}"/>
    <hyperlink ref="P51" r:id="rId89" xr:uid="{00000000-0004-0000-0000-000058000000}"/>
    <hyperlink ref="O52" r:id="rId90" xr:uid="{00000000-0004-0000-0000-000059000000}"/>
    <hyperlink ref="P52" r:id="rId91" xr:uid="{00000000-0004-0000-0000-00005A000000}"/>
    <hyperlink ref="O53" r:id="rId92" xr:uid="{00000000-0004-0000-0000-00005B000000}"/>
    <hyperlink ref="P53" r:id="rId93" xr:uid="{00000000-0004-0000-0000-00005C000000}"/>
    <hyperlink ref="O54" r:id="rId94" xr:uid="{00000000-0004-0000-0000-00005D000000}"/>
    <hyperlink ref="P54" r:id="rId95" xr:uid="{00000000-0004-0000-0000-00005E000000}"/>
    <hyperlink ref="O55" r:id="rId96" xr:uid="{00000000-0004-0000-0000-00005F000000}"/>
    <hyperlink ref="P55" r:id="rId97" xr:uid="{00000000-0004-0000-0000-000060000000}"/>
    <hyperlink ref="O56" r:id="rId98" xr:uid="{00000000-0004-0000-0000-000061000000}"/>
    <hyperlink ref="P56" r:id="rId99" xr:uid="{00000000-0004-0000-0000-000062000000}"/>
    <hyperlink ref="O57" r:id="rId100" xr:uid="{00000000-0004-0000-0000-000063000000}"/>
    <hyperlink ref="P57" r:id="rId101" xr:uid="{00000000-0004-0000-0000-000064000000}"/>
    <hyperlink ref="O58" r:id="rId102" xr:uid="{00000000-0004-0000-0000-000065000000}"/>
    <hyperlink ref="P58" r:id="rId103" xr:uid="{00000000-0004-0000-0000-000066000000}"/>
    <hyperlink ref="O59" r:id="rId104" xr:uid="{00000000-0004-0000-0000-000067000000}"/>
    <hyperlink ref="P59" r:id="rId105" xr:uid="{00000000-0004-0000-0000-000068000000}"/>
    <hyperlink ref="O64" r:id="rId106" xr:uid="{00000000-0004-0000-0000-000069000000}"/>
    <hyperlink ref="P64" r:id="rId107" xr:uid="{00000000-0004-0000-0000-00006A000000}"/>
    <hyperlink ref="O65" r:id="rId108" xr:uid="{00000000-0004-0000-0000-00006B000000}"/>
    <hyperlink ref="P65" r:id="rId109" xr:uid="{00000000-0004-0000-0000-00006C000000}"/>
    <hyperlink ref="O66" r:id="rId110" xr:uid="{00000000-0004-0000-0000-00006D000000}"/>
    <hyperlink ref="P66" r:id="rId111" xr:uid="{00000000-0004-0000-0000-00006E000000}"/>
    <hyperlink ref="O67" r:id="rId112" xr:uid="{00000000-0004-0000-0000-00006F000000}"/>
    <hyperlink ref="P67" r:id="rId113" xr:uid="{00000000-0004-0000-0000-000070000000}"/>
    <hyperlink ref="O68" r:id="rId114" xr:uid="{00000000-0004-0000-0000-000071000000}"/>
    <hyperlink ref="P68" r:id="rId115" xr:uid="{00000000-0004-0000-0000-000072000000}"/>
    <hyperlink ref="O69" r:id="rId116" xr:uid="{00000000-0004-0000-0000-000073000000}"/>
    <hyperlink ref="P69" r:id="rId117" xr:uid="{00000000-0004-0000-0000-000074000000}"/>
    <hyperlink ref="O70" r:id="rId118" xr:uid="{00000000-0004-0000-0000-000075000000}"/>
    <hyperlink ref="P70" r:id="rId119" xr:uid="{00000000-0004-0000-0000-000076000000}"/>
    <hyperlink ref="O71" r:id="rId120" xr:uid="{00000000-0004-0000-0000-000077000000}"/>
    <hyperlink ref="P71" r:id="rId121" xr:uid="{00000000-0004-0000-0000-000078000000}"/>
    <hyperlink ref="O72" r:id="rId122" xr:uid="{00000000-0004-0000-0000-000079000000}"/>
    <hyperlink ref="P72" r:id="rId123" xr:uid="{00000000-0004-0000-0000-00007A000000}"/>
    <hyperlink ref="O74" r:id="rId124" xr:uid="{00000000-0004-0000-0000-00007B000000}"/>
    <hyperlink ref="P74" r:id="rId125" xr:uid="{00000000-0004-0000-0000-00007C000000}"/>
    <hyperlink ref="O76" r:id="rId126" xr:uid="{00000000-0004-0000-0000-00007D000000}"/>
    <hyperlink ref="P76" r:id="rId127" xr:uid="{00000000-0004-0000-0000-00007E000000}"/>
    <hyperlink ref="O96" r:id="rId128" xr:uid="{00000000-0004-0000-0000-00007F000000}"/>
    <hyperlink ref="P96" r:id="rId129" xr:uid="{00000000-0004-0000-0000-000080000000}"/>
    <hyperlink ref="O97" r:id="rId130" xr:uid="{00000000-0004-0000-0000-000081000000}"/>
    <hyperlink ref="P97" r:id="rId131" xr:uid="{00000000-0004-0000-0000-000082000000}"/>
    <hyperlink ref="O98" r:id="rId132" xr:uid="{00000000-0004-0000-0000-000083000000}"/>
    <hyperlink ref="P98" r:id="rId133" xr:uid="{00000000-0004-0000-0000-000084000000}"/>
    <hyperlink ref="O99" r:id="rId134" xr:uid="{00000000-0004-0000-0000-000085000000}"/>
    <hyperlink ref="P99" r:id="rId135" xr:uid="{00000000-0004-0000-0000-000086000000}"/>
    <hyperlink ref="O100" r:id="rId136" xr:uid="{00000000-0004-0000-0000-000087000000}"/>
    <hyperlink ref="P100" r:id="rId137" xr:uid="{00000000-0004-0000-0000-000088000000}"/>
    <hyperlink ref="O101" r:id="rId138" xr:uid="{00000000-0004-0000-0000-000089000000}"/>
    <hyperlink ref="P101" r:id="rId139" xr:uid="{00000000-0004-0000-0000-00008A000000}"/>
    <hyperlink ref="O102" r:id="rId140" xr:uid="{00000000-0004-0000-0000-00008B000000}"/>
    <hyperlink ref="P102" r:id="rId141" xr:uid="{00000000-0004-0000-0000-00008C000000}"/>
    <hyperlink ref="O103" r:id="rId142" xr:uid="{00000000-0004-0000-0000-00008D000000}"/>
    <hyperlink ref="P103" r:id="rId143" xr:uid="{00000000-0004-0000-0000-00008E000000}"/>
    <hyperlink ref="O104" r:id="rId144" xr:uid="{00000000-0004-0000-0000-00008F000000}"/>
    <hyperlink ref="P104" r:id="rId145" xr:uid="{00000000-0004-0000-0000-000090000000}"/>
    <hyperlink ref="O105" r:id="rId146" xr:uid="{00000000-0004-0000-0000-000091000000}"/>
    <hyperlink ref="P105" r:id="rId147" xr:uid="{00000000-0004-0000-0000-000092000000}"/>
    <hyperlink ref="O106" r:id="rId148" xr:uid="{00000000-0004-0000-0000-000093000000}"/>
    <hyperlink ref="P106" r:id="rId149" xr:uid="{00000000-0004-0000-0000-000094000000}"/>
    <hyperlink ref="O107" r:id="rId150" xr:uid="{00000000-0004-0000-0000-000095000000}"/>
    <hyperlink ref="P107" r:id="rId151" xr:uid="{00000000-0004-0000-0000-000096000000}"/>
    <hyperlink ref="O108" r:id="rId152" xr:uid="{00000000-0004-0000-0000-000097000000}"/>
    <hyperlink ref="P108" r:id="rId153" xr:uid="{00000000-0004-0000-0000-000098000000}"/>
    <hyperlink ref="O109" r:id="rId154" xr:uid="{00000000-0004-0000-0000-000099000000}"/>
    <hyperlink ref="P109" r:id="rId155" xr:uid="{00000000-0004-0000-0000-00009A000000}"/>
    <hyperlink ref="O110" r:id="rId156" xr:uid="{00000000-0004-0000-0000-00009B000000}"/>
    <hyperlink ref="P110" r:id="rId157" xr:uid="{00000000-0004-0000-0000-00009C000000}"/>
    <hyperlink ref="O111" r:id="rId158" xr:uid="{00000000-0004-0000-0000-00009D000000}"/>
    <hyperlink ref="P111" r:id="rId159" xr:uid="{00000000-0004-0000-0000-00009E000000}"/>
    <hyperlink ref="O112" r:id="rId160" xr:uid="{00000000-0004-0000-0000-00009F000000}"/>
    <hyperlink ref="P112" r:id="rId161" xr:uid="{00000000-0004-0000-0000-0000A0000000}"/>
    <hyperlink ref="P114" r:id="rId162" xr:uid="{00000000-0004-0000-0000-0000A1000000}"/>
    <hyperlink ref="P115" r:id="rId163" xr:uid="{00000000-0004-0000-0000-0000A2000000}"/>
    <hyperlink ref="P116" r:id="rId164" xr:uid="{00000000-0004-0000-0000-0000A3000000}"/>
    <hyperlink ref="P117" r:id="rId165" xr:uid="{00000000-0004-0000-0000-0000A4000000}"/>
    <hyperlink ref="P118" r:id="rId166" xr:uid="{00000000-0004-0000-0000-0000A5000000}"/>
    <hyperlink ref="P119" r:id="rId167" xr:uid="{00000000-0004-0000-0000-0000A6000000}"/>
    <hyperlink ref="P120" r:id="rId168" xr:uid="{00000000-0004-0000-0000-0000A7000000}"/>
    <hyperlink ref="P121" r:id="rId169" xr:uid="{00000000-0004-0000-0000-0000A8000000}"/>
    <hyperlink ref="P122" r:id="rId170" xr:uid="{00000000-0004-0000-0000-0000A9000000}"/>
    <hyperlink ref="P123" r:id="rId171" xr:uid="{00000000-0004-0000-0000-0000AA000000}"/>
    <hyperlink ref="P124" r:id="rId172" xr:uid="{00000000-0004-0000-0000-0000AB000000}"/>
    <hyperlink ref="P125" r:id="rId173" xr:uid="{00000000-0004-0000-0000-0000AC000000}"/>
    <hyperlink ref="P126" r:id="rId174" xr:uid="{00000000-0004-0000-0000-0000AD000000}"/>
    <hyperlink ref="P128" r:id="rId175" xr:uid="{00000000-0004-0000-0000-0000AE000000}"/>
    <hyperlink ref="P129" r:id="rId176" xr:uid="{00000000-0004-0000-0000-0000AF000000}"/>
    <hyperlink ref="P130" r:id="rId177" xr:uid="{00000000-0004-0000-0000-0000B0000000}"/>
    <hyperlink ref="P131" r:id="rId178" xr:uid="{00000000-0004-0000-0000-0000B1000000}"/>
    <hyperlink ref="P132" r:id="rId179" xr:uid="{00000000-0004-0000-0000-0000B2000000}"/>
    <hyperlink ref="P133" r:id="rId180" xr:uid="{00000000-0004-0000-0000-0000B3000000}"/>
    <hyperlink ref="O134" r:id="rId181" xr:uid="{00000000-0004-0000-0000-0000B4000000}"/>
    <hyperlink ref="P134" r:id="rId182" xr:uid="{00000000-0004-0000-0000-0000B5000000}"/>
    <hyperlink ref="O135" r:id="rId183" xr:uid="{00000000-0004-0000-0000-0000B6000000}"/>
    <hyperlink ref="P135" r:id="rId184" xr:uid="{00000000-0004-0000-0000-0000B7000000}"/>
    <hyperlink ref="P136" r:id="rId185" xr:uid="{00000000-0004-0000-0000-0000B8000000}"/>
    <hyperlink ref="O137" r:id="rId186" xr:uid="{00000000-0004-0000-0000-0000B9000000}"/>
    <hyperlink ref="P137" r:id="rId187" xr:uid="{00000000-0004-0000-0000-0000BA000000}"/>
    <hyperlink ref="P138" r:id="rId188" xr:uid="{00000000-0004-0000-0000-0000BB000000}"/>
    <hyperlink ref="P139" r:id="rId189" xr:uid="{00000000-0004-0000-0000-0000BC000000}"/>
    <hyperlink ref="P140" r:id="rId190" xr:uid="{00000000-0004-0000-0000-0000BD000000}"/>
    <hyperlink ref="O141" r:id="rId191" xr:uid="{00000000-0004-0000-0000-0000BE000000}"/>
    <hyperlink ref="P141" r:id="rId192" xr:uid="{00000000-0004-0000-0000-0000BF000000}"/>
    <hyperlink ref="O142" r:id="rId193" xr:uid="{00000000-0004-0000-0000-0000C0000000}"/>
    <hyperlink ref="P142" r:id="rId194" xr:uid="{00000000-0004-0000-0000-0000C1000000}"/>
    <hyperlink ref="O143" r:id="rId195" xr:uid="{00000000-0004-0000-0000-0000C2000000}"/>
    <hyperlink ref="P143" r:id="rId196" xr:uid="{00000000-0004-0000-0000-0000C3000000}"/>
    <hyperlink ref="O144" r:id="rId197" xr:uid="{00000000-0004-0000-0000-0000C4000000}"/>
    <hyperlink ref="P144" r:id="rId198" xr:uid="{00000000-0004-0000-0000-0000C5000000}"/>
    <hyperlink ref="O145" r:id="rId199" xr:uid="{00000000-0004-0000-0000-0000C6000000}"/>
    <hyperlink ref="P145" r:id="rId200" xr:uid="{00000000-0004-0000-0000-0000C7000000}"/>
    <hyperlink ref="O146" r:id="rId201" xr:uid="{00000000-0004-0000-0000-0000C8000000}"/>
    <hyperlink ref="P146" r:id="rId202" xr:uid="{00000000-0004-0000-0000-0000C9000000}"/>
    <hyperlink ref="O147" r:id="rId203" xr:uid="{00000000-0004-0000-0000-0000CA000000}"/>
    <hyperlink ref="P147" r:id="rId204" xr:uid="{00000000-0004-0000-0000-0000CB000000}"/>
    <hyperlink ref="O148" r:id="rId205" xr:uid="{00000000-0004-0000-0000-0000CC000000}"/>
    <hyperlink ref="P148" r:id="rId206" xr:uid="{00000000-0004-0000-0000-0000CD000000}"/>
    <hyperlink ref="O149" r:id="rId207" xr:uid="{00000000-0004-0000-0000-0000CE000000}"/>
    <hyperlink ref="P149" r:id="rId208" xr:uid="{00000000-0004-0000-0000-0000CF000000}"/>
    <hyperlink ref="O150" r:id="rId209" xr:uid="{00000000-0004-0000-0000-0000D0000000}"/>
    <hyperlink ref="P150" r:id="rId210" xr:uid="{00000000-0004-0000-0000-0000D1000000}"/>
    <hyperlink ref="O151" r:id="rId211" xr:uid="{00000000-0004-0000-0000-0000D2000000}"/>
    <hyperlink ref="P151" r:id="rId212" xr:uid="{00000000-0004-0000-0000-0000D3000000}"/>
    <hyperlink ref="O152" r:id="rId213" xr:uid="{00000000-0004-0000-0000-0000D4000000}"/>
    <hyperlink ref="P152" r:id="rId214" xr:uid="{00000000-0004-0000-0000-0000D5000000}"/>
    <hyperlink ref="O153" r:id="rId215" xr:uid="{00000000-0004-0000-0000-0000D6000000}"/>
    <hyperlink ref="P153" r:id="rId216" xr:uid="{00000000-0004-0000-0000-0000D7000000}"/>
    <hyperlink ref="O154" r:id="rId217" xr:uid="{00000000-0004-0000-0000-0000D8000000}"/>
    <hyperlink ref="P154" r:id="rId218" xr:uid="{00000000-0004-0000-0000-0000D9000000}"/>
    <hyperlink ref="O158" r:id="rId219" xr:uid="{00000000-0004-0000-0000-0000DA000000}"/>
    <hyperlink ref="P158" r:id="rId220" xr:uid="{00000000-0004-0000-0000-0000DB000000}"/>
    <hyperlink ref="P159" r:id="rId221" xr:uid="{00000000-0004-0000-0000-0000DC000000}"/>
    <hyperlink ref="O160" r:id="rId222" xr:uid="{00000000-0004-0000-0000-0000DD000000}"/>
    <hyperlink ref="P160" r:id="rId223" xr:uid="{00000000-0004-0000-0000-0000DE000000}"/>
    <hyperlink ref="O161" r:id="rId224" xr:uid="{00000000-0004-0000-0000-0000DF000000}"/>
    <hyperlink ref="P161" r:id="rId225" xr:uid="{00000000-0004-0000-0000-0000E0000000}"/>
    <hyperlink ref="O162" r:id="rId226" xr:uid="{00000000-0004-0000-0000-0000E1000000}"/>
    <hyperlink ref="P162" r:id="rId227" xr:uid="{00000000-0004-0000-0000-0000E2000000}"/>
    <hyperlink ref="O163" r:id="rId228" xr:uid="{00000000-0004-0000-0000-0000E3000000}"/>
    <hyperlink ref="P163" r:id="rId229" xr:uid="{00000000-0004-0000-0000-0000E4000000}"/>
    <hyperlink ref="O164" r:id="rId230" xr:uid="{00000000-0004-0000-0000-0000E5000000}"/>
    <hyperlink ref="P164" r:id="rId231" xr:uid="{00000000-0004-0000-0000-0000E6000000}"/>
    <hyperlink ref="O165" r:id="rId232" xr:uid="{00000000-0004-0000-0000-0000E7000000}"/>
    <hyperlink ref="P165" r:id="rId233" xr:uid="{00000000-0004-0000-0000-0000E8000000}"/>
    <hyperlink ref="O166" r:id="rId234" xr:uid="{00000000-0004-0000-0000-0000E9000000}"/>
    <hyperlink ref="P166" r:id="rId235" xr:uid="{00000000-0004-0000-0000-0000EA000000}"/>
    <hyperlink ref="O167" r:id="rId236" xr:uid="{00000000-0004-0000-0000-0000EB000000}"/>
    <hyperlink ref="P167" r:id="rId237" xr:uid="{00000000-0004-0000-0000-0000EC000000}"/>
    <hyperlink ref="O168" r:id="rId238" xr:uid="{00000000-0004-0000-0000-0000ED000000}"/>
    <hyperlink ref="P168" r:id="rId239" xr:uid="{00000000-0004-0000-0000-0000EE000000}"/>
    <hyperlink ref="O169" r:id="rId240" xr:uid="{00000000-0004-0000-0000-0000EF000000}"/>
    <hyperlink ref="P169" r:id="rId241" xr:uid="{00000000-0004-0000-0000-0000F0000000}"/>
    <hyperlink ref="O170" r:id="rId242" xr:uid="{00000000-0004-0000-0000-0000F1000000}"/>
    <hyperlink ref="P170" r:id="rId243" xr:uid="{00000000-0004-0000-0000-0000F2000000}"/>
    <hyperlink ref="O171" r:id="rId244" xr:uid="{00000000-0004-0000-0000-0000F3000000}"/>
    <hyperlink ref="P171" r:id="rId245" xr:uid="{00000000-0004-0000-0000-0000F4000000}"/>
    <hyperlink ref="O172" r:id="rId246" xr:uid="{00000000-0004-0000-0000-0000F5000000}"/>
    <hyperlink ref="P172" r:id="rId247" xr:uid="{00000000-0004-0000-0000-0000F6000000}"/>
    <hyperlink ref="O173" r:id="rId248" xr:uid="{00000000-0004-0000-0000-0000F7000000}"/>
    <hyperlink ref="P173" r:id="rId249" xr:uid="{00000000-0004-0000-0000-0000F8000000}"/>
    <hyperlink ref="O174" r:id="rId250" xr:uid="{00000000-0004-0000-0000-0000F9000000}"/>
    <hyperlink ref="P174" r:id="rId251" xr:uid="{00000000-0004-0000-0000-0000FA000000}"/>
    <hyperlink ref="O175" r:id="rId252" xr:uid="{00000000-0004-0000-0000-0000FB000000}"/>
    <hyperlink ref="P175" r:id="rId253" xr:uid="{00000000-0004-0000-0000-0000FC000000}"/>
    <hyperlink ref="O176" r:id="rId254" xr:uid="{00000000-0004-0000-0000-0000FD000000}"/>
    <hyperlink ref="P176" r:id="rId255" xr:uid="{00000000-0004-0000-0000-0000FE000000}"/>
    <hyperlink ref="O177" r:id="rId256" xr:uid="{00000000-0004-0000-0000-0000FF000000}"/>
    <hyperlink ref="P177" r:id="rId257" xr:uid="{00000000-0004-0000-0000-000000010000}"/>
    <hyperlink ref="O178" r:id="rId258" xr:uid="{00000000-0004-0000-0000-000001010000}"/>
    <hyperlink ref="P178" r:id="rId259" xr:uid="{00000000-0004-0000-0000-000002010000}"/>
    <hyperlink ref="O179" r:id="rId260" xr:uid="{00000000-0004-0000-0000-000003010000}"/>
    <hyperlink ref="P179" r:id="rId261" xr:uid="{00000000-0004-0000-0000-000004010000}"/>
    <hyperlink ref="O180" r:id="rId262" xr:uid="{00000000-0004-0000-0000-000005010000}"/>
    <hyperlink ref="P180" r:id="rId263" xr:uid="{00000000-0004-0000-0000-000006010000}"/>
    <hyperlink ref="O181" r:id="rId264" xr:uid="{00000000-0004-0000-0000-000007010000}"/>
    <hyperlink ref="P181" r:id="rId265" xr:uid="{00000000-0004-0000-0000-000008010000}"/>
    <hyperlink ref="O182" r:id="rId266" xr:uid="{00000000-0004-0000-0000-000009010000}"/>
    <hyperlink ref="P182" r:id="rId267" xr:uid="{00000000-0004-0000-0000-00000A010000}"/>
    <hyperlink ref="O183" r:id="rId268" xr:uid="{00000000-0004-0000-0000-00000B010000}"/>
    <hyperlink ref="P183" r:id="rId269" xr:uid="{00000000-0004-0000-0000-00000C010000}"/>
    <hyperlink ref="O184" r:id="rId270" xr:uid="{00000000-0004-0000-0000-00000D010000}"/>
    <hyperlink ref="P184" r:id="rId271" xr:uid="{00000000-0004-0000-0000-00000E010000}"/>
    <hyperlink ref="O185" r:id="rId272" xr:uid="{00000000-0004-0000-0000-00000F010000}"/>
    <hyperlink ref="P185" r:id="rId273" xr:uid="{00000000-0004-0000-0000-000010010000}"/>
    <hyperlink ref="O186" r:id="rId274" xr:uid="{00000000-0004-0000-0000-000011010000}"/>
    <hyperlink ref="P186" r:id="rId275" xr:uid="{00000000-0004-0000-0000-000012010000}"/>
    <hyperlink ref="O187" r:id="rId276" xr:uid="{00000000-0004-0000-0000-000013010000}"/>
    <hyperlink ref="P187" r:id="rId277" xr:uid="{00000000-0004-0000-0000-000014010000}"/>
    <hyperlink ref="O188" r:id="rId278" xr:uid="{00000000-0004-0000-0000-000015010000}"/>
    <hyperlink ref="P188" r:id="rId279" xr:uid="{00000000-0004-0000-0000-000016010000}"/>
    <hyperlink ref="O193" r:id="rId280" xr:uid="{00000000-0004-0000-0000-000017010000}"/>
    <hyperlink ref="P193" r:id="rId281" xr:uid="{00000000-0004-0000-0000-000018010000}"/>
    <hyperlink ref="P194" r:id="rId282" xr:uid="{00000000-0004-0000-0000-000019010000}"/>
    <hyperlink ref="P221" r:id="rId283" xr:uid="{00000000-0004-0000-0000-00001A010000}"/>
    <hyperlink ref="O222" r:id="rId284" xr:uid="{00000000-0004-0000-0000-00001B010000}"/>
    <hyperlink ref="P222" r:id="rId285" xr:uid="{00000000-0004-0000-0000-00001C010000}"/>
    <hyperlink ref="P223" r:id="rId286" xr:uid="{00000000-0004-0000-0000-00001D010000}"/>
    <hyperlink ref="O224" r:id="rId287" xr:uid="{00000000-0004-0000-0000-00001E010000}"/>
    <hyperlink ref="P224" r:id="rId288" xr:uid="{00000000-0004-0000-0000-00001F010000}"/>
    <hyperlink ref="P225" r:id="rId289" xr:uid="{00000000-0004-0000-0000-000020010000}"/>
    <hyperlink ref="O226" r:id="rId290" xr:uid="{00000000-0004-0000-0000-000021010000}"/>
    <hyperlink ref="P226" r:id="rId291" xr:uid="{00000000-0004-0000-0000-000022010000}"/>
    <hyperlink ref="O227" r:id="rId292" xr:uid="{00000000-0004-0000-0000-000023010000}"/>
    <hyperlink ref="P227" r:id="rId293" xr:uid="{00000000-0004-0000-0000-000024010000}"/>
    <hyperlink ref="O228" r:id="rId294" xr:uid="{00000000-0004-0000-0000-000025010000}"/>
    <hyperlink ref="P228" r:id="rId295" xr:uid="{00000000-0004-0000-0000-000026010000}"/>
    <hyperlink ref="O229" r:id="rId296" xr:uid="{00000000-0004-0000-0000-000027010000}"/>
    <hyperlink ref="P229" r:id="rId297" xr:uid="{00000000-0004-0000-0000-000028010000}"/>
    <hyperlink ref="O230" r:id="rId298" xr:uid="{00000000-0004-0000-0000-000029010000}"/>
    <hyperlink ref="P230" r:id="rId299" xr:uid="{00000000-0004-0000-0000-00002A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D906"/>
  <sheetViews>
    <sheetView workbookViewId="0">
      <pane ySplit="5" topLeftCell="A6" activePane="bottomLeft" state="frozen"/>
      <selection pane="bottomLeft" activeCell="B7" sqref="B7"/>
    </sheetView>
  </sheetViews>
  <sheetFormatPr defaultColWidth="12.6328125" defaultRowHeight="15.75" customHeight="1"/>
  <cols>
    <col min="1" max="1" width="4.453125" customWidth="1"/>
    <col min="2" max="2" width="7.90625" customWidth="1"/>
    <col min="3" max="3" width="21.6328125" customWidth="1"/>
    <col min="4" max="4" width="10.90625" customWidth="1"/>
    <col min="5" max="5" width="13" customWidth="1"/>
    <col min="6" max="7" width="11" customWidth="1"/>
    <col min="8" max="8" width="11" hidden="1" customWidth="1"/>
    <col min="9" max="9" width="21.90625" customWidth="1"/>
    <col min="10" max="10" width="19.90625" customWidth="1"/>
    <col min="11" max="11" width="21.453125" customWidth="1"/>
    <col min="12" max="12" width="21.36328125" customWidth="1"/>
    <col min="13" max="13" width="24.7265625" customWidth="1"/>
    <col min="14" max="15" width="17.6328125" customWidth="1"/>
    <col min="16" max="16" width="17.08984375" customWidth="1"/>
    <col min="17" max="17" width="16.26953125" customWidth="1"/>
    <col min="18" max="18" width="19.36328125" customWidth="1"/>
  </cols>
  <sheetData>
    <row r="1" spans="1:30" ht="49.5" hidden="1" customHeight="1">
      <c r="A1" s="73" t="s">
        <v>1547</v>
      </c>
      <c r="B1" s="74"/>
      <c r="C1" s="74"/>
      <c r="D1" s="74"/>
      <c r="E1" s="74"/>
      <c r="F1" s="1"/>
      <c r="G1" s="37"/>
      <c r="H1" s="1"/>
      <c r="I1" s="2"/>
      <c r="J1" s="2"/>
      <c r="K1" s="2"/>
      <c r="L1" s="2"/>
      <c r="M1" s="2"/>
      <c r="N1" s="3"/>
      <c r="O1" s="3"/>
      <c r="P1" s="2"/>
      <c r="Q1" s="2"/>
      <c r="R1" s="2"/>
      <c r="S1" s="2"/>
      <c r="T1" s="2"/>
      <c r="U1" s="2"/>
      <c r="V1" s="2"/>
      <c r="W1" s="2"/>
      <c r="X1" s="2"/>
      <c r="Y1" s="2"/>
      <c r="Z1" s="2"/>
      <c r="AA1" s="2"/>
      <c r="AB1" s="2"/>
      <c r="AC1" s="2"/>
      <c r="AD1" s="2"/>
    </row>
    <row r="2" spans="1:30" ht="28.5" customHeight="1">
      <c r="A2" s="75" t="s">
        <v>1</v>
      </c>
      <c r="B2" s="74"/>
      <c r="C2" s="74"/>
      <c r="D2" s="74"/>
      <c r="E2" s="74"/>
      <c r="F2" s="74"/>
      <c r="G2" s="74"/>
      <c r="H2" s="74"/>
      <c r="I2" s="74"/>
      <c r="J2" s="74"/>
      <c r="K2" s="74"/>
      <c r="L2" s="74"/>
      <c r="M2" s="74"/>
      <c r="N2" s="74"/>
      <c r="O2" s="74"/>
      <c r="P2" s="74"/>
      <c r="Q2" s="74"/>
      <c r="R2" s="74"/>
      <c r="S2" s="2"/>
      <c r="T2" s="2"/>
      <c r="U2" s="2"/>
      <c r="V2" s="2"/>
      <c r="W2" s="2"/>
      <c r="X2" s="2"/>
      <c r="Y2" s="2"/>
      <c r="Z2" s="2"/>
      <c r="AA2" s="2"/>
      <c r="AB2" s="2"/>
      <c r="AC2" s="2"/>
      <c r="AD2" s="2"/>
    </row>
    <row r="3" spans="1:30" ht="21.75" customHeight="1">
      <c r="A3" s="76" t="s">
        <v>2</v>
      </c>
      <c r="B3" s="76" t="s">
        <v>1548</v>
      </c>
      <c r="C3" s="76" t="s">
        <v>3</v>
      </c>
      <c r="D3" s="76" t="s">
        <v>4</v>
      </c>
      <c r="E3" s="76" t="s">
        <v>5</v>
      </c>
      <c r="F3" s="77" t="s">
        <v>6</v>
      </c>
      <c r="G3" s="77" t="s">
        <v>7</v>
      </c>
      <c r="H3" s="78" t="s">
        <v>8</v>
      </c>
      <c r="I3" s="71" t="s">
        <v>9</v>
      </c>
      <c r="J3" s="65"/>
      <c r="K3" s="65"/>
      <c r="L3" s="65"/>
      <c r="M3" s="66"/>
      <c r="N3" s="72" t="s">
        <v>10</v>
      </c>
      <c r="O3" s="72" t="s">
        <v>11</v>
      </c>
      <c r="P3" s="71" t="s">
        <v>12</v>
      </c>
      <c r="Q3" s="66"/>
      <c r="R3" s="72" t="s">
        <v>13</v>
      </c>
      <c r="S3" s="2"/>
      <c r="T3" s="2"/>
      <c r="U3" s="2"/>
      <c r="V3" s="2"/>
      <c r="W3" s="2"/>
      <c r="X3" s="2"/>
      <c r="Y3" s="2"/>
      <c r="Z3" s="2"/>
      <c r="AA3" s="2"/>
      <c r="AB3" s="2"/>
      <c r="AC3" s="2"/>
      <c r="AD3" s="2"/>
    </row>
    <row r="4" spans="1:30" ht="22.5" customHeight="1">
      <c r="A4" s="62"/>
      <c r="B4" s="62"/>
      <c r="C4" s="62"/>
      <c r="D4" s="62"/>
      <c r="E4" s="62"/>
      <c r="F4" s="62"/>
      <c r="G4" s="62"/>
      <c r="H4" s="62"/>
      <c r="I4" s="4" t="s">
        <v>14</v>
      </c>
      <c r="J4" s="4" t="s">
        <v>15</v>
      </c>
      <c r="K4" s="4" t="s">
        <v>16</v>
      </c>
      <c r="L4" s="4" t="s">
        <v>17</v>
      </c>
      <c r="M4" s="4" t="s">
        <v>18</v>
      </c>
      <c r="N4" s="62"/>
      <c r="O4" s="62"/>
      <c r="P4" s="4" t="s">
        <v>19</v>
      </c>
      <c r="Q4" s="4" t="s">
        <v>20</v>
      </c>
      <c r="R4" s="62"/>
      <c r="S4" s="2"/>
      <c r="T4" s="2"/>
      <c r="U4" s="2"/>
      <c r="V4" s="2"/>
      <c r="W4" s="2"/>
      <c r="X4" s="2"/>
      <c r="Y4" s="2"/>
      <c r="Z4" s="2"/>
      <c r="AA4" s="2"/>
      <c r="AB4" s="2"/>
      <c r="AC4" s="2"/>
      <c r="AD4" s="2"/>
    </row>
    <row r="5" spans="1:30" ht="14">
      <c r="A5" s="5"/>
      <c r="B5" s="6"/>
      <c r="C5" s="6"/>
      <c r="D5" s="5"/>
      <c r="E5" s="7"/>
      <c r="F5" s="8"/>
      <c r="G5" s="38"/>
      <c r="H5" s="8"/>
      <c r="I5" s="6"/>
      <c r="J5" s="6"/>
      <c r="K5" s="6"/>
      <c r="L5" s="6"/>
      <c r="M5" s="6"/>
      <c r="N5" s="10"/>
      <c r="O5" s="10"/>
      <c r="P5" s="6"/>
      <c r="Q5" s="6"/>
      <c r="R5" s="11"/>
      <c r="S5" s="2"/>
      <c r="T5" s="2"/>
      <c r="U5" s="2"/>
      <c r="V5" s="2"/>
      <c r="W5" s="2"/>
      <c r="X5" s="2"/>
      <c r="Y5" s="2"/>
      <c r="Z5" s="2"/>
      <c r="AA5" s="2"/>
      <c r="AB5" s="2"/>
      <c r="AC5" s="2"/>
      <c r="AD5" s="2"/>
    </row>
    <row r="6" spans="1:30" ht="409.5">
      <c r="A6" s="39">
        <v>1</v>
      </c>
      <c r="B6" s="39">
        <v>1</v>
      </c>
      <c r="C6" s="6" t="s">
        <v>1334</v>
      </c>
      <c r="D6" s="5">
        <v>3122410001</v>
      </c>
      <c r="E6" s="10" t="s">
        <v>1335</v>
      </c>
      <c r="F6" s="8">
        <f>VLOOKUP(D6,'Trang tính3'!$B$10:$H$377,7,0)</f>
        <v>99</v>
      </c>
      <c r="G6" s="8" t="str">
        <f>VLOOKUP(D6,'Trang tính2'!$B$1:$D$175,3,0)</f>
        <v>3.62</v>
      </c>
      <c r="H6" s="8"/>
      <c r="I6" s="40" t="s">
        <v>1336</v>
      </c>
      <c r="J6" s="40" t="s">
        <v>1337</v>
      </c>
      <c r="K6" s="40" t="s">
        <v>1338</v>
      </c>
      <c r="L6" s="40" t="s">
        <v>1339</v>
      </c>
      <c r="M6" s="40" t="s">
        <v>1340</v>
      </c>
      <c r="N6" s="10"/>
      <c r="O6" s="10" t="s">
        <v>28</v>
      </c>
      <c r="P6" s="12" t="s">
        <v>1341</v>
      </c>
      <c r="Q6" s="12" t="s">
        <v>1342</v>
      </c>
      <c r="R6" s="11" t="s">
        <v>1343</v>
      </c>
      <c r="S6" s="2"/>
      <c r="T6" s="2"/>
      <c r="U6" s="2"/>
      <c r="V6" s="2"/>
      <c r="W6" s="2"/>
      <c r="X6" s="2"/>
      <c r="Y6" s="2"/>
      <c r="Z6" s="2"/>
      <c r="AA6" s="2"/>
      <c r="AB6" s="2"/>
      <c r="AC6" s="2"/>
      <c r="AD6" s="2"/>
    </row>
    <row r="7" spans="1:30" ht="130">
      <c r="A7" s="39">
        <v>2</v>
      </c>
      <c r="B7" s="39">
        <v>2</v>
      </c>
      <c r="C7" s="6" t="s">
        <v>1462</v>
      </c>
      <c r="D7" s="5">
        <v>3124530108</v>
      </c>
      <c r="E7" s="68" t="s">
        <v>1463</v>
      </c>
      <c r="F7" s="8" t="s">
        <v>755</v>
      </c>
      <c r="G7" s="8" t="s">
        <v>1464</v>
      </c>
      <c r="H7" s="8"/>
      <c r="I7" s="40" t="s">
        <v>1465</v>
      </c>
      <c r="J7" s="40" t="s">
        <v>1466</v>
      </c>
      <c r="K7" s="40" t="s">
        <v>1467</v>
      </c>
      <c r="L7" s="40" t="s">
        <v>1468</v>
      </c>
      <c r="M7" s="40" t="s">
        <v>1469</v>
      </c>
      <c r="N7" s="10"/>
      <c r="O7" s="10" t="s">
        <v>28</v>
      </c>
      <c r="P7" s="12" t="s">
        <v>1549</v>
      </c>
      <c r="Q7" s="12" t="s">
        <v>1550</v>
      </c>
      <c r="R7" s="60" t="s">
        <v>1470</v>
      </c>
      <c r="S7" s="2"/>
      <c r="T7" s="2"/>
      <c r="U7" s="2"/>
      <c r="V7" s="2"/>
      <c r="W7" s="2"/>
      <c r="X7" s="2"/>
      <c r="Y7" s="2"/>
      <c r="Z7" s="2"/>
      <c r="AA7" s="2"/>
      <c r="AB7" s="2"/>
      <c r="AC7" s="2"/>
      <c r="AD7" s="2"/>
    </row>
    <row r="8" spans="1:30" ht="409.5">
      <c r="A8" s="39">
        <v>3</v>
      </c>
      <c r="B8" s="39">
        <v>3</v>
      </c>
      <c r="C8" s="6" t="s">
        <v>1474</v>
      </c>
      <c r="D8" s="5">
        <v>3124460039</v>
      </c>
      <c r="E8" s="62"/>
      <c r="F8" s="8" t="s">
        <v>745</v>
      </c>
      <c r="G8" s="8" t="s">
        <v>1475</v>
      </c>
      <c r="H8" s="8"/>
      <c r="I8" s="40" t="s">
        <v>1476</v>
      </c>
      <c r="J8" s="40" t="s">
        <v>1477</v>
      </c>
      <c r="K8" s="40" t="s">
        <v>1478</v>
      </c>
      <c r="L8" s="40" t="s">
        <v>1479</v>
      </c>
      <c r="M8" s="40" t="s">
        <v>1480</v>
      </c>
      <c r="N8" s="10"/>
      <c r="O8" s="10" t="s">
        <v>28</v>
      </c>
      <c r="P8" s="12" t="s">
        <v>1551</v>
      </c>
      <c r="Q8" s="12" t="s">
        <v>1552</v>
      </c>
      <c r="R8" s="62"/>
      <c r="S8" s="2"/>
      <c r="T8" s="2"/>
      <c r="U8" s="2"/>
      <c r="V8" s="2"/>
      <c r="W8" s="2"/>
      <c r="X8" s="2"/>
      <c r="Y8" s="2"/>
      <c r="Z8" s="2"/>
      <c r="AA8" s="2"/>
      <c r="AB8" s="2"/>
      <c r="AC8" s="2"/>
      <c r="AD8" s="2"/>
    </row>
    <row r="9" spans="1:30" ht="182">
      <c r="A9" s="39">
        <v>4</v>
      </c>
      <c r="B9" s="39">
        <v>4</v>
      </c>
      <c r="C9" s="6" t="s">
        <v>21</v>
      </c>
      <c r="D9" s="5">
        <v>3121200023</v>
      </c>
      <c r="E9" s="70" t="s">
        <v>22</v>
      </c>
      <c r="F9" s="8">
        <f>VLOOKUP(D9,'Trang tính3'!$B$10:$H$377,7,0)</f>
        <v>98</v>
      </c>
      <c r="G9" s="8" t="str">
        <f>VLOOKUP(D9,'Trang tính2'!$B$1:$D$175,3,0)</f>
        <v>3.33</v>
      </c>
      <c r="H9" s="8"/>
      <c r="I9" s="40" t="s">
        <v>23</v>
      </c>
      <c r="J9" s="40" t="s">
        <v>24</v>
      </c>
      <c r="K9" s="40" t="s">
        <v>25</v>
      </c>
      <c r="L9" s="40" t="s">
        <v>26</v>
      </c>
      <c r="M9" s="40" t="s">
        <v>27</v>
      </c>
      <c r="N9" s="10"/>
      <c r="O9" s="10" t="s">
        <v>28</v>
      </c>
      <c r="P9" s="30" t="s">
        <v>1553</v>
      </c>
      <c r="Q9" s="12" t="s">
        <v>1554</v>
      </c>
      <c r="R9" s="60" t="s">
        <v>31</v>
      </c>
      <c r="S9" s="2"/>
      <c r="T9" s="2"/>
      <c r="U9" s="2"/>
      <c r="V9" s="2"/>
      <c r="W9" s="2"/>
      <c r="X9" s="2"/>
      <c r="Y9" s="2"/>
      <c r="Z9" s="2"/>
      <c r="AA9" s="2"/>
      <c r="AB9" s="2"/>
      <c r="AC9" s="2"/>
      <c r="AD9" s="2"/>
    </row>
    <row r="10" spans="1:30" ht="273">
      <c r="A10" s="39">
        <v>5</v>
      </c>
      <c r="B10" s="39">
        <v>5</v>
      </c>
      <c r="C10" s="6" t="s">
        <v>32</v>
      </c>
      <c r="D10" s="5">
        <v>3122200012</v>
      </c>
      <c r="E10" s="61"/>
      <c r="F10" s="8">
        <f>VLOOKUP(D10,'Trang tính3'!$B$10:$H$377,7,0)</f>
        <v>95</v>
      </c>
      <c r="G10" s="8" t="str">
        <f>VLOOKUP(D10,'Trang tính2'!$B$1:$D$175,3,0)</f>
        <v>3.78</v>
      </c>
      <c r="H10" s="8"/>
      <c r="I10" s="40" t="s">
        <v>33</v>
      </c>
      <c r="J10" s="40" t="s">
        <v>34</v>
      </c>
      <c r="K10" s="40" t="s">
        <v>25</v>
      </c>
      <c r="L10" s="40" t="s">
        <v>35</v>
      </c>
      <c r="M10" s="40" t="s">
        <v>36</v>
      </c>
      <c r="N10" s="10"/>
      <c r="O10" s="10" t="s">
        <v>28</v>
      </c>
      <c r="P10" s="12" t="s">
        <v>37</v>
      </c>
      <c r="Q10" s="12" t="s">
        <v>38</v>
      </c>
      <c r="R10" s="61"/>
      <c r="S10" s="2"/>
      <c r="T10" s="2"/>
      <c r="U10" s="2"/>
      <c r="V10" s="2"/>
      <c r="W10" s="2"/>
      <c r="X10" s="2"/>
      <c r="Y10" s="2"/>
      <c r="Z10" s="2"/>
      <c r="AA10" s="2"/>
      <c r="AB10" s="2"/>
      <c r="AC10" s="2"/>
      <c r="AD10" s="2"/>
    </row>
    <row r="11" spans="1:30" ht="338">
      <c r="A11" s="39">
        <v>6</v>
      </c>
      <c r="B11" s="39">
        <v>6</v>
      </c>
      <c r="C11" s="6" t="s">
        <v>39</v>
      </c>
      <c r="D11" s="5">
        <v>3122200003</v>
      </c>
      <c r="E11" s="61"/>
      <c r="F11" s="8">
        <f>VLOOKUP(D11,'Trang tính3'!$B$10:$H$377,7,0)</f>
        <v>93</v>
      </c>
      <c r="G11" s="8" t="str">
        <f>VLOOKUP(D11,'Trang tính2'!$B$1:$D$175,3,0)</f>
        <v>3.90</v>
      </c>
      <c r="H11" s="8"/>
      <c r="I11" s="40" t="s">
        <v>40</v>
      </c>
      <c r="J11" s="40" t="s">
        <v>41</v>
      </c>
      <c r="K11" s="40" t="s">
        <v>25</v>
      </c>
      <c r="L11" s="40" t="s">
        <v>42</v>
      </c>
      <c r="M11" s="40" t="s">
        <v>43</v>
      </c>
      <c r="N11" s="10"/>
      <c r="O11" s="10" t="s">
        <v>28</v>
      </c>
      <c r="P11" s="12" t="s">
        <v>44</v>
      </c>
      <c r="Q11" s="12" t="s">
        <v>45</v>
      </c>
      <c r="R11" s="61"/>
      <c r="S11" s="2"/>
      <c r="T11" s="2"/>
      <c r="U11" s="2"/>
      <c r="V11" s="2"/>
      <c r="W11" s="2"/>
      <c r="X11" s="2"/>
      <c r="Y11" s="2"/>
      <c r="Z11" s="2"/>
      <c r="AA11" s="2"/>
      <c r="AB11" s="2"/>
      <c r="AC11" s="2"/>
      <c r="AD11" s="2"/>
    </row>
    <row r="12" spans="1:30" ht="273">
      <c r="A12" s="39">
        <v>7</v>
      </c>
      <c r="B12" s="39">
        <v>7</v>
      </c>
      <c r="C12" s="6" t="s">
        <v>46</v>
      </c>
      <c r="D12" s="5">
        <v>3122200009</v>
      </c>
      <c r="E12" s="61"/>
      <c r="F12" s="8">
        <f>VLOOKUP(D12,'Trang tính3'!$B$10:$H$377,7,0)</f>
        <v>97</v>
      </c>
      <c r="G12" s="8" t="str">
        <f>VLOOKUP(D12,'Trang tính2'!$B$1:$D$175,3,0)</f>
        <v>3.62</v>
      </c>
      <c r="H12" s="8"/>
      <c r="I12" s="40" t="s">
        <v>47</v>
      </c>
      <c r="J12" s="40" t="s">
        <v>48</v>
      </c>
      <c r="K12" s="40" t="s">
        <v>49</v>
      </c>
      <c r="L12" s="40" t="s">
        <v>50</v>
      </c>
      <c r="M12" s="40" t="s">
        <v>51</v>
      </c>
      <c r="N12" s="10"/>
      <c r="O12" s="10" t="s">
        <v>28</v>
      </c>
      <c r="P12" s="12" t="s">
        <v>52</v>
      </c>
      <c r="Q12" s="12" t="s">
        <v>53</v>
      </c>
      <c r="R12" s="61"/>
      <c r="S12" s="2"/>
      <c r="T12" s="2"/>
      <c r="U12" s="2"/>
      <c r="V12" s="2"/>
      <c r="W12" s="2"/>
      <c r="X12" s="2"/>
      <c r="Y12" s="2"/>
      <c r="Z12" s="2"/>
      <c r="AA12" s="2"/>
      <c r="AB12" s="2"/>
      <c r="AC12" s="2"/>
      <c r="AD12" s="2"/>
    </row>
    <row r="13" spans="1:30" ht="409.5" hidden="1">
      <c r="A13" s="39">
        <v>8</v>
      </c>
      <c r="B13" s="39">
        <v>8</v>
      </c>
      <c r="C13" s="6" t="s">
        <v>54</v>
      </c>
      <c r="D13" s="5">
        <v>3121200013</v>
      </c>
      <c r="E13" s="61"/>
      <c r="F13" s="8">
        <f>VLOOKUP(D13,'Trang tính3'!$B$10:$H$377,7,0)</f>
        <v>100</v>
      </c>
      <c r="G13" s="8" t="str">
        <f>VLOOKUP(D13,'Trang tính2'!$B$1:$D$175,3,0)</f>
        <v>3.90</v>
      </c>
      <c r="H13" s="8"/>
      <c r="I13" s="40" t="s">
        <v>55</v>
      </c>
      <c r="J13" s="40" t="s">
        <v>56</v>
      </c>
      <c r="K13" s="40" t="s">
        <v>57</v>
      </c>
      <c r="L13" s="40" t="s">
        <v>58</v>
      </c>
      <c r="M13" s="40" t="s">
        <v>59</v>
      </c>
      <c r="N13" s="10" t="s">
        <v>60</v>
      </c>
      <c r="O13" s="10" t="s">
        <v>28</v>
      </c>
      <c r="P13" s="12" t="s">
        <v>1555</v>
      </c>
      <c r="Q13" s="13" t="s">
        <v>61</v>
      </c>
      <c r="R13" s="61"/>
      <c r="S13" s="2"/>
      <c r="T13" s="2"/>
      <c r="U13" s="2"/>
      <c r="V13" s="2"/>
      <c r="W13" s="2"/>
      <c r="X13" s="2"/>
      <c r="Y13" s="2"/>
      <c r="Z13" s="2"/>
      <c r="AA13" s="2"/>
      <c r="AB13" s="2"/>
      <c r="AC13" s="2"/>
      <c r="AD13" s="2"/>
    </row>
    <row r="14" spans="1:30" ht="377" hidden="1">
      <c r="A14" s="39">
        <v>9</v>
      </c>
      <c r="B14" s="39">
        <v>9</v>
      </c>
      <c r="C14" s="6" t="s">
        <v>62</v>
      </c>
      <c r="D14" s="5">
        <v>3122200005</v>
      </c>
      <c r="E14" s="62"/>
      <c r="F14" s="8">
        <f>VLOOKUP(D14,'Trang tính3'!$B$10:$H$377,7,0)</f>
        <v>98.5</v>
      </c>
      <c r="G14" s="8" t="str">
        <f>VLOOKUP(D14,'Trang tính2'!$B$1:$D$175,3,0)</f>
        <v>3.71</v>
      </c>
      <c r="H14" s="8"/>
      <c r="I14" s="40" t="s">
        <v>63</v>
      </c>
      <c r="J14" s="40" t="s">
        <v>64</v>
      </c>
      <c r="K14" s="40" t="s">
        <v>65</v>
      </c>
      <c r="L14" s="40" t="s">
        <v>66</v>
      </c>
      <c r="M14" s="40" t="s">
        <v>67</v>
      </c>
      <c r="N14" s="10" t="s">
        <v>60</v>
      </c>
      <c r="O14" s="10" t="s">
        <v>28</v>
      </c>
      <c r="P14" s="12" t="s">
        <v>1556</v>
      </c>
      <c r="Q14" s="12" t="s">
        <v>68</v>
      </c>
      <c r="R14" s="62"/>
      <c r="S14" s="2"/>
      <c r="T14" s="2"/>
      <c r="U14" s="2"/>
      <c r="V14" s="2"/>
      <c r="W14" s="2"/>
      <c r="X14" s="2"/>
      <c r="Y14" s="2"/>
      <c r="Z14" s="2"/>
      <c r="AA14" s="2"/>
      <c r="AB14" s="2"/>
      <c r="AC14" s="2"/>
      <c r="AD14" s="2"/>
    </row>
    <row r="15" spans="1:30" ht="208">
      <c r="A15" s="39">
        <v>10</v>
      </c>
      <c r="B15" s="39">
        <v>10</v>
      </c>
      <c r="C15" s="6" t="s">
        <v>901</v>
      </c>
      <c r="D15" s="41" t="s">
        <v>902</v>
      </c>
      <c r="E15" s="68" t="s">
        <v>903</v>
      </c>
      <c r="F15" s="8" t="s">
        <v>745</v>
      </c>
      <c r="G15" s="8" t="s">
        <v>904</v>
      </c>
      <c r="H15" s="8"/>
      <c r="I15" s="40" t="s">
        <v>905</v>
      </c>
      <c r="J15" s="40" t="s">
        <v>906</v>
      </c>
      <c r="K15" s="40" t="s">
        <v>907</v>
      </c>
      <c r="L15" s="40" t="s">
        <v>908</v>
      </c>
      <c r="M15" s="40" t="s">
        <v>909</v>
      </c>
      <c r="N15" s="10"/>
      <c r="O15" s="10" t="s">
        <v>28</v>
      </c>
      <c r="P15" s="12" t="s">
        <v>910</v>
      </c>
      <c r="Q15" s="12" t="s">
        <v>911</v>
      </c>
      <c r="R15" s="67" t="s">
        <v>912</v>
      </c>
      <c r="S15" s="2"/>
      <c r="T15" s="2"/>
      <c r="U15" s="2"/>
      <c r="V15" s="2"/>
      <c r="W15" s="2"/>
      <c r="X15" s="2"/>
      <c r="Y15" s="2"/>
      <c r="Z15" s="2"/>
      <c r="AA15" s="2"/>
      <c r="AB15" s="2"/>
      <c r="AC15" s="2"/>
      <c r="AD15" s="2"/>
    </row>
    <row r="16" spans="1:30" ht="286">
      <c r="A16" s="39">
        <v>11</v>
      </c>
      <c r="B16" s="39">
        <v>11</v>
      </c>
      <c r="C16" s="6" t="s">
        <v>913</v>
      </c>
      <c r="D16" s="5">
        <v>3124190142</v>
      </c>
      <c r="E16" s="61"/>
      <c r="F16" s="8" t="s">
        <v>914</v>
      </c>
      <c r="G16" s="8" t="s">
        <v>915</v>
      </c>
      <c r="H16" s="8"/>
      <c r="I16" s="40" t="s">
        <v>916</v>
      </c>
      <c r="J16" s="40" t="s">
        <v>917</v>
      </c>
      <c r="K16" s="40" t="s">
        <v>918</v>
      </c>
      <c r="L16" s="40" t="s">
        <v>919</v>
      </c>
      <c r="M16" s="40" t="s">
        <v>920</v>
      </c>
      <c r="N16" s="10"/>
      <c r="O16" s="10" t="s">
        <v>28</v>
      </c>
      <c r="P16" s="12" t="s">
        <v>1557</v>
      </c>
      <c r="Q16" s="12" t="s">
        <v>921</v>
      </c>
      <c r="R16" s="61"/>
      <c r="S16" s="2"/>
      <c r="T16" s="2"/>
      <c r="U16" s="2"/>
      <c r="V16" s="2"/>
      <c r="W16" s="2"/>
      <c r="X16" s="2"/>
      <c r="Y16" s="2"/>
      <c r="Z16" s="2"/>
      <c r="AA16" s="2"/>
      <c r="AB16" s="2"/>
      <c r="AC16" s="2"/>
      <c r="AD16" s="2"/>
    </row>
    <row r="17" spans="1:30" ht="390">
      <c r="A17" s="39">
        <v>12</v>
      </c>
      <c r="B17" s="39">
        <v>12</v>
      </c>
      <c r="C17" s="6" t="s">
        <v>922</v>
      </c>
      <c r="D17" s="5">
        <v>3122190105</v>
      </c>
      <c r="E17" s="61"/>
      <c r="F17" s="8" t="s">
        <v>923</v>
      </c>
      <c r="G17" s="8" t="s">
        <v>924</v>
      </c>
      <c r="H17" s="8"/>
      <c r="I17" s="40" t="s">
        <v>925</v>
      </c>
      <c r="J17" s="40" t="s">
        <v>926</v>
      </c>
      <c r="K17" s="40" t="s">
        <v>927</v>
      </c>
      <c r="L17" s="40" t="s">
        <v>928</v>
      </c>
      <c r="M17" s="40" t="s">
        <v>929</v>
      </c>
      <c r="N17" s="10"/>
      <c r="O17" s="10" t="s">
        <v>28</v>
      </c>
      <c r="P17" s="12" t="s">
        <v>930</v>
      </c>
      <c r="Q17" s="12" t="s">
        <v>931</v>
      </c>
      <c r="R17" s="61"/>
      <c r="S17" s="2"/>
      <c r="T17" s="2"/>
      <c r="U17" s="2"/>
      <c r="V17" s="2"/>
      <c r="W17" s="2"/>
      <c r="X17" s="2"/>
      <c r="Y17" s="2"/>
      <c r="Z17" s="2"/>
      <c r="AA17" s="2"/>
      <c r="AB17" s="2"/>
      <c r="AC17" s="2"/>
      <c r="AD17" s="2"/>
    </row>
    <row r="18" spans="1:30" ht="409.5">
      <c r="A18" s="39">
        <v>13</v>
      </c>
      <c r="B18" s="39">
        <v>13</v>
      </c>
      <c r="C18" s="6" t="s">
        <v>932</v>
      </c>
      <c r="D18" s="5">
        <v>3123190077</v>
      </c>
      <c r="E18" s="61"/>
      <c r="F18" s="8" t="s">
        <v>195</v>
      </c>
      <c r="G18" s="8" t="s">
        <v>904</v>
      </c>
      <c r="H18" s="8"/>
      <c r="I18" s="40" t="s">
        <v>933</v>
      </c>
      <c r="J18" s="40" t="s">
        <v>934</v>
      </c>
      <c r="K18" s="40" t="s">
        <v>935</v>
      </c>
      <c r="L18" s="40" t="s">
        <v>936</v>
      </c>
      <c r="M18" s="40" t="s">
        <v>937</v>
      </c>
      <c r="N18" s="10"/>
      <c r="O18" s="10" t="s">
        <v>28</v>
      </c>
      <c r="P18" s="12" t="s">
        <v>1558</v>
      </c>
      <c r="Q18" s="12" t="s">
        <v>938</v>
      </c>
      <c r="R18" s="61"/>
      <c r="S18" s="2"/>
      <c r="T18" s="2"/>
      <c r="U18" s="2"/>
      <c r="V18" s="2"/>
      <c r="W18" s="2"/>
      <c r="X18" s="2"/>
      <c r="Y18" s="2"/>
      <c r="Z18" s="2"/>
      <c r="AA18" s="2"/>
      <c r="AB18" s="2"/>
      <c r="AC18" s="2"/>
      <c r="AD18" s="2"/>
    </row>
    <row r="19" spans="1:30" ht="409.5">
      <c r="A19" s="39">
        <v>14</v>
      </c>
      <c r="B19" s="39">
        <v>14</v>
      </c>
      <c r="C19" s="6" t="s">
        <v>939</v>
      </c>
      <c r="D19" s="5">
        <v>3123190099</v>
      </c>
      <c r="E19" s="61"/>
      <c r="F19" s="8" t="s">
        <v>195</v>
      </c>
      <c r="G19" s="8" t="s">
        <v>940</v>
      </c>
      <c r="H19" s="8"/>
      <c r="I19" s="40" t="s">
        <v>941</v>
      </c>
      <c r="J19" s="40" t="s">
        <v>942</v>
      </c>
      <c r="K19" s="40" t="s">
        <v>943</v>
      </c>
      <c r="L19" s="40" t="s">
        <v>944</v>
      </c>
      <c r="M19" s="40" t="s">
        <v>945</v>
      </c>
      <c r="N19" s="10"/>
      <c r="O19" s="10" t="s">
        <v>28</v>
      </c>
      <c r="P19" s="12" t="s">
        <v>1559</v>
      </c>
      <c r="Q19" s="12" t="s">
        <v>946</v>
      </c>
      <c r="R19" s="61"/>
      <c r="S19" s="2"/>
      <c r="T19" s="2"/>
      <c r="U19" s="2"/>
      <c r="V19" s="2"/>
      <c r="W19" s="2"/>
      <c r="X19" s="2"/>
      <c r="Y19" s="2"/>
      <c r="Z19" s="2"/>
      <c r="AA19" s="2"/>
      <c r="AB19" s="2"/>
      <c r="AC19" s="2"/>
      <c r="AD19" s="2"/>
    </row>
    <row r="20" spans="1:30" ht="377">
      <c r="A20" s="39">
        <v>15</v>
      </c>
      <c r="B20" s="39">
        <v>15</v>
      </c>
      <c r="C20" s="6" t="s">
        <v>947</v>
      </c>
      <c r="D20" s="5">
        <v>3123190005</v>
      </c>
      <c r="E20" s="61"/>
      <c r="F20" s="8" t="s">
        <v>948</v>
      </c>
      <c r="G20" s="8" t="s">
        <v>949</v>
      </c>
      <c r="H20" s="8"/>
      <c r="I20" s="40" t="s">
        <v>950</v>
      </c>
      <c r="J20" s="40" t="s">
        <v>951</v>
      </c>
      <c r="K20" s="40" t="s">
        <v>952</v>
      </c>
      <c r="L20" s="40" t="s">
        <v>953</v>
      </c>
      <c r="M20" s="40" t="s">
        <v>954</v>
      </c>
      <c r="N20" s="10"/>
      <c r="O20" s="10" t="s">
        <v>28</v>
      </c>
      <c r="P20" s="12" t="s">
        <v>1560</v>
      </c>
      <c r="Q20" s="12" t="s">
        <v>955</v>
      </c>
      <c r="R20" s="61"/>
      <c r="S20" s="2"/>
      <c r="T20" s="2"/>
      <c r="U20" s="2"/>
      <c r="V20" s="2"/>
      <c r="W20" s="2"/>
      <c r="X20" s="2"/>
      <c r="Y20" s="2"/>
      <c r="Z20" s="2"/>
      <c r="AA20" s="2"/>
      <c r="AB20" s="2"/>
      <c r="AC20" s="2"/>
      <c r="AD20" s="2"/>
    </row>
    <row r="21" spans="1:30" ht="409.5" hidden="1">
      <c r="A21" s="39">
        <v>16</v>
      </c>
      <c r="B21" s="39">
        <v>16</v>
      </c>
      <c r="C21" s="6" t="s">
        <v>956</v>
      </c>
      <c r="D21" s="5">
        <v>3122190086</v>
      </c>
      <c r="E21" s="62"/>
      <c r="F21" s="8" t="s">
        <v>195</v>
      </c>
      <c r="G21" s="8" t="s">
        <v>957</v>
      </c>
      <c r="H21" s="8"/>
      <c r="I21" s="40" t="s">
        <v>730</v>
      </c>
      <c r="J21" s="40" t="s">
        <v>958</v>
      </c>
      <c r="K21" s="40" t="s">
        <v>959</v>
      </c>
      <c r="L21" s="40" t="s">
        <v>960</v>
      </c>
      <c r="M21" s="40" t="s">
        <v>961</v>
      </c>
      <c r="N21" s="10" t="s">
        <v>60</v>
      </c>
      <c r="O21" s="10" t="s">
        <v>28</v>
      </c>
      <c r="P21" s="34" t="s">
        <v>962</v>
      </c>
      <c r="Q21" s="30" t="s">
        <v>963</v>
      </c>
      <c r="R21" s="62"/>
      <c r="S21" s="2"/>
      <c r="T21" s="2"/>
      <c r="U21" s="2"/>
      <c r="V21" s="2"/>
      <c r="W21" s="2"/>
      <c r="X21" s="2"/>
      <c r="Y21" s="2"/>
      <c r="Z21" s="2"/>
      <c r="AA21" s="2"/>
      <c r="AB21" s="2"/>
      <c r="AC21" s="2"/>
      <c r="AD21" s="2"/>
    </row>
    <row r="22" spans="1:30" ht="299">
      <c r="A22" s="39">
        <v>17</v>
      </c>
      <c r="B22" s="39">
        <v>17</v>
      </c>
      <c r="C22" s="6" t="s">
        <v>442</v>
      </c>
      <c r="D22" s="5">
        <v>3121150147</v>
      </c>
      <c r="E22" s="70" t="s">
        <v>443</v>
      </c>
      <c r="F22" s="8">
        <f>VLOOKUP(D22,'Trang tính3'!$B$10:$H$377,7,0)</f>
        <v>95.5</v>
      </c>
      <c r="G22" s="8" t="str">
        <f>VLOOKUP(D22,'Trang tính2'!$B$1:$D$175,3,0)</f>
        <v>3.73</v>
      </c>
      <c r="H22" s="8"/>
      <c r="I22" s="40" t="s">
        <v>444</v>
      </c>
      <c r="J22" s="40" t="s">
        <v>445</v>
      </c>
      <c r="K22" s="40" t="s">
        <v>446</v>
      </c>
      <c r="L22" s="40" t="s">
        <v>447</v>
      </c>
      <c r="M22" s="40" t="s">
        <v>448</v>
      </c>
      <c r="N22" s="10"/>
      <c r="O22" s="10" t="s">
        <v>28</v>
      </c>
      <c r="P22" s="12" t="s">
        <v>449</v>
      </c>
      <c r="Q22" s="12" t="s">
        <v>450</v>
      </c>
      <c r="R22" s="63" t="s">
        <v>451</v>
      </c>
      <c r="S22" s="2"/>
      <c r="T22" s="2"/>
      <c r="U22" s="2"/>
      <c r="V22" s="2"/>
      <c r="W22" s="2"/>
      <c r="X22" s="2"/>
      <c r="Y22" s="2"/>
      <c r="Z22" s="2"/>
      <c r="AA22" s="2"/>
      <c r="AB22" s="2"/>
      <c r="AC22" s="2"/>
      <c r="AD22" s="2"/>
    </row>
    <row r="23" spans="1:30" ht="169">
      <c r="A23" s="39">
        <v>18</v>
      </c>
      <c r="B23" s="39">
        <v>18</v>
      </c>
      <c r="C23" s="6" t="s">
        <v>456</v>
      </c>
      <c r="D23" s="5">
        <v>3121150004</v>
      </c>
      <c r="E23" s="61"/>
      <c r="F23" s="8">
        <f>VLOOKUP(D23,'Trang tính3'!$B$10:$H$377,7,0)</f>
        <v>97.5</v>
      </c>
      <c r="G23" s="8" t="str">
        <f>VLOOKUP(D23,'Trang tính2'!$B$1:$D$175,3,0)</f>
        <v>3.70</v>
      </c>
      <c r="H23" s="8"/>
      <c r="I23" s="40" t="s">
        <v>457</v>
      </c>
      <c r="J23" s="40" t="s">
        <v>458</v>
      </c>
      <c r="K23" s="40" t="s">
        <v>446</v>
      </c>
      <c r="L23" s="40" t="s">
        <v>459</v>
      </c>
      <c r="M23" s="40" t="s">
        <v>460</v>
      </c>
      <c r="N23" s="10"/>
      <c r="O23" s="10" t="s">
        <v>28</v>
      </c>
      <c r="P23" s="12" t="s">
        <v>461</v>
      </c>
      <c r="Q23" s="12" t="s">
        <v>462</v>
      </c>
      <c r="R23" s="61"/>
      <c r="S23" s="2"/>
      <c r="T23" s="2"/>
      <c r="U23" s="2"/>
      <c r="V23" s="2"/>
      <c r="W23" s="2"/>
      <c r="X23" s="2"/>
      <c r="Y23" s="2"/>
      <c r="Z23" s="2"/>
      <c r="AA23" s="2"/>
      <c r="AB23" s="2"/>
      <c r="AC23" s="2"/>
      <c r="AD23" s="2"/>
    </row>
    <row r="24" spans="1:30" ht="409.5">
      <c r="A24" s="39">
        <v>19</v>
      </c>
      <c r="B24" s="39">
        <v>19</v>
      </c>
      <c r="C24" s="6" t="s">
        <v>463</v>
      </c>
      <c r="D24" s="5">
        <v>3122150011</v>
      </c>
      <c r="E24" s="61"/>
      <c r="F24" s="8">
        <f>VLOOKUP(D24,'Trang tính3'!$B$10:$H$377,7,0)</f>
        <v>93.5</v>
      </c>
      <c r="G24" s="8" t="str">
        <f>VLOOKUP(D24,'Trang tính2'!$B$1:$D$175,3,0)</f>
        <v>3.81</v>
      </c>
      <c r="H24" s="8"/>
      <c r="I24" s="40" t="s">
        <v>464</v>
      </c>
      <c r="J24" s="40" t="s">
        <v>465</v>
      </c>
      <c r="K24" s="40" t="s">
        <v>466</v>
      </c>
      <c r="L24" s="40" t="s">
        <v>467</v>
      </c>
      <c r="M24" s="40" t="s">
        <v>468</v>
      </c>
      <c r="N24" s="10"/>
      <c r="O24" s="10" t="s">
        <v>28</v>
      </c>
      <c r="P24" s="12" t="s">
        <v>469</v>
      </c>
      <c r="Q24" s="12" t="s">
        <v>470</v>
      </c>
      <c r="R24" s="61"/>
      <c r="S24" s="2"/>
      <c r="T24" s="2"/>
      <c r="U24" s="2"/>
      <c r="V24" s="2"/>
      <c r="W24" s="2"/>
      <c r="X24" s="2"/>
      <c r="Y24" s="2"/>
      <c r="Z24" s="2"/>
      <c r="AA24" s="2"/>
      <c r="AB24" s="2"/>
      <c r="AC24" s="2"/>
      <c r="AD24" s="2"/>
    </row>
    <row r="25" spans="1:30" ht="409.5">
      <c r="A25" s="39">
        <v>20</v>
      </c>
      <c r="B25" s="39">
        <v>20</v>
      </c>
      <c r="C25" s="6" t="s">
        <v>471</v>
      </c>
      <c r="D25" s="5">
        <v>3122150033</v>
      </c>
      <c r="E25" s="61"/>
      <c r="F25" s="8">
        <f>VLOOKUP(D25,'Trang tính3'!$B$10:$H$377,7,0)</f>
        <v>100</v>
      </c>
      <c r="G25" s="8" t="str">
        <f>VLOOKUP(D25,'Trang tính2'!$B$1:$D$175,3,0)</f>
        <v>3.53</v>
      </c>
      <c r="H25" s="8"/>
      <c r="I25" s="40" t="s">
        <v>464</v>
      </c>
      <c r="J25" s="40" t="s">
        <v>472</v>
      </c>
      <c r="K25" s="40" t="s">
        <v>466</v>
      </c>
      <c r="L25" s="40" t="s">
        <v>467</v>
      </c>
      <c r="M25" s="40" t="s">
        <v>473</v>
      </c>
      <c r="N25" s="10"/>
      <c r="O25" s="10" t="s">
        <v>28</v>
      </c>
      <c r="P25" s="12" t="s">
        <v>474</v>
      </c>
      <c r="Q25" s="12" t="s">
        <v>475</v>
      </c>
      <c r="R25" s="61"/>
      <c r="S25" s="2"/>
      <c r="T25" s="2"/>
      <c r="U25" s="2"/>
      <c r="V25" s="2"/>
      <c r="W25" s="2"/>
      <c r="X25" s="2"/>
      <c r="Y25" s="2"/>
      <c r="Z25" s="2"/>
      <c r="AA25" s="2"/>
      <c r="AB25" s="2"/>
      <c r="AC25" s="2"/>
      <c r="AD25" s="2"/>
    </row>
    <row r="26" spans="1:30" ht="409.5">
      <c r="A26" s="39">
        <v>21</v>
      </c>
      <c r="B26" s="39">
        <v>21</v>
      </c>
      <c r="C26" s="6" t="s">
        <v>476</v>
      </c>
      <c r="D26" s="5">
        <v>3122150042</v>
      </c>
      <c r="E26" s="61"/>
      <c r="F26" s="8">
        <f>VLOOKUP(D26,'Trang tính3'!$B$10:$H$377,7,0)</f>
        <v>90.5</v>
      </c>
      <c r="G26" s="8">
        <f>VLOOKUP(D26,'Trang tính2'!$B$1:$D$175,3,0)</f>
        <v>3.11</v>
      </c>
      <c r="H26" s="8"/>
      <c r="I26" s="40" t="s">
        <v>477</v>
      </c>
      <c r="J26" s="40" t="s">
        <v>478</v>
      </c>
      <c r="K26" s="40" t="s">
        <v>479</v>
      </c>
      <c r="L26" s="40" t="s">
        <v>480</v>
      </c>
      <c r="M26" s="40" t="s">
        <v>481</v>
      </c>
      <c r="N26" s="10"/>
      <c r="O26" s="10" t="s">
        <v>28</v>
      </c>
      <c r="P26" s="12" t="s">
        <v>482</v>
      </c>
      <c r="Q26" s="12" t="s">
        <v>483</v>
      </c>
      <c r="R26" s="61"/>
      <c r="S26" s="2"/>
      <c r="T26" s="2"/>
      <c r="U26" s="2"/>
      <c r="V26" s="2"/>
      <c r="W26" s="2"/>
      <c r="X26" s="2"/>
      <c r="Y26" s="2"/>
      <c r="Z26" s="2"/>
      <c r="AA26" s="2"/>
      <c r="AB26" s="2"/>
      <c r="AC26" s="2"/>
      <c r="AD26" s="2"/>
    </row>
    <row r="27" spans="1:30" ht="409.5">
      <c r="A27" s="39">
        <v>22</v>
      </c>
      <c r="B27" s="39">
        <v>22</v>
      </c>
      <c r="C27" s="6" t="s">
        <v>484</v>
      </c>
      <c r="D27" s="5">
        <v>3122150070</v>
      </c>
      <c r="E27" s="61"/>
      <c r="F27" s="8">
        <f>VLOOKUP(D27,'Trang tính3'!$B$10:$H$377,7,0)</f>
        <v>98</v>
      </c>
      <c r="G27" s="8" t="str">
        <f>VLOOKUP(D27,'Trang tính2'!$B$1:$D$175,3,0)</f>
        <v>3.77</v>
      </c>
      <c r="H27" s="8"/>
      <c r="I27" s="40" t="s">
        <v>485</v>
      </c>
      <c r="J27" s="40" t="s">
        <v>486</v>
      </c>
      <c r="K27" s="40" t="s">
        <v>487</v>
      </c>
      <c r="L27" s="40" t="s">
        <v>488</v>
      </c>
      <c r="M27" s="40" t="s">
        <v>489</v>
      </c>
      <c r="N27" s="10"/>
      <c r="O27" s="10" t="s">
        <v>28</v>
      </c>
      <c r="P27" s="12" t="s">
        <v>490</v>
      </c>
      <c r="Q27" s="12" t="s">
        <v>491</v>
      </c>
      <c r="R27" s="61"/>
      <c r="S27" s="2"/>
      <c r="T27" s="2"/>
      <c r="U27" s="2"/>
      <c r="V27" s="2"/>
      <c r="W27" s="2"/>
      <c r="X27" s="2"/>
      <c r="Y27" s="2"/>
      <c r="Z27" s="2"/>
      <c r="AA27" s="2"/>
      <c r="AB27" s="2"/>
      <c r="AC27" s="2"/>
      <c r="AD27" s="2"/>
    </row>
    <row r="28" spans="1:30" ht="273">
      <c r="A28" s="39">
        <v>23</v>
      </c>
      <c r="B28" s="39">
        <v>23</v>
      </c>
      <c r="C28" s="6" t="s">
        <v>492</v>
      </c>
      <c r="D28" s="5">
        <v>3122150143</v>
      </c>
      <c r="E28" s="61"/>
      <c r="F28" s="8">
        <f>VLOOKUP(D28,'Trang tính3'!$B$10:$H$377,7,0)</f>
        <v>99.5</v>
      </c>
      <c r="G28" s="8" t="str">
        <f>VLOOKUP(D28,'Trang tính2'!$B$1:$D$175,3,0)</f>
        <v>3.88</v>
      </c>
      <c r="H28" s="8"/>
      <c r="I28" s="40" t="s">
        <v>493</v>
      </c>
      <c r="J28" s="40" t="s">
        <v>494</v>
      </c>
      <c r="K28" s="40" t="s">
        <v>495</v>
      </c>
      <c r="L28" s="40" t="s">
        <v>496</v>
      </c>
      <c r="M28" s="40" t="s">
        <v>497</v>
      </c>
      <c r="N28" s="10"/>
      <c r="O28" s="10" t="s">
        <v>28</v>
      </c>
      <c r="P28" s="12" t="s">
        <v>498</v>
      </c>
      <c r="Q28" s="12" t="s">
        <v>499</v>
      </c>
      <c r="R28" s="61"/>
      <c r="S28" s="2"/>
      <c r="T28" s="2"/>
      <c r="U28" s="2"/>
      <c r="V28" s="2"/>
      <c r="W28" s="2"/>
      <c r="X28" s="2"/>
      <c r="Y28" s="2"/>
      <c r="Z28" s="2"/>
      <c r="AA28" s="2"/>
      <c r="AB28" s="2"/>
      <c r="AC28" s="2"/>
      <c r="AD28" s="2"/>
    </row>
    <row r="29" spans="1:30" ht="409.5">
      <c r="A29" s="39">
        <v>24</v>
      </c>
      <c r="B29" s="39">
        <v>24</v>
      </c>
      <c r="C29" s="6" t="s">
        <v>500</v>
      </c>
      <c r="D29" s="5">
        <v>3122150146</v>
      </c>
      <c r="E29" s="61"/>
      <c r="F29" s="8">
        <f>VLOOKUP(D29,'Trang tính3'!$B$10:$H$377,7,0)</f>
        <v>100</v>
      </c>
      <c r="G29" s="8" t="str">
        <f>VLOOKUP(D29,'Trang tính2'!$B$1:$D$175,3,0)</f>
        <v>3.68</v>
      </c>
      <c r="H29" s="8"/>
      <c r="I29" s="40" t="s">
        <v>501</v>
      </c>
      <c r="J29" s="40" t="s">
        <v>502</v>
      </c>
      <c r="K29" s="40" t="s">
        <v>503</v>
      </c>
      <c r="L29" s="40" t="s">
        <v>504</v>
      </c>
      <c r="M29" s="40" t="s">
        <v>505</v>
      </c>
      <c r="N29" s="10"/>
      <c r="O29" s="10" t="s">
        <v>28</v>
      </c>
      <c r="P29" s="12" t="s">
        <v>506</v>
      </c>
      <c r="Q29" s="12" t="s">
        <v>507</v>
      </c>
      <c r="R29" s="61"/>
      <c r="S29" s="2"/>
      <c r="T29" s="2"/>
      <c r="U29" s="2"/>
      <c r="V29" s="2"/>
      <c r="W29" s="2"/>
      <c r="X29" s="2"/>
      <c r="Y29" s="2"/>
      <c r="Z29" s="2"/>
      <c r="AA29" s="2"/>
      <c r="AB29" s="2"/>
      <c r="AC29" s="2"/>
      <c r="AD29" s="2"/>
    </row>
    <row r="30" spans="1:30" ht="409.5">
      <c r="A30" s="39">
        <v>25</v>
      </c>
      <c r="B30" s="39">
        <v>25</v>
      </c>
      <c r="C30" s="6" t="s">
        <v>509</v>
      </c>
      <c r="D30" s="5">
        <v>3122150158</v>
      </c>
      <c r="E30" s="61"/>
      <c r="F30" s="8">
        <f>VLOOKUP(D30,'Trang tính3'!$B$10:$H$377,7,0)</f>
        <v>100</v>
      </c>
      <c r="G30" s="8" t="str">
        <f>VLOOKUP(D30,'Trang tính2'!$B$1:$D$175,3,0)</f>
        <v>3.63</v>
      </c>
      <c r="H30" s="8"/>
      <c r="I30" s="40" t="s">
        <v>510</v>
      </c>
      <c r="J30" s="40" t="s">
        <v>511</v>
      </c>
      <c r="K30" s="40" t="s">
        <v>512</v>
      </c>
      <c r="L30" s="40" t="s">
        <v>513</v>
      </c>
      <c r="M30" s="40" t="s">
        <v>514</v>
      </c>
      <c r="N30" s="10"/>
      <c r="O30" s="10" t="s">
        <v>28</v>
      </c>
      <c r="P30" s="12" t="s">
        <v>515</v>
      </c>
      <c r="Q30" s="12" t="s">
        <v>516</v>
      </c>
      <c r="R30" s="61"/>
      <c r="S30" s="2"/>
      <c r="T30" s="2"/>
      <c r="U30" s="2"/>
      <c r="V30" s="2"/>
      <c r="W30" s="2"/>
      <c r="X30" s="2"/>
      <c r="Y30" s="2"/>
      <c r="Z30" s="2"/>
      <c r="AA30" s="2"/>
      <c r="AB30" s="2"/>
      <c r="AC30" s="2"/>
      <c r="AD30" s="2"/>
    </row>
    <row r="31" spans="1:30" ht="409.5">
      <c r="A31" s="39">
        <v>26</v>
      </c>
      <c r="B31" s="39">
        <v>26</v>
      </c>
      <c r="C31" s="6" t="s">
        <v>518</v>
      </c>
      <c r="D31" s="5">
        <v>3122150005</v>
      </c>
      <c r="E31" s="61"/>
      <c r="F31" s="8">
        <f>VLOOKUP(D31,'Trang tính3'!$B$10:$H$377,7,0)</f>
        <v>96.5</v>
      </c>
      <c r="G31" s="8" t="str">
        <f>VLOOKUP(D31,'Trang tính2'!$B$1:$D$175,3,0)</f>
        <v>3.45</v>
      </c>
      <c r="H31" s="8"/>
      <c r="I31" s="40" t="s">
        <v>519</v>
      </c>
      <c r="J31" s="40" t="s">
        <v>520</v>
      </c>
      <c r="K31" s="40" t="s">
        <v>521</v>
      </c>
      <c r="L31" s="40" t="s">
        <v>522</v>
      </c>
      <c r="M31" s="40" t="s">
        <v>523</v>
      </c>
      <c r="N31" s="10"/>
      <c r="O31" s="10" t="s">
        <v>28</v>
      </c>
      <c r="P31" s="12" t="s">
        <v>524</v>
      </c>
      <c r="Q31" s="12" t="s">
        <v>525</v>
      </c>
      <c r="R31" s="61"/>
      <c r="S31" s="2"/>
      <c r="T31" s="2"/>
      <c r="U31" s="2"/>
      <c r="V31" s="2"/>
      <c r="W31" s="2"/>
      <c r="X31" s="2"/>
      <c r="Y31" s="2"/>
      <c r="Z31" s="2"/>
      <c r="AA31" s="2"/>
      <c r="AB31" s="2"/>
      <c r="AC31" s="2"/>
      <c r="AD31" s="2"/>
    </row>
    <row r="32" spans="1:30" ht="409.5">
      <c r="A32" s="39">
        <v>27</v>
      </c>
      <c r="B32" s="39">
        <v>27</v>
      </c>
      <c r="C32" s="6" t="s">
        <v>526</v>
      </c>
      <c r="D32" s="5">
        <v>3122150055</v>
      </c>
      <c r="E32" s="61"/>
      <c r="F32" s="8">
        <f>VLOOKUP(D32,'Trang tính3'!$B$10:$H$377,7,0)</f>
        <v>89.5</v>
      </c>
      <c r="G32" s="8" t="str">
        <f>VLOOKUP(D32,'Trang tính2'!$B$1:$D$175,3,0)</f>
        <v>3.41</v>
      </c>
      <c r="H32" s="8"/>
      <c r="I32" s="40" t="s">
        <v>527</v>
      </c>
      <c r="J32" s="40" t="s">
        <v>528</v>
      </c>
      <c r="K32" s="40" t="s">
        <v>529</v>
      </c>
      <c r="L32" s="40" t="s">
        <v>530</v>
      </c>
      <c r="M32" s="40" t="s">
        <v>531</v>
      </c>
      <c r="N32" s="10"/>
      <c r="O32" s="10" t="s">
        <v>28</v>
      </c>
      <c r="P32" s="12" t="s">
        <v>1561</v>
      </c>
      <c r="Q32" s="12" t="s">
        <v>1562</v>
      </c>
      <c r="R32" s="61"/>
      <c r="S32" s="2"/>
      <c r="T32" s="2"/>
      <c r="U32" s="2"/>
      <c r="V32" s="2"/>
      <c r="W32" s="2"/>
      <c r="X32" s="2"/>
      <c r="Y32" s="2"/>
      <c r="Z32" s="2"/>
      <c r="AA32" s="2"/>
      <c r="AB32" s="2"/>
      <c r="AC32" s="2"/>
      <c r="AD32" s="2"/>
    </row>
    <row r="33" spans="1:30" ht="409.5">
      <c r="A33" s="39">
        <v>28</v>
      </c>
      <c r="B33" s="39">
        <v>28</v>
      </c>
      <c r="C33" s="6" t="s">
        <v>533</v>
      </c>
      <c r="D33" s="5">
        <v>3122150122</v>
      </c>
      <c r="E33" s="61"/>
      <c r="F33" s="8">
        <f>VLOOKUP(D33,'Trang tính3'!$B$10:$H$377,7,0)</f>
        <v>96</v>
      </c>
      <c r="G33" s="8" t="str">
        <f>VLOOKUP(D33,'Trang tính2'!$B$1:$D$175,3,0)</f>
        <v>3.79</v>
      </c>
      <c r="H33" s="8"/>
      <c r="I33" s="40" t="s">
        <v>534</v>
      </c>
      <c r="J33" s="40" t="s">
        <v>535</v>
      </c>
      <c r="K33" s="40" t="s">
        <v>536</v>
      </c>
      <c r="L33" s="40" t="s">
        <v>537</v>
      </c>
      <c r="M33" s="40" t="s">
        <v>538</v>
      </c>
      <c r="N33" s="10"/>
      <c r="O33" s="10" t="s">
        <v>28</v>
      </c>
      <c r="P33" s="12" t="s">
        <v>1563</v>
      </c>
      <c r="Q33" s="12" t="s">
        <v>1564</v>
      </c>
      <c r="R33" s="61"/>
      <c r="S33" s="2"/>
      <c r="T33" s="2"/>
      <c r="U33" s="2"/>
      <c r="V33" s="2"/>
      <c r="W33" s="2"/>
      <c r="X33" s="2"/>
      <c r="Y33" s="2"/>
      <c r="Z33" s="2"/>
      <c r="AA33" s="2"/>
      <c r="AB33" s="2"/>
      <c r="AC33" s="2"/>
      <c r="AD33" s="2"/>
    </row>
    <row r="34" spans="1:30" ht="409.5">
      <c r="A34" s="39">
        <v>29</v>
      </c>
      <c r="B34" s="39">
        <v>29</v>
      </c>
      <c r="C34" s="6" t="s">
        <v>539</v>
      </c>
      <c r="D34" s="5">
        <v>3122150128</v>
      </c>
      <c r="E34" s="61"/>
      <c r="F34" s="8">
        <f>VLOOKUP(D34,'Trang tính3'!$B$10:$H$377,7,0)</f>
        <v>96</v>
      </c>
      <c r="G34" s="8" t="str">
        <f>VLOOKUP(D34,'Trang tính2'!$B$1:$D$175,3,0)</f>
        <v>3.73</v>
      </c>
      <c r="H34" s="8"/>
      <c r="I34" s="40" t="s">
        <v>540</v>
      </c>
      <c r="J34" s="40" t="s">
        <v>541</v>
      </c>
      <c r="K34" s="40" t="s">
        <v>542</v>
      </c>
      <c r="L34" s="40" t="s">
        <v>543</v>
      </c>
      <c r="M34" s="40" t="s">
        <v>544</v>
      </c>
      <c r="N34" s="10"/>
      <c r="O34" s="10" t="s">
        <v>28</v>
      </c>
      <c r="P34" s="12" t="s">
        <v>1565</v>
      </c>
      <c r="Q34" s="12" t="s">
        <v>1566</v>
      </c>
      <c r="R34" s="61"/>
      <c r="S34" s="2"/>
      <c r="T34" s="2"/>
      <c r="U34" s="2"/>
      <c r="V34" s="2"/>
      <c r="W34" s="2"/>
      <c r="X34" s="2"/>
      <c r="Y34" s="2"/>
      <c r="Z34" s="2"/>
      <c r="AA34" s="2"/>
      <c r="AB34" s="2"/>
      <c r="AC34" s="2"/>
      <c r="AD34" s="2"/>
    </row>
    <row r="35" spans="1:30" ht="409.5">
      <c r="A35" s="39">
        <v>30</v>
      </c>
      <c r="B35" s="39">
        <v>30</v>
      </c>
      <c r="C35" s="6" t="s">
        <v>545</v>
      </c>
      <c r="D35" s="5">
        <v>3122150147</v>
      </c>
      <c r="E35" s="61"/>
      <c r="F35" s="8">
        <f>VLOOKUP(D35,'Trang tính3'!$B$10:$H$377,7,0)</f>
        <v>93.5</v>
      </c>
      <c r="G35" s="8" t="str">
        <f>VLOOKUP(D35,'Trang tính2'!$B$1:$D$175,3,0)</f>
        <v>3.79</v>
      </c>
      <c r="H35" s="8"/>
      <c r="I35" s="40" t="s">
        <v>546</v>
      </c>
      <c r="J35" s="40" t="s">
        <v>547</v>
      </c>
      <c r="K35" s="40" t="s">
        <v>548</v>
      </c>
      <c r="L35" s="40" t="s">
        <v>549</v>
      </c>
      <c r="M35" s="40" t="s">
        <v>550</v>
      </c>
      <c r="N35" s="10"/>
      <c r="O35" s="10" t="s">
        <v>28</v>
      </c>
      <c r="P35" s="12" t="s">
        <v>1567</v>
      </c>
      <c r="Q35" s="12" t="s">
        <v>1568</v>
      </c>
      <c r="R35" s="61"/>
      <c r="S35" s="2"/>
      <c r="T35" s="2"/>
      <c r="U35" s="2"/>
      <c r="V35" s="2"/>
      <c r="W35" s="2"/>
      <c r="X35" s="2"/>
      <c r="Y35" s="2"/>
      <c r="Z35" s="2"/>
      <c r="AA35" s="2"/>
      <c r="AB35" s="2"/>
      <c r="AC35" s="2"/>
      <c r="AD35" s="2"/>
    </row>
    <row r="36" spans="1:30" ht="409.5">
      <c r="A36" s="39">
        <v>31</v>
      </c>
      <c r="B36" s="39">
        <v>31</v>
      </c>
      <c r="C36" s="6" t="s">
        <v>553</v>
      </c>
      <c r="D36" s="5">
        <v>3122150044</v>
      </c>
      <c r="E36" s="61"/>
      <c r="F36" s="8">
        <f>VLOOKUP(D36,'Trang tính3'!$B$10:$H$377,7,0)</f>
        <v>99</v>
      </c>
      <c r="G36" s="8" t="str">
        <f>VLOOKUP(D36,'Trang tính2'!$B$1:$D$175,3,0)</f>
        <v>3.72</v>
      </c>
      <c r="H36" s="8"/>
      <c r="I36" s="40" t="s">
        <v>554</v>
      </c>
      <c r="J36" s="40" t="s">
        <v>555</v>
      </c>
      <c r="K36" s="40" t="s">
        <v>556</v>
      </c>
      <c r="L36" s="40" t="s">
        <v>557</v>
      </c>
      <c r="M36" s="40" t="s">
        <v>558</v>
      </c>
      <c r="N36" s="10"/>
      <c r="O36" s="10" t="s">
        <v>28</v>
      </c>
      <c r="P36" s="12" t="s">
        <v>1569</v>
      </c>
      <c r="Q36" s="12" t="s">
        <v>1570</v>
      </c>
      <c r="R36" s="61"/>
      <c r="S36" s="2"/>
      <c r="T36" s="2"/>
      <c r="U36" s="2"/>
      <c r="V36" s="2"/>
      <c r="W36" s="2"/>
      <c r="X36" s="2"/>
      <c r="Y36" s="2"/>
      <c r="Z36" s="2"/>
      <c r="AA36" s="2"/>
      <c r="AB36" s="2"/>
      <c r="AC36" s="2"/>
      <c r="AD36" s="2"/>
    </row>
    <row r="37" spans="1:30" ht="338">
      <c r="A37" s="39">
        <v>32</v>
      </c>
      <c r="B37" s="39">
        <v>32</v>
      </c>
      <c r="C37" s="6" t="s">
        <v>559</v>
      </c>
      <c r="D37" s="5">
        <v>3122150072</v>
      </c>
      <c r="E37" s="61"/>
      <c r="F37" s="8">
        <f>VLOOKUP(D37,'Trang tính3'!$B$10:$H$377,7,0)</f>
        <v>95.5</v>
      </c>
      <c r="G37" s="8" t="str">
        <f>VLOOKUP(D37,'Trang tính2'!$B$1:$D$175,3,0)</f>
        <v>3.29</v>
      </c>
      <c r="H37" s="8"/>
      <c r="I37" s="40" t="s">
        <v>560</v>
      </c>
      <c r="J37" s="40" t="s">
        <v>561</v>
      </c>
      <c r="K37" s="40" t="s">
        <v>562</v>
      </c>
      <c r="L37" s="40" t="s">
        <v>563</v>
      </c>
      <c r="M37" s="40" t="s">
        <v>564</v>
      </c>
      <c r="N37" s="10"/>
      <c r="O37" s="10" t="s">
        <v>28</v>
      </c>
      <c r="P37" s="12" t="s">
        <v>1571</v>
      </c>
      <c r="Q37" s="12" t="s">
        <v>1572</v>
      </c>
      <c r="R37" s="61"/>
      <c r="S37" s="2"/>
      <c r="T37" s="2"/>
      <c r="U37" s="2"/>
      <c r="V37" s="2"/>
      <c r="W37" s="2"/>
      <c r="X37" s="2"/>
      <c r="Y37" s="2"/>
      <c r="Z37" s="2"/>
      <c r="AA37" s="2"/>
      <c r="AB37" s="2"/>
      <c r="AC37" s="2"/>
      <c r="AD37" s="2"/>
    </row>
    <row r="38" spans="1:30" ht="403">
      <c r="A38" s="39">
        <v>33</v>
      </c>
      <c r="B38" s="39">
        <v>33</v>
      </c>
      <c r="C38" s="6" t="s">
        <v>565</v>
      </c>
      <c r="D38" s="5">
        <v>3122150092</v>
      </c>
      <c r="E38" s="61"/>
      <c r="F38" s="8">
        <f>VLOOKUP(D38,'Trang tính3'!$B$10:$H$377,7,0)</f>
        <v>97.5</v>
      </c>
      <c r="G38" s="8" t="str">
        <f>VLOOKUP(D38,'Trang tính2'!$B$1:$D$175,3,0)</f>
        <v>3.52</v>
      </c>
      <c r="H38" s="8"/>
      <c r="I38" s="40" t="s">
        <v>566</v>
      </c>
      <c r="J38" s="40" t="s">
        <v>567</v>
      </c>
      <c r="K38" s="40" t="s">
        <v>568</v>
      </c>
      <c r="L38" s="40" t="s">
        <v>569</v>
      </c>
      <c r="M38" s="40" t="s">
        <v>570</v>
      </c>
      <c r="N38" s="10"/>
      <c r="O38" s="10" t="s">
        <v>28</v>
      </c>
      <c r="P38" s="12" t="s">
        <v>1573</v>
      </c>
      <c r="Q38" s="12" t="s">
        <v>1574</v>
      </c>
      <c r="R38" s="61"/>
      <c r="S38" s="2"/>
      <c r="T38" s="2"/>
      <c r="U38" s="2"/>
      <c r="V38" s="2"/>
      <c r="W38" s="2"/>
      <c r="X38" s="2"/>
      <c r="Y38" s="2"/>
      <c r="Z38" s="2"/>
      <c r="AA38" s="2"/>
      <c r="AB38" s="2"/>
      <c r="AC38" s="2"/>
      <c r="AD38" s="2"/>
    </row>
    <row r="39" spans="1:30" ht="260">
      <c r="A39" s="39">
        <v>34</v>
      </c>
      <c r="B39" s="39">
        <v>34</v>
      </c>
      <c r="C39" s="6" t="s">
        <v>571</v>
      </c>
      <c r="D39" s="5">
        <v>3122150096</v>
      </c>
      <c r="E39" s="61"/>
      <c r="F39" s="8">
        <f>VLOOKUP(D39,'Trang tính3'!$B$10:$H$377,7,0)</f>
        <v>98</v>
      </c>
      <c r="G39" s="8" t="str">
        <f>VLOOKUP(D39,'Trang tính2'!$B$1:$D$175,3,0)</f>
        <v>3.90</v>
      </c>
      <c r="H39" s="8"/>
      <c r="I39" s="40" t="s">
        <v>572</v>
      </c>
      <c r="J39" s="40" t="s">
        <v>573</v>
      </c>
      <c r="K39" s="40" t="s">
        <v>574</v>
      </c>
      <c r="L39" s="40" t="s">
        <v>575</v>
      </c>
      <c r="M39" s="40" t="s">
        <v>576</v>
      </c>
      <c r="N39" s="10"/>
      <c r="O39" s="10" t="s">
        <v>28</v>
      </c>
      <c r="P39" s="12" t="s">
        <v>1575</v>
      </c>
      <c r="Q39" s="12" t="s">
        <v>1576</v>
      </c>
      <c r="R39" s="61"/>
      <c r="S39" s="2"/>
      <c r="T39" s="2"/>
      <c r="U39" s="2"/>
      <c r="V39" s="2"/>
      <c r="W39" s="2"/>
      <c r="X39" s="2"/>
      <c r="Y39" s="2"/>
      <c r="Z39" s="2"/>
      <c r="AA39" s="2"/>
      <c r="AB39" s="2"/>
      <c r="AC39" s="2"/>
      <c r="AD39" s="2"/>
    </row>
    <row r="40" spans="1:30" ht="409.5">
      <c r="A40" s="39">
        <v>35</v>
      </c>
      <c r="B40" s="39">
        <v>35</v>
      </c>
      <c r="C40" s="6" t="s">
        <v>579</v>
      </c>
      <c r="D40" s="5">
        <v>3122150179</v>
      </c>
      <c r="E40" s="61"/>
      <c r="F40" s="8">
        <f>VLOOKUP(D40,'Trang tính3'!$B$10:$H$377,7,0)</f>
        <v>86</v>
      </c>
      <c r="G40" s="8" t="str">
        <f>VLOOKUP(D40,'Trang tính2'!$B$1:$D$175,3,0)</f>
        <v>3.68</v>
      </c>
      <c r="H40" s="8"/>
      <c r="I40" s="40" t="s">
        <v>580</v>
      </c>
      <c r="J40" s="40" t="s">
        <v>581</v>
      </c>
      <c r="K40" s="40" t="s">
        <v>582</v>
      </c>
      <c r="L40" s="40" t="s">
        <v>583</v>
      </c>
      <c r="M40" s="40" t="s">
        <v>584</v>
      </c>
      <c r="N40" s="10"/>
      <c r="O40" s="10" t="s">
        <v>28</v>
      </c>
      <c r="P40" s="12" t="s">
        <v>1577</v>
      </c>
      <c r="Q40" s="12" t="s">
        <v>1578</v>
      </c>
      <c r="R40" s="61"/>
      <c r="S40" s="2"/>
      <c r="T40" s="2"/>
      <c r="U40" s="2"/>
      <c r="V40" s="2"/>
      <c r="W40" s="2"/>
      <c r="X40" s="2"/>
      <c r="Y40" s="2"/>
      <c r="Z40" s="2"/>
      <c r="AA40" s="2"/>
      <c r="AB40" s="2"/>
      <c r="AC40" s="2"/>
      <c r="AD40" s="2"/>
    </row>
    <row r="41" spans="1:30" ht="409.5">
      <c r="A41" s="39">
        <v>36</v>
      </c>
      <c r="B41" s="39">
        <v>36</v>
      </c>
      <c r="C41" s="6" t="s">
        <v>585</v>
      </c>
      <c r="D41" s="5">
        <v>3123150105</v>
      </c>
      <c r="E41" s="61"/>
      <c r="F41" s="8">
        <f>VLOOKUP(D41,'Trang tính3'!$B$10:$H$377,7,0)</f>
        <v>99.5</v>
      </c>
      <c r="G41" s="8" t="str">
        <f>VLOOKUP(D41,'Trang tính2'!$B$1:$D$175,3,0)</f>
        <v>3.54</v>
      </c>
      <c r="H41" s="8"/>
      <c r="I41" s="40" t="s">
        <v>586</v>
      </c>
      <c r="J41" s="40" t="s">
        <v>587</v>
      </c>
      <c r="K41" s="40" t="s">
        <v>588</v>
      </c>
      <c r="L41" s="40" t="s">
        <v>589</v>
      </c>
      <c r="M41" s="40" t="s">
        <v>590</v>
      </c>
      <c r="N41" s="10"/>
      <c r="O41" s="10" t="s">
        <v>28</v>
      </c>
      <c r="P41" s="12" t="s">
        <v>1579</v>
      </c>
      <c r="Q41" s="12" t="s">
        <v>1580</v>
      </c>
      <c r="R41" s="61"/>
      <c r="S41" s="2"/>
      <c r="T41" s="2"/>
      <c r="U41" s="2"/>
      <c r="V41" s="2"/>
      <c r="W41" s="2"/>
      <c r="X41" s="2"/>
      <c r="Y41" s="2"/>
      <c r="Z41" s="2"/>
      <c r="AA41" s="2"/>
      <c r="AB41" s="2"/>
      <c r="AC41" s="2"/>
      <c r="AD41" s="2"/>
    </row>
    <row r="42" spans="1:30" ht="409.5">
      <c r="A42" s="39">
        <v>37</v>
      </c>
      <c r="B42" s="39">
        <v>37</v>
      </c>
      <c r="C42" s="6" t="s">
        <v>591</v>
      </c>
      <c r="D42" s="5">
        <v>3123150188</v>
      </c>
      <c r="E42" s="61"/>
      <c r="F42" s="8">
        <f>VLOOKUP(D42,'Trang tính3'!$B$10:$H$377,7,0)</f>
        <v>100</v>
      </c>
      <c r="G42" s="8" t="str">
        <f>VLOOKUP(D42,'Trang tính2'!$B$1:$D$175,3,0)</f>
        <v>3.59</v>
      </c>
      <c r="H42" s="8"/>
      <c r="I42" s="40" t="s">
        <v>592</v>
      </c>
      <c r="J42" s="40" t="s">
        <v>593</v>
      </c>
      <c r="K42" s="40" t="s">
        <v>594</v>
      </c>
      <c r="L42" s="40" t="s">
        <v>595</v>
      </c>
      <c r="M42" s="40" t="s">
        <v>596</v>
      </c>
      <c r="N42" s="10"/>
      <c r="O42" s="10" t="s">
        <v>28</v>
      </c>
      <c r="P42" s="12" t="s">
        <v>1581</v>
      </c>
      <c r="Q42" s="12" t="s">
        <v>1582</v>
      </c>
      <c r="R42" s="61"/>
      <c r="S42" s="2"/>
      <c r="T42" s="2"/>
      <c r="U42" s="2"/>
      <c r="V42" s="2"/>
      <c r="W42" s="2"/>
      <c r="X42" s="2"/>
      <c r="Y42" s="2"/>
      <c r="Z42" s="2"/>
      <c r="AA42" s="2"/>
      <c r="AB42" s="2"/>
      <c r="AC42" s="2"/>
      <c r="AD42" s="2"/>
    </row>
    <row r="43" spans="1:30" ht="409.5">
      <c r="A43" s="39">
        <v>38</v>
      </c>
      <c r="B43" s="39">
        <v>38</v>
      </c>
      <c r="C43" s="6" t="s">
        <v>597</v>
      </c>
      <c r="D43" s="5">
        <v>3123150033</v>
      </c>
      <c r="E43" s="61"/>
      <c r="F43" s="8">
        <f>VLOOKUP(D43,'Trang tính3'!$B$10:$H$377,7,0)</f>
        <v>96</v>
      </c>
      <c r="G43" s="8" t="str">
        <f>VLOOKUP(D43,'Trang tính2'!$B$1:$D$175,3,0)</f>
        <v>3.79</v>
      </c>
      <c r="H43" s="8"/>
      <c r="I43" s="40" t="s">
        <v>598</v>
      </c>
      <c r="J43" s="40" t="s">
        <v>599</v>
      </c>
      <c r="K43" s="40" t="s">
        <v>600</v>
      </c>
      <c r="L43" s="40" t="s">
        <v>601</v>
      </c>
      <c r="M43" s="40" t="s">
        <v>602</v>
      </c>
      <c r="N43" s="10"/>
      <c r="O43" s="10" t="s">
        <v>28</v>
      </c>
      <c r="P43" s="12" t="s">
        <v>1583</v>
      </c>
      <c r="Q43" s="12" t="s">
        <v>1584</v>
      </c>
      <c r="R43" s="61"/>
      <c r="S43" s="2"/>
      <c r="T43" s="2"/>
      <c r="U43" s="2"/>
      <c r="V43" s="2"/>
      <c r="W43" s="2"/>
      <c r="X43" s="2"/>
      <c r="Y43" s="2"/>
      <c r="Z43" s="2"/>
      <c r="AA43" s="2"/>
      <c r="AB43" s="2"/>
      <c r="AC43" s="2"/>
      <c r="AD43" s="2"/>
    </row>
    <row r="44" spans="1:30" ht="208">
      <c r="A44" s="39">
        <v>39</v>
      </c>
      <c r="B44" s="39">
        <v>39</v>
      </c>
      <c r="C44" s="6" t="s">
        <v>603</v>
      </c>
      <c r="D44" s="5">
        <v>3123150061</v>
      </c>
      <c r="E44" s="61"/>
      <c r="F44" s="8">
        <f>VLOOKUP(D44,'Trang tính3'!$B$10:$H$377,7,0)</f>
        <v>93</v>
      </c>
      <c r="G44" s="8">
        <f>VLOOKUP(D44,'Trang tính2'!$B$1:$D$175,3,0)</f>
        <v>3.09</v>
      </c>
      <c r="H44" s="8"/>
      <c r="I44" s="40" t="s">
        <v>604</v>
      </c>
      <c r="J44" s="40" t="s">
        <v>605</v>
      </c>
      <c r="K44" s="40" t="s">
        <v>606</v>
      </c>
      <c r="L44" s="40" t="s">
        <v>607</v>
      </c>
      <c r="M44" s="40" t="s">
        <v>608</v>
      </c>
      <c r="N44" s="10"/>
      <c r="O44" s="10" t="s">
        <v>28</v>
      </c>
      <c r="P44" s="12" t="s">
        <v>1585</v>
      </c>
      <c r="Q44" s="12" t="s">
        <v>1586</v>
      </c>
      <c r="R44" s="61"/>
      <c r="S44" s="2"/>
      <c r="T44" s="2"/>
      <c r="U44" s="2"/>
      <c r="V44" s="2"/>
      <c r="W44" s="2"/>
      <c r="X44" s="2"/>
      <c r="Y44" s="2"/>
      <c r="Z44" s="2"/>
      <c r="AA44" s="2"/>
      <c r="AB44" s="2"/>
      <c r="AC44" s="2"/>
      <c r="AD44" s="2"/>
    </row>
    <row r="45" spans="1:30" ht="409.5">
      <c r="A45" s="39">
        <v>40</v>
      </c>
      <c r="B45" s="39">
        <v>40</v>
      </c>
      <c r="C45" s="6" t="s">
        <v>609</v>
      </c>
      <c r="D45" s="5">
        <v>3123150067</v>
      </c>
      <c r="E45" s="61"/>
      <c r="F45" s="8">
        <f>VLOOKUP(D45,'Trang tính3'!$B$10:$H$377,7,0)</f>
        <v>86.5</v>
      </c>
      <c r="G45" s="8" t="str">
        <f>VLOOKUP(D45,'Trang tính2'!$B$1:$D$175,3,0)</f>
        <v>3.61</v>
      </c>
      <c r="H45" s="8"/>
      <c r="I45" s="40" t="s">
        <v>610</v>
      </c>
      <c r="J45" s="40" t="s">
        <v>611</v>
      </c>
      <c r="K45" s="40" t="s">
        <v>612</v>
      </c>
      <c r="L45" s="40" t="s">
        <v>613</v>
      </c>
      <c r="M45" s="40" t="s">
        <v>614</v>
      </c>
      <c r="N45" s="10"/>
      <c r="O45" s="10" t="s">
        <v>28</v>
      </c>
      <c r="P45" s="12" t="s">
        <v>1587</v>
      </c>
      <c r="Q45" s="12" t="s">
        <v>1588</v>
      </c>
      <c r="R45" s="61"/>
      <c r="S45" s="2"/>
      <c r="T45" s="2"/>
      <c r="U45" s="2"/>
      <c r="V45" s="2"/>
      <c r="W45" s="2"/>
      <c r="X45" s="2"/>
      <c r="Y45" s="2"/>
      <c r="Z45" s="2"/>
      <c r="AA45" s="2"/>
      <c r="AB45" s="2"/>
      <c r="AC45" s="2"/>
      <c r="AD45" s="2"/>
    </row>
    <row r="46" spans="1:30" ht="403">
      <c r="A46" s="39">
        <v>41</v>
      </c>
      <c r="B46" s="39">
        <v>41</v>
      </c>
      <c r="C46" s="6" t="s">
        <v>615</v>
      </c>
      <c r="D46" s="5">
        <v>3123150109</v>
      </c>
      <c r="E46" s="61"/>
      <c r="F46" s="8">
        <f>VLOOKUP(D46,'Trang tính3'!$B$10:$H$377,7,0)</f>
        <v>98.5</v>
      </c>
      <c r="G46" s="8" t="str">
        <f>VLOOKUP(D46,'Trang tính2'!$B$1:$D$175,3,0)</f>
        <v>3.58</v>
      </c>
      <c r="H46" s="8"/>
      <c r="I46" s="40" t="s">
        <v>616</v>
      </c>
      <c r="J46" s="40" t="s">
        <v>617</v>
      </c>
      <c r="K46" s="40" t="s">
        <v>618</v>
      </c>
      <c r="L46" s="40" t="s">
        <v>619</v>
      </c>
      <c r="M46" s="40" t="s">
        <v>620</v>
      </c>
      <c r="N46" s="10"/>
      <c r="O46" s="10" t="s">
        <v>28</v>
      </c>
      <c r="P46" s="12" t="s">
        <v>621</v>
      </c>
      <c r="Q46" s="12" t="s">
        <v>622</v>
      </c>
      <c r="R46" s="61"/>
      <c r="S46" s="2"/>
      <c r="T46" s="2"/>
      <c r="U46" s="2"/>
      <c r="V46" s="2"/>
      <c r="W46" s="2"/>
      <c r="X46" s="2"/>
      <c r="Y46" s="2"/>
      <c r="Z46" s="2"/>
      <c r="AA46" s="2"/>
      <c r="AB46" s="2"/>
      <c r="AC46" s="2"/>
      <c r="AD46" s="2"/>
    </row>
    <row r="47" spans="1:30" ht="409.5">
      <c r="A47" s="39">
        <v>42</v>
      </c>
      <c r="B47" s="39">
        <v>42</v>
      </c>
      <c r="C47" s="6" t="s">
        <v>623</v>
      </c>
      <c r="D47" s="5">
        <v>3123150116</v>
      </c>
      <c r="E47" s="61"/>
      <c r="F47" s="8">
        <f>VLOOKUP(D47,'Trang tính3'!$B$10:$H$377,7,0)</f>
        <v>100</v>
      </c>
      <c r="G47" s="8" t="str">
        <f>VLOOKUP(D47,'Trang tính2'!$B$1:$D$175,3,0)</f>
        <v>3.78</v>
      </c>
      <c r="H47" s="8"/>
      <c r="I47" s="40" t="s">
        <v>624</v>
      </c>
      <c r="J47" s="40" t="s">
        <v>625</v>
      </c>
      <c r="K47" s="40" t="s">
        <v>626</v>
      </c>
      <c r="L47" s="40" t="s">
        <v>627</v>
      </c>
      <c r="M47" s="40" t="s">
        <v>628</v>
      </c>
      <c r="N47" s="10"/>
      <c r="O47" s="10" t="s">
        <v>28</v>
      </c>
      <c r="P47" s="12" t="s">
        <v>629</v>
      </c>
      <c r="Q47" s="12" t="s">
        <v>630</v>
      </c>
      <c r="R47" s="61"/>
      <c r="S47" s="2"/>
      <c r="T47" s="2"/>
      <c r="U47" s="2"/>
      <c r="V47" s="2"/>
      <c r="W47" s="2"/>
      <c r="X47" s="2"/>
      <c r="Y47" s="2"/>
      <c r="Z47" s="2"/>
      <c r="AA47" s="2"/>
      <c r="AB47" s="2"/>
      <c r="AC47" s="2"/>
      <c r="AD47" s="2"/>
    </row>
    <row r="48" spans="1:30" ht="351">
      <c r="A48" s="39">
        <v>43</v>
      </c>
      <c r="B48" s="39">
        <v>43</v>
      </c>
      <c r="C48" s="6" t="s">
        <v>631</v>
      </c>
      <c r="D48" s="5">
        <v>3123150135</v>
      </c>
      <c r="E48" s="61"/>
      <c r="F48" s="8">
        <f>VLOOKUP(D48,'Trang tính3'!$B$10:$H$377,7,0)</f>
        <v>94</v>
      </c>
      <c r="G48" s="8" t="str">
        <f>VLOOKUP(D48,'Trang tính2'!$B$1:$D$175,3,0)</f>
        <v>3.52</v>
      </c>
      <c r="H48" s="8"/>
      <c r="I48" s="40" t="s">
        <v>632</v>
      </c>
      <c r="J48" s="40" t="s">
        <v>633</v>
      </c>
      <c r="K48" s="40" t="s">
        <v>634</v>
      </c>
      <c r="L48" s="40" t="s">
        <v>635</v>
      </c>
      <c r="M48" s="40" t="s">
        <v>636</v>
      </c>
      <c r="N48" s="10"/>
      <c r="O48" s="10" t="s">
        <v>28</v>
      </c>
      <c r="P48" s="12" t="s">
        <v>637</v>
      </c>
      <c r="Q48" s="12" t="s">
        <v>638</v>
      </c>
      <c r="R48" s="61"/>
      <c r="S48" s="2"/>
      <c r="T48" s="2"/>
      <c r="U48" s="2"/>
      <c r="V48" s="2"/>
      <c r="W48" s="2"/>
      <c r="X48" s="2"/>
      <c r="Y48" s="2"/>
      <c r="Z48" s="2"/>
      <c r="AA48" s="2"/>
      <c r="AB48" s="2"/>
      <c r="AC48" s="2"/>
      <c r="AD48" s="2"/>
    </row>
    <row r="49" spans="1:30" ht="409.5">
      <c r="A49" s="39">
        <v>44</v>
      </c>
      <c r="B49" s="39">
        <v>44</v>
      </c>
      <c r="C49" s="6" t="s">
        <v>639</v>
      </c>
      <c r="D49" s="5">
        <v>3123150167</v>
      </c>
      <c r="E49" s="61"/>
      <c r="F49" s="8">
        <f>VLOOKUP(D49,'Trang tính3'!$B$10:$H$377,7,0)</f>
        <v>99</v>
      </c>
      <c r="G49" s="8" t="str">
        <f>VLOOKUP(D49,'Trang tính2'!$B$1:$D$175,3,0)</f>
        <v>3.89</v>
      </c>
      <c r="H49" s="8"/>
      <c r="I49" s="40" t="s">
        <v>640</v>
      </c>
      <c r="J49" s="40" t="s">
        <v>641</v>
      </c>
      <c r="K49" s="40" t="s">
        <v>642</v>
      </c>
      <c r="L49" s="40" t="s">
        <v>643</v>
      </c>
      <c r="M49" s="40" t="s">
        <v>644</v>
      </c>
      <c r="N49" s="10"/>
      <c r="O49" s="10" t="s">
        <v>28</v>
      </c>
      <c r="P49" s="12" t="s">
        <v>645</v>
      </c>
      <c r="Q49" s="12" t="s">
        <v>646</v>
      </c>
      <c r="R49" s="61"/>
      <c r="S49" s="2"/>
      <c r="T49" s="2"/>
      <c r="U49" s="2"/>
      <c r="V49" s="2"/>
      <c r="W49" s="2"/>
      <c r="X49" s="2"/>
      <c r="Y49" s="2"/>
      <c r="Z49" s="2"/>
      <c r="AA49" s="2"/>
      <c r="AB49" s="2"/>
      <c r="AC49" s="2"/>
      <c r="AD49" s="2"/>
    </row>
    <row r="50" spans="1:30" ht="409.5">
      <c r="A50" s="39">
        <v>45</v>
      </c>
      <c r="B50" s="39">
        <v>45</v>
      </c>
      <c r="C50" s="6" t="s">
        <v>647</v>
      </c>
      <c r="D50" s="5">
        <v>3123150015</v>
      </c>
      <c r="E50" s="61"/>
      <c r="F50" s="8">
        <f>VLOOKUP(D50,'Trang tính3'!$B$10:$H$377,7,0)</f>
        <v>91</v>
      </c>
      <c r="G50" s="8" t="str">
        <f>VLOOKUP(D50,'Trang tính2'!$B$1:$D$175,3,0)</f>
        <v>3.33</v>
      </c>
      <c r="H50" s="8"/>
      <c r="I50" s="40" t="s">
        <v>648</v>
      </c>
      <c r="J50" s="40" t="s">
        <v>649</v>
      </c>
      <c r="K50" s="40" t="s">
        <v>650</v>
      </c>
      <c r="L50" s="40" t="s">
        <v>651</v>
      </c>
      <c r="M50" s="40" t="s">
        <v>652</v>
      </c>
      <c r="N50" s="10"/>
      <c r="O50" s="10" t="s">
        <v>28</v>
      </c>
      <c r="P50" s="12" t="s">
        <v>653</v>
      </c>
      <c r="Q50" s="12" t="s">
        <v>654</v>
      </c>
      <c r="R50" s="61"/>
      <c r="S50" s="2"/>
      <c r="T50" s="2"/>
      <c r="U50" s="2"/>
      <c r="V50" s="2"/>
      <c r="W50" s="2"/>
      <c r="X50" s="2"/>
      <c r="Y50" s="2"/>
      <c r="Z50" s="2"/>
      <c r="AA50" s="2"/>
      <c r="AB50" s="2"/>
      <c r="AC50" s="2"/>
      <c r="AD50" s="2"/>
    </row>
    <row r="51" spans="1:30" ht="409.5">
      <c r="A51" s="39">
        <v>46</v>
      </c>
      <c r="B51" s="39">
        <v>46</v>
      </c>
      <c r="C51" s="6" t="s">
        <v>655</v>
      </c>
      <c r="D51" s="5">
        <v>3123150092</v>
      </c>
      <c r="E51" s="61"/>
      <c r="F51" s="8">
        <f>VLOOKUP(D51,'Trang tính3'!$B$10:$H$377,7,0)</f>
        <v>100</v>
      </c>
      <c r="G51" s="8" t="str">
        <f>VLOOKUP(D51,'Trang tính2'!$B$1:$D$175,3,0)</f>
        <v>3.61</v>
      </c>
      <c r="H51" s="8"/>
      <c r="I51" s="40" t="s">
        <v>656</v>
      </c>
      <c r="J51" s="40" t="s">
        <v>657</v>
      </c>
      <c r="K51" s="40" t="s">
        <v>658</v>
      </c>
      <c r="L51" s="40" t="s">
        <v>659</v>
      </c>
      <c r="M51" s="40" t="s">
        <v>660</v>
      </c>
      <c r="N51" s="10"/>
      <c r="O51" s="10" t="s">
        <v>28</v>
      </c>
      <c r="P51" s="12" t="s">
        <v>661</v>
      </c>
      <c r="Q51" s="12" t="s">
        <v>662</v>
      </c>
      <c r="R51" s="61"/>
      <c r="S51" s="2"/>
      <c r="T51" s="2"/>
      <c r="U51" s="2"/>
      <c r="V51" s="2"/>
      <c r="W51" s="2"/>
      <c r="X51" s="2"/>
      <c r="Y51" s="2"/>
      <c r="Z51" s="2"/>
      <c r="AA51" s="2"/>
      <c r="AB51" s="2"/>
      <c r="AC51" s="2"/>
      <c r="AD51" s="2"/>
    </row>
    <row r="52" spans="1:30" ht="409.5">
      <c r="A52" s="39">
        <v>47</v>
      </c>
      <c r="B52" s="39">
        <v>47</v>
      </c>
      <c r="C52" s="6" t="s">
        <v>663</v>
      </c>
      <c r="D52" s="5">
        <v>3123150146</v>
      </c>
      <c r="E52" s="61"/>
      <c r="F52" s="8">
        <f>VLOOKUP(D52,'Trang tính3'!$B$10:$H$377,7,0)</f>
        <v>100</v>
      </c>
      <c r="G52" s="8" t="str">
        <f>VLOOKUP(D52,'Trang tính2'!$B$1:$D$175,3,0)</f>
        <v>3.59</v>
      </c>
      <c r="H52" s="8"/>
      <c r="I52" s="40" t="s">
        <v>664</v>
      </c>
      <c r="J52" s="40" t="s">
        <v>665</v>
      </c>
      <c r="K52" s="40" t="s">
        <v>666</v>
      </c>
      <c r="L52" s="40" t="s">
        <v>667</v>
      </c>
      <c r="M52" s="40" t="s">
        <v>668</v>
      </c>
      <c r="N52" s="10"/>
      <c r="O52" s="10" t="s">
        <v>28</v>
      </c>
      <c r="P52" s="12" t="s">
        <v>669</v>
      </c>
      <c r="Q52" s="12" t="s">
        <v>670</v>
      </c>
      <c r="R52" s="61"/>
      <c r="S52" s="2"/>
      <c r="T52" s="2"/>
      <c r="U52" s="2"/>
      <c r="V52" s="2"/>
      <c r="W52" s="2"/>
      <c r="X52" s="2"/>
      <c r="Y52" s="2"/>
      <c r="Z52" s="2"/>
      <c r="AA52" s="2"/>
      <c r="AB52" s="2"/>
      <c r="AC52" s="2"/>
      <c r="AD52" s="2"/>
    </row>
    <row r="53" spans="1:30" ht="195">
      <c r="A53" s="39">
        <v>48</v>
      </c>
      <c r="B53" s="39">
        <v>48</v>
      </c>
      <c r="C53" s="6" t="s">
        <v>671</v>
      </c>
      <c r="D53" s="5">
        <v>3124150172</v>
      </c>
      <c r="E53" s="61"/>
      <c r="F53" s="8">
        <f>VLOOKUP(D53,'Trang tính3'!$B$10:$H$377,7,0)</f>
        <v>83.3</v>
      </c>
      <c r="G53" s="8" t="str">
        <f>VLOOKUP(D53,'Trang tính2'!$B$1:$D$175,3,0)</f>
        <v>2.86</v>
      </c>
      <c r="H53" s="8"/>
      <c r="I53" s="40" t="s">
        <v>672</v>
      </c>
      <c r="J53" s="40" t="s">
        <v>673</v>
      </c>
      <c r="K53" s="40" t="s">
        <v>674</v>
      </c>
      <c r="L53" s="40" t="s">
        <v>675</v>
      </c>
      <c r="M53" s="40" t="s">
        <v>676</v>
      </c>
      <c r="N53" s="10"/>
      <c r="O53" s="10" t="s">
        <v>28</v>
      </c>
      <c r="P53" s="12" t="s">
        <v>677</v>
      </c>
      <c r="Q53" s="12" t="s">
        <v>678</v>
      </c>
      <c r="R53" s="61"/>
      <c r="S53" s="2"/>
      <c r="T53" s="2"/>
      <c r="U53" s="2"/>
      <c r="V53" s="2"/>
      <c r="W53" s="2"/>
      <c r="X53" s="2"/>
      <c r="Y53" s="2"/>
      <c r="Z53" s="2"/>
      <c r="AA53" s="2"/>
      <c r="AB53" s="2"/>
      <c r="AC53" s="2"/>
      <c r="AD53" s="2"/>
    </row>
    <row r="54" spans="1:30" ht="273">
      <c r="A54" s="39">
        <v>49</v>
      </c>
      <c r="B54" s="39">
        <v>49</v>
      </c>
      <c r="C54" s="6" t="s">
        <v>679</v>
      </c>
      <c r="D54" s="5">
        <v>3124150002</v>
      </c>
      <c r="E54" s="61"/>
      <c r="F54" s="8">
        <f>VLOOKUP(D54,'Trang tính3'!$B$10:$H$377,7,0)</f>
        <v>90</v>
      </c>
      <c r="G54" s="8" t="str">
        <f>VLOOKUP(D54,'Trang tính2'!$B$1:$D$175,3,0)</f>
        <v>3.89</v>
      </c>
      <c r="H54" s="8"/>
      <c r="I54" s="40" t="s">
        <v>680</v>
      </c>
      <c r="J54" s="40" t="s">
        <v>681</v>
      </c>
      <c r="K54" s="40" t="s">
        <v>682</v>
      </c>
      <c r="L54" s="40" t="s">
        <v>683</v>
      </c>
      <c r="M54" s="40" t="s">
        <v>684</v>
      </c>
      <c r="N54" s="10"/>
      <c r="O54" s="10" t="s">
        <v>28</v>
      </c>
      <c r="P54" s="12" t="s">
        <v>685</v>
      </c>
      <c r="Q54" s="12" t="s">
        <v>686</v>
      </c>
      <c r="R54" s="61"/>
      <c r="S54" s="2"/>
      <c r="T54" s="2"/>
      <c r="U54" s="2"/>
      <c r="V54" s="2"/>
      <c r="W54" s="2"/>
      <c r="X54" s="2"/>
      <c r="Y54" s="2"/>
      <c r="Z54" s="2"/>
      <c r="AA54" s="2"/>
      <c r="AB54" s="2"/>
      <c r="AC54" s="2"/>
      <c r="AD54" s="2"/>
    </row>
    <row r="55" spans="1:30" ht="409.5">
      <c r="A55" s="39">
        <v>50</v>
      </c>
      <c r="B55" s="39">
        <v>50</v>
      </c>
      <c r="C55" s="6" t="s">
        <v>687</v>
      </c>
      <c r="D55" s="5">
        <v>3124150081</v>
      </c>
      <c r="E55" s="61"/>
      <c r="F55" s="8">
        <f>VLOOKUP(D55,'Trang tính3'!$B$10:$H$377,7,0)</f>
        <v>96.7</v>
      </c>
      <c r="G55" s="8" t="str">
        <f>VLOOKUP(D55,'Trang tính2'!$B$1:$D$175,3,0)</f>
        <v>3.39</v>
      </c>
      <c r="H55" s="8"/>
      <c r="I55" s="40" t="s">
        <v>688</v>
      </c>
      <c r="J55" s="40" t="s">
        <v>689</v>
      </c>
      <c r="K55" s="40" t="s">
        <v>690</v>
      </c>
      <c r="L55" s="40" t="s">
        <v>691</v>
      </c>
      <c r="M55" s="40" t="s">
        <v>692</v>
      </c>
      <c r="N55" s="10"/>
      <c r="O55" s="10" t="s">
        <v>28</v>
      </c>
      <c r="P55" s="12" t="s">
        <v>693</v>
      </c>
      <c r="Q55" s="12" t="s">
        <v>694</v>
      </c>
      <c r="R55" s="61"/>
      <c r="S55" s="2"/>
      <c r="T55" s="2"/>
      <c r="U55" s="2"/>
      <c r="V55" s="2"/>
      <c r="W55" s="2"/>
      <c r="X55" s="2"/>
      <c r="Y55" s="2"/>
      <c r="Z55" s="2"/>
      <c r="AA55" s="2"/>
      <c r="AB55" s="2"/>
      <c r="AC55" s="2"/>
      <c r="AD55" s="2"/>
    </row>
    <row r="56" spans="1:30" ht="364">
      <c r="A56" s="39">
        <v>51</v>
      </c>
      <c r="B56" s="39">
        <v>51</v>
      </c>
      <c r="C56" s="6" t="s">
        <v>695</v>
      </c>
      <c r="D56" s="5">
        <v>3124150119</v>
      </c>
      <c r="E56" s="61"/>
      <c r="F56" s="8">
        <f>VLOOKUP(D56,'Trang tính3'!$B$10:$H$377,7,0)</f>
        <v>94.7</v>
      </c>
      <c r="G56" s="8" t="str">
        <f>VLOOKUP(D56,'Trang tính2'!$B$1:$D$175,3,0)</f>
        <v>3.89</v>
      </c>
      <c r="H56" s="8"/>
      <c r="I56" s="40" t="s">
        <v>696</v>
      </c>
      <c r="J56" s="40" t="s">
        <v>697</v>
      </c>
      <c r="K56" s="40" t="s">
        <v>698</v>
      </c>
      <c r="L56" s="40" t="s">
        <v>699</v>
      </c>
      <c r="M56" s="40" t="s">
        <v>700</v>
      </c>
      <c r="N56" s="10"/>
      <c r="O56" s="10" t="s">
        <v>28</v>
      </c>
      <c r="P56" s="12" t="s">
        <v>701</v>
      </c>
      <c r="Q56" s="12" t="s">
        <v>702</v>
      </c>
      <c r="R56" s="61"/>
      <c r="S56" s="2"/>
      <c r="T56" s="2"/>
      <c r="U56" s="2"/>
      <c r="V56" s="2"/>
      <c r="W56" s="2"/>
      <c r="X56" s="2"/>
      <c r="Y56" s="2"/>
      <c r="Z56" s="2"/>
      <c r="AA56" s="2"/>
      <c r="AB56" s="2"/>
      <c r="AC56" s="2"/>
      <c r="AD56" s="2"/>
    </row>
    <row r="57" spans="1:30" ht="364">
      <c r="A57" s="39">
        <v>52</v>
      </c>
      <c r="B57" s="39">
        <v>52</v>
      </c>
      <c r="C57" s="6" t="s">
        <v>703</v>
      </c>
      <c r="D57" s="5">
        <v>3124150137</v>
      </c>
      <c r="E57" s="61"/>
      <c r="F57" s="8">
        <f>VLOOKUP(D57,'Trang tính3'!$B$10:$H$377,7,0)</f>
        <v>96</v>
      </c>
      <c r="G57" s="8" t="str">
        <f>VLOOKUP(D57,'Trang tính2'!$B$1:$D$175,3,0)</f>
        <v>3.86</v>
      </c>
      <c r="H57" s="8"/>
      <c r="I57" s="40" t="s">
        <v>704</v>
      </c>
      <c r="J57" s="40" t="s">
        <v>705</v>
      </c>
      <c r="K57" s="40" t="s">
        <v>706</v>
      </c>
      <c r="L57" s="40" t="s">
        <v>707</v>
      </c>
      <c r="M57" s="40" t="s">
        <v>708</v>
      </c>
      <c r="N57" s="10"/>
      <c r="O57" s="10" t="s">
        <v>28</v>
      </c>
      <c r="P57" s="12" t="s">
        <v>709</v>
      </c>
      <c r="Q57" s="12" t="s">
        <v>710</v>
      </c>
      <c r="R57" s="61"/>
      <c r="S57" s="2"/>
      <c r="T57" s="2"/>
      <c r="U57" s="2"/>
      <c r="V57" s="2"/>
      <c r="W57" s="2"/>
      <c r="X57" s="2"/>
      <c r="Y57" s="2"/>
      <c r="Z57" s="2"/>
      <c r="AA57" s="2"/>
      <c r="AB57" s="2"/>
      <c r="AC57" s="2"/>
      <c r="AD57" s="2"/>
    </row>
    <row r="58" spans="1:30" ht="409.5">
      <c r="A58" s="39">
        <v>53</v>
      </c>
      <c r="B58" s="39">
        <v>53</v>
      </c>
      <c r="C58" s="6" t="s">
        <v>711</v>
      </c>
      <c r="D58" s="5">
        <v>3124150143</v>
      </c>
      <c r="E58" s="61"/>
      <c r="F58" s="8">
        <f>VLOOKUP(D58,'Trang tính3'!$B$10:$H$377,7,0)</f>
        <v>85.7</v>
      </c>
      <c r="G58" s="8" t="str">
        <f>VLOOKUP(D58,'Trang tính2'!$B$1:$D$175,3,0)</f>
        <v>3.24</v>
      </c>
      <c r="H58" s="8"/>
      <c r="I58" s="40" t="s">
        <v>712</v>
      </c>
      <c r="J58" s="40" t="s">
        <v>713</v>
      </c>
      <c r="K58" s="40" t="s">
        <v>714</v>
      </c>
      <c r="L58" s="40" t="s">
        <v>715</v>
      </c>
      <c r="M58" s="40" t="s">
        <v>716</v>
      </c>
      <c r="N58" s="10"/>
      <c r="O58" s="10" t="s">
        <v>28</v>
      </c>
      <c r="P58" s="12" t="s">
        <v>717</v>
      </c>
      <c r="Q58" s="12" t="s">
        <v>718</v>
      </c>
      <c r="R58" s="61"/>
      <c r="S58" s="2"/>
      <c r="T58" s="2"/>
      <c r="U58" s="2"/>
      <c r="V58" s="2"/>
      <c r="W58" s="2"/>
      <c r="X58" s="2"/>
      <c r="Y58" s="2"/>
      <c r="Z58" s="2"/>
      <c r="AA58" s="2"/>
      <c r="AB58" s="2"/>
      <c r="AC58" s="2"/>
      <c r="AD58" s="2"/>
    </row>
    <row r="59" spans="1:30" ht="390" hidden="1">
      <c r="A59" s="39">
        <v>54</v>
      </c>
      <c r="B59" s="39">
        <v>54</v>
      </c>
      <c r="C59" s="6" t="s">
        <v>719</v>
      </c>
      <c r="D59" s="5">
        <v>3121150223</v>
      </c>
      <c r="E59" s="61"/>
      <c r="F59" s="8" t="s">
        <v>720</v>
      </c>
      <c r="G59" s="8" t="s">
        <v>431</v>
      </c>
      <c r="H59" s="8"/>
      <c r="I59" s="40" t="s">
        <v>721</v>
      </c>
      <c r="J59" s="40" t="s">
        <v>722</v>
      </c>
      <c r="K59" s="40" t="s">
        <v>723</v>
      </c>
      <c r="L59" s="40" t="s">
        <v>724</v>
      </c>
      <c r="M59" s="40" t="s">
        <v>725</v>
      </c>
      <c r="N59" s="10" t="s">
        <v>60</v>
      </c>
      <c r="O59" s="10" t="s">
        <v>28</v>
      </c>
      <c r="P59" s="12" t="s">
        <v>726</v>
      </c>
      <c r="Q59" s="13" t="s">
        <v>727</v>
      </c>
      <c r="R59" s="61"/>
      <c r="S59" s="2"/>
      <c r="T59" s="2"/>
      <c r="U59" s="2"/>
      <c r="V59" s="2"/>
      <c r="W59" s="2"/>
      <c r="X59" s="2"/>
      <c r="Y59" s="2"/>
      <c r="Z59" s="2"/>
      <c r="AA59" s="2"/>
      <c r="AB59" s="2"/>
      <c r="AC59" s="2"/>
      <c r="AD59" s="2"/>
    </row>
    <row r="60" spans="1:30" ht="325" hidden="1">
      <c r="A60" s="39">
        <v>55</v>
      </c>
      <c r="B60" s="39">
        <v>55</v>
      </c>
      <c r="C60" s="6" t="s">
        <v>728</v>
      </c>
      <c r="D60" s="5">
        <v>3121150196</v>
      </c>
      <c r="E60" s="61"/>
      <c r="F60" s="8" t="s">
        <v>720</v>
      </c>
      <c r="G60" s="8" t="s">
        <v>729</v>
      </c>
      <c r="H60" s="8"/>
      <c r="I60" s="40" t="s">
        <v>730</v>
      </c>
      <c r="J60" s="40" t="s">
        <v>731</v>
      </c>
      <c r="K60" s="40" t="s">
        <v>723</v>
      </c>
      <c r="L60" s="40" t="s">
        <v>732</v>
      </c>
      <c r="M60" s="40" t="s">
        <v>733</v>
      </c>
      <c r="N60" s="10" t="s">
        <v>60</v>
      </c>
      <c r="O60" s="10" t="s">
        <v>28</v>
      </c>
      <c r="P60" s="30" t="s">
        <v>734</v>
      </c>
      <c r="Q60" s="30" t="s">
        <v>735</v>
      </c>
      <c r="R60" s="61"/>
      <c r="S60" s="2"/>
      <c r="T60" s="2"/>
      <c r="U60" s="2"/>
      <c r="V60" s="2"/>
      <c r="W60" s="2"/>
      <c r="X60" s="2"/>
      <c r="Y60" s="2"/>
      <c r="Z60" s="2"/>
      <c r="AA60" s="2"/>
      <c r="AB60" s="2"/>
      <c r="AC60" s="2"/>
      <c r="AD60" s="2"/>
    </row>
    <row r="61" spans="1:30" ht="312" hidden="1">
      <c r="A61" s="39">
        <v>56</v>
      </c>
      <c r="B61" s="39">
        <v>56</v>
      </c>
      <c r="C61" s="6" t="s">
        <v>736</v>
      </c>
      <c r="D61" s="5">
        <v>3121150106</v>
      </c>
      <c r="E61" s="61"/>
      <c r="F61" s="8" t="s">
        <v>195</v>
      </c>
      <c r="G61" s="8" t="s">
        <v>431</v>
      </c>
      <c r="H61" s="8"/>
      <c r="I61" s="40" t="s">
        <v>737</v>
      </c>
      <c r="J61" s="40" t="s">
        <v>738</v>
      </c>
      <c r="K61" s="40" t="s">
        <v>739</v>
      </c>
      <c r="L61" s="40" t="s">
        <v>740</v>
      </c>
      <c r="M61" s="40" t="s">
        <v>741</v>
      </c>
      <c r="N61" s="10" t="s">
        <v>60</v>
      </c>
      <c r="O61" s="10" t="s">
        <v>28</v>
      </c>
      <c r="P61" s="12" t="s">
        <v>742</v>
      </c>
      <c r="Q61" s="12" t="s">
        <v>743</v>
      </c>
      <c r="R61" s="61"/>
      <c r="S61" s="2"/>
      <c r="T61" s="2"/>
      <c r="U61" s="2"/>
      <c r="V61" s="2"/>
      <c r="W61" s="2"/>
      <c r="X61" s="2"/>
      <c r="Y61" s="2"/>
      <c r="Z61" s="2"/>
      <c r="AA61" s="2"/>
      <c r="AB61" s="2"/>
      <c r="AC61" s="2"/>
      <c r="AD61" s="2"/>
    </row>
    <row r="62" spans="1:30" ht="403" hidden="1">
      <c r="A62" s="39">
        <v>57</v>
      </c>
      <c r="B62" s="39">
        <v>57</v>
      </c>
      <c r="C62" s="6" t="s">
        <v>744</v>
      </c>
      <c r="D62" s="5">
        <v>3121150219</v>
      </c>
      <c r="E62" s="61"/>
      <c r="F62" s="8" t="s">
        <v>745</v>
      </c>
      <c r="G62" s="8" t="s">
        <v>746</v>
      </c>
      <c r="H62" s="8"/>
      <c r="I62" s="40" t="s">
        <v>747</v>
      </c>
      <c r="J62" s="40" t="s">
        <v>748</v>
      </c>
      <c r="K62" s="40" t="s">
        <v>749</v>
      </c>
      <c r="L62" s="40" t="s">
        <v>750</v>
      </c>
      <c r="M62" s="40" t="s">
        <v>751</v>
      </c>
      <c r="N62" s="10" t="s">
        <v>60</v>
      </c>
      <c r="O62" s="10" t="s">
        <v>28</v>
      </c>
      <c r="P62" s="30" t="s">
        <v>752</v>
      </c>
      <c r="Q62" s="30" t="s">
        <v>753</v>
      </c>
      <c r="R62" s="61"/>
      <c r="S62" s="2"/>
      <c r="T62" s="2"/>
      <c r="U62" s="2"/>
      <c r="V62" s="2"/>
      <c r="W62" s="2"/>
      <c r="X62" s="2"/>
      <c r="Y62" s="2"/>
      <c r="Z62" s="2"/>
      <c r="AA62" s="2"/>
      <c r="AB62" s="2"/>
      <c r="AC62" s="2"/>
      <c r="AD62" s="2"/>
    </row>
    <row r="63" spans="1:30" ht="338">
      <c r="A63" s="39">
        <v>58</v>
      </c>
      <c r="B63" s="39">
        <v>58</v>
      </c>
      <c r="C63" s="6" t="s">
        <v>754</v>
      </c>
      <c r="D63" s="39">
        <v>3122150120</v>
      </c>
      <c r="E63" s="62"/>
      <c r="F63" s="8" t="s">
        <v>755</v>
      </c>
      <c r="G63" s="8" t="s">
        <v>756</v>
      </c>
      <c r="H63" s="8"/>
      <c r="I63" s="40" t="s">
        <v>757</v>
      </c>
      <c r="J63" s="40" t="s">
        <v>758</v>
      </c>
      <c r="K63" s="40" t="s">
        <v>759</v>
      </c>
      <c r="L63" s="40" t="s">
        <v>760</v>
      </c>
      <c r="M63" s="40" t="s">
        <v>761</v>
      </c>
      <c r="N63" s="10"/>
      <c r="O63" s="10" t="s">
        <v>28</v>
      </c>
      <c r="P63" s="12" t="s">
        <v>1589</v>
      </c>
      <c r="Q63" s="12" t="s">
        <v>1590</v>
      </c>
      <c r="R63" s="62"/>
      <c r="S63" s="2"/>
      <c r="T63" s="2"/>
      <c r="U63" s="2"/>
      <c r="V63" s="2"/>
      <c r="W63" s="2"/>
      <c r="X63" s="2"/>
      <c r="Y63" s="2"/>
      <c r="Z63" s="2"/>
      <c r="AA63" s="2"/>
      <c r="AB63" s="2"/>
      <c r="AC63" s="2"/>
      <c r="AD63" s="2"/>
    </row>
    <row r="64" spans="1:30" ht="377">
      <c r="A64" s="39">
        <v>59</v>
      </c>
      <c r="B64" s="39">
        <v>59</v>
      </c>
      <c r="C64" s="6" t="s">
        <v>76</v>
      </c>
      <c r="D64" s="5">
        <v>3123430222</v>
      </c>
      <c r="E64" s="68" t="s">
        <v>70</v>
      </c>
      <c r="F64" s="8">
        <f>VLOOKUP(D64,'Trang tính3'!$B$10:$H$377,7,0)</f>
        <v>89</v>
      </c>
      <c r="G64" s="8" t="str">
        <f>VLOOKUP(D64,'Trang tính2'!$B$1:$D$175,3,0)</f>
        <v>3.79</v>
      </c>
      <c r="H64" s="8"/>
      <c r="I64" s="40" t="s">
        <v>77</v>
      </c>
      <c r="J64" s="40" t="s">
        <v>78</v>
      </c>
      <c r="K64" s="40" t="s">
        <v>79</v>
      </c>
      <c r="L64" s="40" t="s">
        <v>80</v>
      </c>
      <c r="M64" s="40" t="s">
        <v>81</v>
      </c>
      <c r="N64" s="10"/>
      <c r="O64" s="10" t="s">
        <v>28</v>
      </c>
      <c r="P64" s="12" t="s">
        <v>82</v>
      </c>
      <c r="Q64" s="12" t="s">
        <v>83</v>
      </c>
      <c r="R64" s="63"/>
      <c r="S64" s="2"/>
      <c r="T64" s="2"/>
      <c r="U64" s="2"/>
      <c r="V64" s="2"/>
      <c r="W64" s="2"/>
      <c r="X64" s="2"/>
      <c r="Y64" s="2"/>
      <c r="Z64" s="2"/>
      <c r="AA64" s="2"/>
      <c r="AB64" s="2"/>
      <c r="AC64" s="2"/>
      <c r="AD64" s="2"/>
    </row>
    <row r="65" spans="1:30" ht="260">
      <c r="A65" s="39">
        <v>60</v>
      </c>
      <c r="B65" s="39">
        <v>60</v>
      </c>
      <c r="C65" s="6" t="s">
        <v>88</v>
      </c>
      <c r="D65" s="5">
        <v>3122430104</v>
      </c>
      <c r="E65" s="61"/>
      <c r="F65" s="8">
        <f>VLOOKUP(D65,'Trang tính3'!$B$10:$H$377,7,0)</f>
        <v>100</v>
      </c>
      <c r="G65" s="8" t="str">
        <f>VLOOKUP(D65,'Trang tính2'!$B$1:$D$175,3,0)</f>
        <v>3.76</v>
      </c>
      <c r="H65" s="8"/>
      <c r="I65" s="40" t="s">
        <v>89</v>
      </c>
      <c r="J65" s="40" t="s">
        <v>90</v>
      </c>
      <c r="K65" s="40" t="s">
        <v>91</v>
      </c>
      <c r="L65" s="40" t="s">
        <v>92</v>
      </c>
      <c r="M65" s="40" t="s">
        <v>93</v>
      </c>
      <c r="N65" s="10"/>
      <c r="O65" s="10" t="s">
        <v>28</v>
      </c>
      <c r="P65" s="12" t="s">
        <v>94</v>
      </c>
      <c r="Q65" s="12" t="s">
        <v>95</v>
      </c>
      <c r="R65" s="61"/>
      <c r="S65" s="2"/>
      <c r="T65" s="2"/>
      <c r="U65" s="2"/>
      <c r="V65" s="2"/>
      <c r="W65" s="2"/>
      <c r="X65" s="2"/>
      <c r="Y65" s="2"/>
      <c r="Z65" s="2"/>
      <c r="AA65" s="2"/>
      <c r="AB65" s="2"/>
      <c r="AC65" s="2"/>
      <c r="AD65" s="2"/>
    </row>
    <row r="66" spans="1:30" ht="409.5">
      <c r="A66" s="39">
        <v>61</v>
      </c>
      <c r="B66" s="39">
        <v>61</v>
      </c>
      <c r="C66" s="6" t="s">
        <v>96</v>
      </c>
      <c r="D66" s="5">
        <v>3122430202</v>
      </c>
      <c r="E66" s="61"/>
      <c r="F66" s="8">
        <f>VLOOKUP(D66,'Trang tính3'!$B$10:$H$377,7,0)</f>
        <v>100</v>
      </c>
      <c r="G66" s="8" t="str">
        <f>VLOOKUP(D66,'Trang tính2'!$B$1:$D$175,3,0)</f>
        <v>3.26</v>
      </c>
      <c r="H66" s="8"/>
      <c r="I66" s="40" t="s">
        <v>97</v>
      </c>
      <c r="J66" s="40" t="s">
        <v>98</v>
      </c>
      <c r="K66" s="40" t="s">
        <v>99</v>
      </c>
      <c r="L66" s="40" t="s">
        <v>100</v>
      </c>
      <c r="M66" s="40" t="s">
        <v>101</v>
      </c>
      <c r="N66" s="10"/>
      <c r="O66" s="10" t="s">
        <v>28</v>
      </c>
      <c r="P66" s="12" t="s">
        <v>102</v>
      </c>
      <c r="Q66" s="12" t="s">
        <v>103</v>
      </c>
      <c r="R66" s="61"/>
      <c r="S66" s="2"/>
      <c r="T66" s="2"/>
      <c r="U66" s="2"/>
      <c r="V66" s="2"/>
      <c r="W66" s="2"/>
      <c r="X66" s="2"/>
      <c r="Y66" s="2"/>
      <c r="Z66" s="2"/>
      <c r="AA66" s="2"/>
      <c r="AB66" s="2"/>
      <c r="AC66" s="2"/>
      <c r="AD66" s="2"/>
    </row>
    <row r="67" spans="1:30" ht="409.5">
      <c r="A67" s="39">
        <v>62</v>
      </c>
      <c r="B67" s="39">
        <v>62</v>
      </c>
      <c r="C67" s="6" t="s">
        <v>104</v>
      </c>
      <c r="D67" s="5">
        <v>3123430131</v>
      </c>
      <c r="E67" s="61"/>
      <c r="F67" s="8">
        <f>VLOOKUP(D67,'Trang tính3'!$B$10:$H$377,7,0)</f>
        <v>100</v>
      </c>
      <c r="G67" s="8" t="str">
        <f>VLOOKUP(D67,'Trang tính2'!$B$1:$D$175,3,0)</f>
        <v>3.91</v>
      </c>
      <c r="H67" s="8"/>
      <c r="I67" s="40" t="s">
        <v>105</v>
      </c>
      <c r="J67" s="40" t="s">
        <v>106</v>
      </c>
      <c r="K67" s="40" t="s">
        <v>107</v>
      </c>
      <c r="L67" s="40" t="s">
        <v>108</v>
      </c>
      <c r="M67" s="40" t="s">
        <v>109</v>
      </c>
      <c r="N67" s="10"/>
      <c r="O67" s="10" t="s">
        <v>28</v>
      </c>
      <c r="P67" s="12" t="s">
        <v>110</v>
      </c>
      <c r="Q67" s="12" t="s">
        <v>111</v>
      </c>
      <c r="R67" s="61"/>
      <c r="S67" s="2"/>
      <c r="T67" s="2"/>
      <c r="U67" s="2"/>
      <c r="V67" s="2"/>
      <c r="W67" s="2"/>
      <c r="X67" s="2"/>
      <c r="Y67" s="2"/>
      <c r="Z67" s="2"/>
      <c r="AA67" s="2"/>
      <c r="AB67" s="2"/>
      <c r="AC67" s="2"/>
      <c r="AD67" s="2"/>
    </row>
    <row r="68" spans="1:30" ht="409.5">
      <c r="A68" s="39">
        <v>63</v>
      </c>
      <c r="B68" s="39">
        <v>63</v>
      </c>
      <c r="C68" s="6" t="s">
        <v>112</v>
      </c>
      <c r="D68" s="5">
        <v>3123430178</v>
      </c>
      <c r="E68" s="61"/>
      <c r="F68" s="8">
        <f>VLOOKUP(D68,'Trang tính3'!$B$10:$H$377,7,0)</f>
        <v>100</v>
      </c>
      <c r="G68" s="8" t="str">
        <f>VLOOKUP(D68,'Trang tính2'!$B$1:$D$175,3,0)</f>
        <v>3.25</v>
      </c>
      <c r="H68" s="8"/>
      <c r="I68" s="40" t="s">
        <v>113</v>
      </c>
      <c r="J68" s="40" t="s">
        <v>114</v>
      </c>
      <c r="K68" s="40" t="s">
        <v>115</v>
      </c>
      <c r="L68" s="40" t="s">
        <v>116</v>
      </c>
      <c r="M68" s="40" t="s">
        <v>117</v>
      </c>
      <c r="N68" s="10"/>
      <c r="O68" s="10" t="s">
        <v>28</v>
      </c>
      <c r="P68" s="12" t="s">
        <v>118</v>
      </c>
      <c r="Q68" s="12" t="s">
        <v>119</v>
      </c>
      <c r="R68" s="61"/>
      <c r="S68" s="2"/>
      <c r="T68" s="2"/>
      <c r="U68" s="2"/>
      <c r="V68" s="2"/>
      <c r="W68" s="2"/>
      <c r="X68" s="2"/>
      <c r="Y68" s="2"/>
      <c r="Z68" s="2"/>
      <c r="AA68" s="2"/>
      <c r="AB68" s="2"/>
      <c r="AC68" s="2"/>
      <c r="AD68" s="2"/>
    </row>
    <row r="69" spans="1:30" ht="182">
      <c r="A69" s="39">
        <v>64</v>
      </c>
      <c r="B69" s="39">
        <v>64</v>
      </c>
      <c r="C69" s="6" t="s">
        <v>120</v>
      </c>
      <c r="D69" s="5">
        <v>3124430141</v>
      </c>
      <c r="E69" s="61"/>
      <c r="F69" s="8">
        <f>VLOOKUP(D69,'Trang tính3'!$B$10:$H$377,7,0)</f>
        <v>93.7</v>
      </c>
      <c r="G69" s="8" t="str">
        <f>VLOOKUP(D69,'Trang tính2'!$B$1:$D$175,3,0)</f>
        <v>3.34</v>
      </c>
      <c r="H69" s="8"/>
      <c r="I69" s="40" t="s">
        <v>121</v>
      </c>
      <c r="J69" s="40" t="s">
        <v>122</v>
      </c>
      <c r="K69" s="40" t="s">
        <v>123</v>
      </c>
      <c r="L69" s="40" t="s">
        <v>124</v>
      </c>
      <c r="M69" s="40" t="s">
        <v>125</v>
      </c>
      <c r="N69" s="10"/>
      <c r="O69" s="10" t="s">
        <v>28</v>
      </c>
      <c r="P69" s="12" t="s">
        <v>126</v>
      </c>
      <c r="Q69" s="12" t="s">
        <v>127</v>
      </c>
      <c r="R69" s="61"/>
      <c r="S69" s="2"/>
      <c r="T69" s="2"/>
      <c r="U69" s="2"/>
      <c r="V69" s="2"/>
      <c r="W69" s="2"/>
      <c r="X69" s="2"/>
      <c r="Y69" s="2"/>
      <c r="Z69" s="2"/>
      <c r="AA69" s="2"/>
      <c r="AB69" s="2"/>
      <c r="AC69" s="2"/>
      <c r="AD69" s="2"/>
    </row>
    <row r="70" spans="1:30" ht="351">
      <c r="A70" s="39">
        <v>65</v>
      </c>
      <c r="B70" s="39">
        <v>65</v>
      </c>
      <c r="C70" s="6" t="s">
        <v>128</v>
      </c>
      <c r="D70" s="5">
        <v>3123430156</v>
      </c>
      <c r="E70" s="61"/>
      <c r="F70" s="8">
        <f>VLOOKUP(D70,'Trang tính3'!$B$10:$H$377,7,0)</f>
        <v>99</v>
      </c>
      <c r="G70" s="8" t="str">
        <f>VLOOKUP(D70,'Trang tính2'!$B$1:$D$175,3,0)</f>
        <v>3.59</v>
      </c>
      <c r="H70" s="8"/>
      <c r="I70" s="40" t="s">
        <v>129</v>
      </c>
      <c r="J70" s="40" t="s">
        <v>130</v>
      </c>
      <c r="K70" s="40" t="s">
        <v>131</v>
      </c>
      <c r="L70" s="40" t="s">
        <v>132</v>
      </c>
      <c r="M70" s="40" t="s">
        <v>133</v>
      </c>
      <c r="N70" s="10"/>
      <c r="O70" s="10" t="s">
        <v>28</v>
      </c>
      <c r="P70" s="12" t="s">
        <v>134</v>
      </c>
      <c r="Q70" s="12" t="s">
        <v>135</v>
      </c>
      <c r="R70" s="61"/>
      <c r="S70" s="2"/>
      <c r="T70" s="2"/>
      <c r="U70" s="2"/>
      <c r="V70" s="2"/>
      <c r="W70" s="2"/>
      <c r="X70" s="2"/>
      <c r="Y70" s="2"/>
      <c r="Z70" s="2"/>
      <c r="AA70" s="2"/>
      <c r="AB70" s="2"/>
      <c r="AC70" s="2"/>
      <c r="AD70" s="2"/>
    </row>
    <row r="71" spans="1:30" ht="299">
      <c r="A71" s="39">
        <v>66</v>
      </c>
      <c r="B71" s="39">
        <v>66</v>
      </c>
      <c r="C71" s="6" t="s">
        <v>136</v>
      </c>
      <c r="D71" s="5">
        <v>3124430149</v>
      </c>
      <c r="E71" s="61"/>
      <c r="F71" s="8">
        <f>VLOOKUP(D71,'Trang tính3'!$B$10:$H$377,7,0)</f>
        <v>98.3</v>
      </c>
      <c r="G71" s="8" t="str">
        <f>VLOOKUP(D71,'Trang tính2'!$B$1:$D$175,3,0)</f>
        <v>3.26</v>
      </c>
      <c r="H71" s="8"/>
      <c r="I71" s="40" t="s">
        <v>137</v>
      </c>
      <c r="J71" s="40" t="s">
        <v>138</v>
      </c>
      <c r="K71" s="40" t="s">
        <v>123</v>
      </c>
      <c r="L71" s="40" t="s">
        <v>139</v>
      </c>
      <c r="M71" s="40" t="s">
        <v>140</v>
      </c>
      <c r="N71" s="10"/>
      <c r="O71" s="10" t="s">
        <v>28</v>
      </c>
      <c r="P71" s="12" t="s">
        <v>141</v>
      </c>
      <c r="Q71" s="12" t="s">
        <v>142</v>
      </c>
      <c r="R71" s="61"/>
      <c r="S71" s="2"/>
      <c r="T71" s="2"/>
      <c r="U71" s="2"/>
      <c r="V71" s="2"/>
      <c r="W71" s="2"/>
      <c r="X71" s="2"/>
      <c r="Y71" s="2"/>
      <c r="Z71" s="2"/>
      <c r="AA71" s="2"/>
      <c r="AB71" s="2"/>
      <c r="AC71" s="2"/>
      <c r="AD71" s="2"/>
    </row>
    <row r="72" spans="1:30" ht="325">
      <c r="A72" s="39">
        <v>67</v>
      </c>
      <c r="B72" s="39">
        <v>67</v>
      </c>
      <c r="C72" s="6" t="s">
        <v>147</v>
      </c>
      <c r="D72" s="5">
        <v>3122430014</v>
      </c>
      <c r="E72" s="61"/>
      <c r="F72" s="8">
        <f>VLOOKUP(D72,'Trang tính3'!$B$10:$H$377,7,0)</f>
        <v>100</v>
      </c>
      <c r="G72" s="8" t="str">
        <f>VLOOKUP(D72,'Trang tính2'!$B$1:$D$175,3,0)</f>
        <v>3.57</v>
      </c>
      <c r="H72" s="8"/>
      <c r="I72" s="40" t="s">
        <v>148</v>
      </c>
      <c r="J72" s="40" t="s">
        <v>149</v>
      </c>
      <c r="K72" s="40" t="s">
        <v>150</v>
      </c>
      <c r="L72" s="40" t="s">
        <v>151</v>
      </c>
      <c r="M72" s="40" t="s">
        <v>152</v>
      </c>
      <c r="N72" s="10"/>
      <c r="O72" s="10" t="s">
        <v>28</v>
      </c>
      <c r="P72" s="12" t="s">
        <v>153</v>
      </c>
      <c r="Q72" s="12" t="s">
        <v>154</v>
      </c>
      <c r="R72" s="61"/>
      <c r="S72" s="2"/>
      <c r="T72" s="2"/>
      <c r="U72" s="2"/>
      <c r="V72" s="2"/>
      <c r="W72" s="2"/>
      <c r="X72" s="2"/>
      <c r="Y72" s="2"/>
      <c r="Z72" s="2"/>
      <c r="AA72" s="2"/>
      <c r="AB72" s="2"/>
      <c r="AC72" s="2"/>
      <c r="AD72" s="2"/>
    </row>
    <row r="73" spans="1:30" ht="169">
      <c r="A73" s="39">
        <v>68</v>
      </c>
      <c r="B73" s="39">
        <v>68</v>
      </c>
      <c r="C73" s="6" t="s">
        <v>155</v>
      </c>
      <c r="D73" s="5">
        <v>3124430177</v>
      </c>
      <c r="E73" s="61"/>
      <c r="F73" s="8">
        <f>VLOOKUP(D73,'Trang tính3'!$B$10:$H$377,7,0)</f>
        <v>92.3</v>
      </c>
      <c r="G73" s="8" t="str">
        <f>VLOOKUP(D73,'Trang tính2'!$B$1:$D$175,3,0)</f>
        <v>3.31</v>
      </c>
      <c r="H73" s="8"/>
      <c r="I73" s="40" t="s">
        <v>156</v>
      </c>
      <c r="J73" s="40" t="s">
        <v>157</v>
      </c>
      <c r="K73" s="40" t="s">
        <v>158</v>
      </c>
      <c r="L73" s="40" t="s">
        <v>159</v>
      </c>
      <c r="M73" s="40" t="s">
        <v>160</v>
      </c>
      <c r="N73" s="10"/>
      <c r="O73" s="10" t="s">
        <v>28</v>
      </c>
      <c r="P73" s="12" t="s">
        <v>161</v>
      </c>
      <c r="Q73" s="12" t="s">
        <v>162</v>
      </c>
      <c r="R73" s="61"/>
      <c r="S73" s="2"/>
      <c r="T73" s="2"/>
      <c r="U73" s="2"/>
      <c r="V73" s="2"/>
      <c r="W73" s="2"/>
      <c r="X73" s="2"/>
      <c r="Y73" s="2"/>
      <c r="Z73" s="2"/>
      <c r="AA73" s="2"/>
      <c r="AB73" s="2"/>
      <c r="AC73" s="2"/>
      <c r="AD73" s="2"/>
    </row>
    <row r="74" spans="1:30" ht="390">
      <c r="A74" s="39">
        <v>69</v>
      </c>
      <c r="B74" s="39">
        <v>69</v>
      </c>
      <c r="C74" s="6" t="s">
        <v>163</v>
      </c>
      <c r="D74" s="5">
        <v>3122430044</v>
      </c>
      <c r="E74" s="61"/>
      <c r="F74" s="8">
        <f>VLOOKUP(D74,'Trang tính3'!$B$10:$H$377,7,0)</f>
        <v>94.5</v>
      </c>
      <c r="G74" s="8">
        <f>VLOOKUP(D74,'Trang tính2'!$B$1:$D$175,3,0)</f>
        <v>3.11</v>
      </c>
      <c r="H74" s="8"/>
      <c r="I74" s="40" t="s">
        <v>164</v>
      </c>
      <c r="J74" s="40" t="s">
        <v>165</v>
      </c>
      <c r="K74" s="40" t="s">
        <v>150</v>
      </c>
      <c r="L74" s="40" t="s">
        <v>166</v>
      </c>
      <c r="M74" s="40" t="s">
        <v>167</v>
      </c>
      <c r="N74" s="10"/>
      <c r="O74" s="10" t="s">
        <v>28</v>
      </c>
      <c r="P74" s="12" t="s">
        <v>168</v>
      </c>
      <c r="Q74" s="12" t="s">
        <v>169</v>
      </c>
      <c r="R74" s="61"/>
      <c r="S74" s="2"/>
      <c r="T74" s="2"/>
      <c r="U74" s="2"/>
      <c r="V74" s="2"/>
      <c r="W74" s="2"/>
      <c r="X74" s="2"/>
      <c r="Y74" s="2"/>
      <c r="Z74" s="2"/>
      <c r="AA74" s="2"/>
      <c r="AB74" s="2"/>
      <c r="AC74" s="2"/>
      <c r="AD74" s="2"/>
    </row>
    <row r="75" spans="1:30" ht="409.5" hidden="1">
      <c r="A75" s="39">
        <v>70</v>
      </c>
      <c r="B75" s="39">
        <v>70</v>
      </c>
      <c r="C75" s="6" t="s">
        <v>174</v>
      </c>
      <c r="D75" s="5">
        <v>3122430118</v>
      </c>
      <c r="E75" s="61"/>
      <c r="F75" s="8" t="s">
        <v>175</v>
      </c>
      <c r="G75" s="8" t="s">
        <v>176</v>
      </c>
      <c r="H75" s="8"/>
      <c r="I75" s="40" t="s">
        <v>177</v>
      </c>
      <c r="J75" s="40" t="s">
        <v>178</v>
      </c>
      <c r="K75" s="40" t="s">
        <v>179</v>
      </c>
      <c r="L75" s="40" t="s">
        <v>180</v>
      </c>
      <c r="M75" s="40" t="s">
        <v>181</v>
      </c>
      <c r="N75" s="10" t="s">
        <v>60</v>
      </c>
      <c r="O75" s="10" t="s">
        <v>28</v>
      </c>
      <c r="P75" s="12" t="s">
        <v>182</v>
      </c>
      <c r="Q75" s="12" t="s">
        <v>183</v>
      </c>
      <c r="R75" s="61"/>
      <c r="S75" s="2"/>
      <c r="T75" s="2"/>
      <c r="U75" s="2"/>
      <c r="V75" s="2"/>
      <c r="W75" s="2"/>
      <c r="X75" s="2"/>
      <c r="Y75" s="2"/>
      <c r="Z75" s="2"/>
      <c r="AA75" s="2"/>
      <c r="AB75" s="2"/>
      <c r="AC75" s="2"/>
      <c r="AD75" s="2"/>
    </row>
    <row r="76" spans="1:30" ht="409.5" hidden="1">
      <c r="A76" s="39">
        <v>71</v>
      </c>
      <c r="B76" s="39">
        <v>71</v>
      </c>
      <c r="C76" s="6" t="s">
        <v>184</v>
      </c>
      <c r="D76" s="5">
        <v>3123430154</v>
      </c>
      <c r="E76" s="61"/>
      <c r="F76" s="8" t="s">
        <v>185</v>
      </c>
      <c r="G76" s="8" t="s">
        <v>186</v>
      </c>
      <c r="H76" s="8"/>
      <c r="I76" s="40" t="s">
        <v>187</v>
      </c>
      <c r="J76" s="40" t="s">
        <v>188</v>
      </c>
      <c r="K76" s="40" t="s">
        <v>189</v>
      </c>
      <c r="L76" s="40" t="s">
        <v>190</v>
      </c>
      <c r="M76" s="40" t="s">
        <v>191</v>
      </c>
      <c r="N76" s="10" t="s">
        <v>60</v>
      </c>
      <c r="O76" s="10" t="s">
        <v>28</v>
      </c>
      <c r="P76" s="13" t="s">
        <v>192</v>
      </c>
      <c r="Q76" s="30" t="s">
        <v>193</v>
      </c>
      <c r="R76" s="61"/>
      <c r="S76" s="2"/>
      <c r="T76" s="2"/>
      <c r="U76" s="2"/>
      <c r="V76" s="2"/>
      <c r="W76" s="2"/>
      <c r="X76" s="2"/>
      <c r="Y76" s="2"/>
      <c r="Z76" s="2"/>
      <c r="AA76" s="2"/>
      <c r="AB76" s="2"/>
      <c r="AC76" s="2"/>
      <c r="AD76" s="2"/>
    </row>
    <row r="77" spans="1:30" ht="409.5" hidden="1">
      <c r="A77" s="39">
        <v>72</v>
      </c>
      <c r="B77" s="39">
        <v>72</v>
      </c>
      <c r="C77" s="6" t="s">
        <v>194</v>
      </c>
      <c r="D77" s="5">
        <v>3121430166</v>
      </c>
      <c r="E77" s="62"/>
      <c r="F77" s="8" t="s">
        <v>195</v>
      </c>
      <c r="G77" s="8" t="s">
        <v>196</v>
      </c>
      <c r="H77" s="8"/>
      <c r="I77" s="40" t="s">
        <v>197</v>
      </c>
      <c r="J77" s="40" t="s">
        <v>198</v>
      </c>
      <c r="K77" s="40" t="s">
        <v>199</v>
      </c>
      <c r="L77" s="40" t="s">
        <v>200</v>
      </c>
      <c r="M77" s="40" t="s">
        <v>201</v>
      </c>
      <c r="N77" s="10" t="s">
        <v>60</v>
      </c>
      <c r="O77" s="10" t="s">
        <v>28</v>
      </c>
      <c r="P77" s="12" t="s">
        <v>1591</v>
      </c>
      <c r="Q77" s="30" t="s">
        <v>202</v>
      </c>
      <c r="R77" s="62"/>
      <c r="S77" s="2"/>
      <c r="T77" s="2"/>
      <c r="U77" s="2"/>
      <c r="V77" s="2"/>
      <c r="W77" s="2"/>
      <c r="X77" s="2"/>
      <c r="Y77" s="2"/>
      <c r="Z77" s="2"/>
      <c r="AA77" s="2"/>
      <c r="AB77" s="2"/>
      <c r="AC77" s="2"/>
      <c r="AD77" s="2"/>
    </row>
    <row r="78" spans="1:30" ht="403">
      <c r="A78" s="39">
        <v>73</v>
      </c>
      <c r="B78" s="39">
        <v>73</v>
      </c>
      <c r="C78" s="6" t="s">
        <v>396</v>
      </c>
      <c r="D78" s="5">
        <v>3123340038</v>
      </c>
      <c r="E78" s="70" t="s">
        <v>392</v>
      </c>
      <c r="F78" s="8">
        <f>VLOOKUP(D78,'Trang tính3'!$B$10:$H$377,7,0)</f>
        <v>98.5</v>
      </c>
      <c r="G78" s="8" t="str">
        <f>VLOOKUP(D78,'Trang tính2'!$B$1:$D$175,3,0)</f>
        <v>3.30</v>
      </c>
      <c r="H78" s="8"/>
      <c r="I78" s="40" t="s">
        <v>397</v>
      </c>
      <c r="J78" s="40" t="s">
        <v>398</v>
      </c>
      <c r="K78" s="40" t="s">
        <v>399</v>
      </c>
      <c r="L78" s="40" t="s">
        <v>400</v>
      </c>
      <c r="M78" s="40" t="s">
        <v>401</v>
      </c>
      <c r="N78" s="10"/>
      <c r="O78" s="10" t="s">
        <v>28</v>
      </c>
      <c r="P78" s="12" t="s">
        <v>402</v>
      </c>
      <c r="Q78" s="12" t="s">
        <v>403</v>
      </c>
      <c r="R78" s="60"/>
      <c r="S78" s="2"/>
      <c r="T78" s="2"/>
      <c r="U78" s="2"/>
      <c r="V78" s="2"/>
      <c r="W78" s="2"/>
      <c r="X78" s="2"/>
      <c r="Y78" s="2"/>
      <c r="Z78" s="2"/>
      <c r="AA78" s="2"/>
      <c r="AB78" s="2"/>
      <c r="AC78" s="2"/>
      <c r="AD78" s="2"/>
    </row>
    <row r="79" spans="1:30" ht="260">
      <c r="A79" s="39">
        <v>74</v>
      </c>
      <c r="B79" s="39">
        <v>74</v>
      </c>
      <c r="C79" s="6" t="s">
        <v>404</v>
      </c>
      <c r="D79" s="5">
        <v>3123340048</v>
      </c>
      <c r="E79" s="61"/>
      <c r="F79" s="8">
        <f>VLOOKUP(D79,'Trang tính3'!$B$10:$H$377,7,0)</f>
        <v>97</v>
      </c>
      <c r="G79" s="8" t="str">
        <f>VLOOKUP(D79,'Trang tính2'!$B$1:$D$175,3,0)</f>
        <v>3.57</v>
      </c>
      <c r="H79" s="8"/>
      <c r="I79" s="40" t="s">
        <v>405</v>
      </c>
      <c r="J79" s="40" t="s">
        <v>406</v>
      </c>
      <c r="K79" s="40" t="s">
        <v>407</v>
      </c>
      <c r="L79" s="40" t="s">
        <v>408</v>
      </c>
      <c r="M79" s="40" t="s">
        <v>409</v>
      </c>
      <c r="N79" s="10"/>
      <c r="O79" s="10" t="s">
        <v>28</v>
      </c>
      <c r="P79" s="12" t="s">
        <v>410</v>
      </c>
      <c r="Q79" s="12" t="s">
        <v>411</v>
      </c>
      <c r="R79" s="61"/>
      <c r="S79" s="2"/>
      <c r="T79" s="2"/>
      <c r="U79" s="2"/>
      <c r="V79" s="2"/>
      <c r="W79" s="2"/>
      <c r="X79" s="2"/>
      <c r="Y79" s="2"/>
      <c r="Z79" s="2"/>
      <c r="AA79" s="2"/>
      <c r="AB79" s="2"/>
      <c r="AC79" s="2"/>
      <c r="AD79" s="2"/>
    </row>
    <row r="80" spans="1:30" ht="260">
      <c r="A80" s="39">
        <v>75</v>
      </c>
      <c r="B80" s="39">
        <v>75</v>
      </c>
      <c r="C80" s="6" t="s">
        <v>412</v>
      </c>
      <c r="D80" s="5">
        <v>3123340048</v>
      </c>
      <c r="E80" s="61"/>
      <c r="F80" s="8">
        <f>VLOOKUP(D80,'Trang tính3'!$B$10:$H$377,7,0)</f>
        <v>97</v>
      </c>
      <c r="G80" s="8" t="str">
        <f>VLOOKUP(D80,'Trang tính2'!$B$1:$D$175,3,0)</f>
        <v>3.57</v>
      </c>
      <c r="H80" s="8"/>
      <c r="I80" s="40" t="s">
        <v>405</v>
      </c>
      <c r="J80" s="40" t="s">
        <v>406</v>
      </c>
      <c r="K80" s="40" t="s">
        <v>407</v>
      </c>
      <c r="L80" s="40" t="s">
        <v>408</v>
      </c>
      <c r="M80" s="40" t="s">
        <v>409</v>
      </c>
      <c r="N80" s="10"/>
      <c r="O80" s="10" t="s">
        <v>28</v>
      </c>
      <c r="P80" s="12" t="s">
        <v>413</v>
      </c>
      <c r="Q80" s="12" t="s">
        <v>414</v>
      </c>
      <c r="R80" s="61"/>
      <c r="S80" s="2"/>
      <c r="T80" s="2"/>
      <c r="U80" s="2"/>
      <c r="V80" s="2"/>
      <c r="W80" s="2"/>
      <c r="X80" s="2"/>
      <c r="Y80" s="2"/>
      <c r="Z80" s="2"/>
      <c r="AA80" s="2"/>
      <c r="AB80" s="2"/>
      <c r="AC80" s="2"/>
      <c r="AD80" s="2"/>
    </row>
    <row r="81" spans="1:30" ht="409.5" hidden="1">
      <c r="A81" s="39">
        <v>76</v>
      </c>
      <c r="B81" s="39">
        <v>76</v>
      </c>
      <c r="C81" s="6" t="s">
        <v>415</v>
      </c>
      <c r="D81" s="5">
        <v>3123340032</v>
      </c>
      <c r="E81" s="61"/>
      <c r="F81" s="8" t="s">
        <v>382</v>
      </c>
      <c r="G81" s="8" t="s">
        <v>416</v>
      </c>
      <c r="H81" s="8"/>
      <c r="I81" s="40" t="s">
        <v>417</v>
      </c>
      <c r="J81" s="40" t="s">
        <v>418</v>
      </c>
      <c r="K81" s="40" t="s">
        <v>419</v>
      </c>
      <c r="L81" s="40" t="s">
        <v>420</v>
      </c>
      <c r="M81" s="40" t="s">
        <v>421</v>
      </c>
      <c r="N81" s="10" t="s">
        <v>60</v>
      </c>
      <c r="O81" s="10" t="s">
        <v>28</v>
      </c>
      <c r="P81" s="12" t="s">
        <v>1592</v>
      </c>
      <c r="Q81" s="12" t="s">
        <v>1593</v>
      </c>
      <c r="R81" s="61"/>
      <c r="S81" s="2"/>
      <c r="T81" s="2"/>
      <c r="U81" s="2"/>
      <c r="V81" s="2"/>
      <c r="W81" s="2"/>
      <c r="X81" s="2"/>
      <c r="Y81" s="2"/>
      <c r="Z81" s="2"/>
      <c r="AA81" s="2"/>
      <c r="AB81" s="2"/>
      <c r="AC81" s="2"/>
      <c r="AD81" s="2"/>
    </row>
    <row r="82" spans="1:30" ht="312" hidden="1">
      <c r="A82" s="39">
        <v>77</v>
      </c>
      <c r="B82" s="39">
        <v>77</v>
      </c>
      <c r="C82" s="6" t="s">
        <v>422</v>
      </c>
      <c r="D82" s="5">
        <v>3123340041</v>
      </c>
      <c r="E82" s="61"/>
      <c r="F82" s="8" t="s">
        <v>423</v>
      </c>
      <c r="G82" s="8" t="s">
        <v>424</v>
      </c>
      <c r="H82" s="8"/>
      <c r="I82" s="40" t="s">
        <v>425</v>
      </c>
      <c r="J82" s="40" t="s">
        <v>426</v>
      </c>
      <c r="K82" s="40" t="s">
        <v>274</v>
      </c>
      <c r="L82" s="40" t="s">
        <v>427</v>
      </c>
      <c r="M82" s="40" t="s">
        <v>428</v>
      </c>
      <c r="N82" s="10" t="s">
        <v>60</v>
      </c>
      <c r="O82" s="10" t="s">
        <v>28</v>
      </c>
      <c r="P82" s="12" t="s">
        <v>1594</v>
      </c>
      <c r="Q82" s="12" t="s">
        <v>1595</v>
      </c>
      <c r="R82" s="61"/>
      <c r="S82" s="2"/>
      <c r="T82" s="2"/>
      <c r="U82" s="2"/>
      <c r="V82" s="2"/>
      <c r="W82" s="2"/>
      <c r="X82" s="2"/>
      <c r="Y82" s="2"/>
      <c r="Z82" s="2"/>
      <c r="AA82" s="2"/>
      <c r="AB82" s="2"/>
      <c r="AC82" s="2"/>
      <c r="AD82" s="2"/>
    </row>
    <row r="83" spans="1:30" ht="377" hidden="1">
      <c r="A83" s="39">
        <v>78</v>
      </c>
      <c r="B83" s="39">
        <v>78</v>
      </c>
      <c r="C83" s="6" t="s">
        <v>429</v>
      </c>
      <c r="D83" s="5">
        <v>3121340047</v>
      </c>
      <c r="E83" s="61"/>
      <c r="F83" s="8" t="s">
        <v>430</v>
      </c>
      <c r="G83" s="8" t="s">
        <v>431</v>
      </c>
      <c r="H83" s="8"/>
      <c r="I83" s="40" t="s">
        <v>432</v>
      </c>
      <c r="J83" s="40" t="s">
        <v>433</v>
      </c>
      <c r="K83" s="40" t="s">
        <v>274</v>
      </c>
      <c r="L83" s="40" t="s">
        <v>434</v>
      </c>
      <c r="M83" s="40" t="s">
        <v>435</v>
      </c>
      <c r="N83" s="10" t="s">
        <v>60</v>
      </c>
      <c r="O83" s="10" t="s">
        <v>28</v>
      </c>
      <c r="P83" s="12" t="s">
        <v>1596</v>
      </c>
      <c r="Q83" s="12" t="s">
        <v>1597</v>
      </c>
      <c r="R83" s="61"/>
      <c r="S83" s="2"/>
      <c r="T83" s="2"/>
      <c r="U83" s="2"/>
      <c r="V83" s="2"/>
      <c r="W83" s="2"/>
      <c r="X83" s="2"/>
      <c r="Y83" s="2"/>
      <c r="Z83" s="2"/>
      <c r="AA83" s="2"/>
      <c r="AB83" s="2"/>
      <c r="AC83" s="2"/>
      <c r="AD83" s="2"/>
    </row>
    <row r="84" spans="1:30" ht="377" hidden="1">
      <c r="A84" s="39">
        <v>79</v>
      </c>
      <c r="B84" s="39">
        <v>79</v>
      </c>
      <c r="C84" s="6" t="s">
        <v>436</v>
      </c>
      <c r="D84" s="5">
        <v>3121340033</v>
      </c>
      <c r="E84" s="62"/>
      <c r="F84" s="8" t="s">
        <v>437</v>
      </c>
      <c r="G84" s="8" t="s">
        <v>431</v>
      </c>
      <c r="H84" s="8"/>
      <c r="I84" s="40" t="s">
        <v>438</v>
      </c>
      <c r="J84" s="40" t="s">
        <v>439</v>
      </c>
      <c r="K84" s="40" t="s">
        <v>274</v>
      </c>
      <c r="L84" s="40" t="s">
        <v>440</v>
      </c>
      <c r="M84" s="40" t="s">
        <v>441</v>
      </c>
      <c r="N84" s="10" t="s">
        <v>60</v>
      </c>
      <c r="O84" s="10" t="s">
        <v>28</v>
      </c>
      <c r="P84" s="12" t="s">
        <v>1598</v>
      </c>
      <c r="Q84" s="12" t="s">
        <v>1599</v>
      </c>
      <c r="R84" s="62"/>
      <c r="S84" s="2"/>
      <c r="T84" s="2"/>
      <c r="U84" s="2"/>
      <c r="V84" s="2"/>
      <c r="W84" s="2"/>
      <c r="X84" s="2"/>
      <c r="Y84" s="2"/>
      <c r="Z84" s="2"/>
      <c r="AA84" s="2"/>
      <c r="AB84" s="2"/>
      <c r="AC84" s="2"/>
      <c r="AD84" s="2"/>
    </row>
    <row r="85" spans="1:30" ht="409.5">
      <c r="A85" s="39">
        <v>80</v>
      </c>
      <c r="B85" s="39">
        <v>80</v>
      </c>
      <c r="C85" s="6" t="s">
        <v>1346</v>
      </c>
      <c r="D85" s="5">
        <v>3122090011</v>
      </c>
      <c r="E85" s="70" t="s">
        <v>1347</v>
      </c>
      <c r="F85" s="8">
        <f>VLOOKUP(D85,'Trang tính3'!$B$10:$H$377,7,0)</f>
        <v>96</v>
      </c>
      <c r="G85" s="8" t="str">
        <f>VLOOKUP(D85,'Trang tính2'!$B$1:$D$175,3,0)</f>
        <v>3.27</v>
      </c>
      <c r="H85" s="8"/>
      <c r="I85" s="40" t="s">
        <v>1348</v>
      </c>
      <c r="J85" s="40" t="s">
        <v>1349</v>
      </c>
      <c r="K85" s="40" t="s">
        <v>1350</v>
      </c>
      <c r="L85" s="40" t="s">
        <v>1351</v>
      </c>
      <c r="M85" s="40" t="s">
        <v>1352</v>
      </c>
      <c r="N85" s="10"/>
      <c r="O85" s="10" t="s">
        <v>28</v>
      </c>
      <c r="P85" s="12" t="s">
        <v>1600</v>
      </c>
      <c r="Q85" s="12" t="s">
        <v>1601</v>
      </c>
      <c r="R85" s="63" t="s">
        <v>1353</v>
      </c>
      <c r="S85" s="2"/>
      <c r="T85" s="2"/>
      <c r="U85" s="2"/>
      <c r="V85" s="2"/>
      <c r="W85" s="2"/>
      <c r="X85" s="2"/>
      <c r="Y85" s="2"/>
      <c r="Z85" s="2"/>
      <c r="AA85" s="2"/>
      <c r="AB85" s="2"/>
      <c r="AC85" s="2"/>
      <c r="AD85" s="2"/>
    </row>
    <row r="86" spans="1:30" ht="143">
      <c r="A86" s="39">
        <v>81</v>
      </c>
      <c r="B86" s="39">
        <v>81</v>
      </c>
      <c r="C86" s="6" t="s">
        <v>1356</v>
      </c>
      <c r="D86" s="5">
        <v>3121160003</v>
      </c>
      <c r="E86" s="61"/>
      <c r="F86" s="8">
        <f>VLOOKUP(D86,'Trang tính3'!$B$10:$H$377,7,0)</f>
        <v>95.5</v>
      </c>
      <c r="G86" s="8" t="str">
        <f>VLOOKUP(D86,'Trang tính2'!$B$1:$D$175,3,0)</f>
        <v>4.00</v>
      </c>
      <c r="H86" s="8"/>
      <c r="I86" s="40" t="s">
        <v>1357</v>
      </c>
      <c r="J86" s="40" t="s">
        <v>1358</v>
      </c>
      <c r="K86" s="40" t="s">
        <v>1359</v>
      </c>
      <c r="L86" s="40" t="s">
        <v>1360</v>
      </c>
      <c r="M86" s="40"/>
      <c r="N86" s="10"/>
      <c r="O86" s="10" t="s">
        <v>28</v>
      </c>
      <c r="P86" s="12" t="s">
        <v>1602</v>
      </c>
      <c r="Q86" s="12" t="s">
        <v>1603</v>
      </c>
      <c r="R86" s="61"/>
      <c r="S86" s="2"/>
      <c r="T86" s="2"/>
      <c r="U86" s="2"/>
      <c r="V86" s="2"/>
      <c r="W86" s="2"/>
      <c r="X86" s="2"/>
      <c r="Y86" s="2"/>
      <c r="Z86" s="2"/>
      <c r="AA86" s="2"/>
      <c r="AB86" s="2"/>
      <c r="AC86" s="2"/>
      <c r="AD86" s="2"/>
    </row>
    <row r="87" spans="1:30" ht="409.5">
      <c r="A87" s="39">
        <v>82</v>
      </c>
      <c r="B87" s="39">
        <v>82</v>
      </c>
      <c r="C87" s="6" t="s">
        <v>1361</v>
      </c>
      <c r="D87" s="5">
        <v>3122090004</v>
      </c>
      <c r="E87" s="61"/>
      <c r="F87" s="8">
        <f>VLOOKUP(D87,'Trang tính3'!$B$10:$H$377,7,0)</f>
        <v>93.5</v>
      </c>
      <c r="G87" s="8" t="str">
        <f>VLOOKUP(D87,'Trang tính2'!$B$1:$D$175,3,0)</f>
        <v>3.26</v>
      </c>
      <c r="H87" s="8"/>
      <c r="I87" s="40" t="s">
        <v>1362</v>
      </c>
      <c r="J87" s="40" t="s">
        <v>1363</v>
      </c>
      <c r="K87" s="40" t="s">
        <v>1364</v>
      </c>
      <c r="L87" s="40" t="s">
        <v>1365</v>
      </c>
      <c r="M87" s="40" t="s">
        <v>1366</v>
      </c>
      <c r="N87" s="10"/>
      <c r="O87" s="10" t="s">
        <v>28</v>
      </c>
      <c r="P87" s="12" t="s">
        <v>1604</v>
      </c>
      <c r="Q87" s="12" t="s">
        <v>1605</v>
      </c>
      <c r="R87" s="61"/>
      <c r="S87" s="2"/>
      <c r="T87" s="2"/>
      <c r="U87" s="2"/>
      <c r="V87" s="2"/>
      <c r="W87" s="2"/>
      <c r="X87" s="2"/>
      <c r="Y87" s="2"/>
      <c r="Z87" s="2"/>
      <c r="AA87" s="2"/>
      <c r="AB87" s="2"/>
      <c r="AC87" s="2"/>
      <c r="AD87" s="2"/>
    </row>
    <row r="88" spans="1:30" ht="409.5">
      <c r="A88" s="39">
        <v>83</v>
      </c>
      <c r="B88" s="39">
        <v>83</v>
      </c>
      <c r="C88" s="6" t="s">
        <v>1367</v>
      </c>
      <c r="D88" s="5">
        <v>31221220044</v>
      </c>
      <c r="E88" s="61"/>
      <c r="F88" s="8" t="s">
        <v>195</v>
      </c>
      <c r="G88" s="8" t="s">
        <v>1368</v>
      </c>
      <c r="H88" s="8"/>
      <c r="I88" s="40" t="s">
        <v>1369</v>
      </c>
      <c r="J88" s="40" t="s">
        <v>1370</v>
      </c>
      <c r="K88" s="40" t="s">
        <v>1371</v>
      </c>
      <c r="L88" s="40" t="s">
        <v>1372</v>
      </c>
      <c r="M88" s="40" t="s">
        <v>1373</v>
      </c>
      <c r="N88" s="10"/>
      <c r="O88" s="10" t="s">
        <v>28</v>
      </c>
      <c r="P88" s="12" t="s">
        <v>1606</v>
      </c>
      <c r="Q88" s="12" t="s">
        <v>1607</v>
      </c>
      <c r="R88" s="61"/>
      <c r="S88" s="2"/>
      <c r="T88" s="2"/>
      <c r="U88" s="2"/>
      <c r="V88" s="2"/>
      <c r="W88" s="2"/>
      <c r="X88" s="2"/>
      <c r="Y88" s="2"/>
      <c r="Z88" s="2"/>
      <c r="AA88" s="2"/>
      <c r="AB88" s="2"/>
      <c r="AC88" s="2"/>
      <c r="AD88" s="2"/>
    </row>
    <row r="89" spans="1:30" ht="409.5">
      <c r="A89" s="39">
        <v>84</v>
      </c>
      <c r="B89" s="39">
        <v>84</v>
      </c>
      <c r="C89" s="6" t="s">
        <v>1376</v>
      </c>
      <c r="D89" s="5">
        <v>3122390067</v>
      </c>
      <c r="E89" s="61"/>
      <c r="F89" s="8">
        <f>VLOOKUP(D89,'Trang tính3'!$B$10:$H$377,7,0)</f>
        <v>88.5</v>
      </c>
      <c r="G89" s="8" t="str">
        <f>VLOOKUP(D89,'Trang tính2'!$B$1:$D$175,3,0)</f>
        <v>2.97</v>
      </c>
      <c r="H89" s="8"/>
      <c r="I89" s="40" t="s">
        <v>1377</v>
      </c>
      <c r="J89" s="40" t="s">
        <v>1378</v>
      </c>
      <c r="K89" s="40" t="s">
        <v>1379</v>
      </c>
      <c r="L89" s="40" t="s">
        <v>1380</v>
      </c>
      <c r="M89" s="40" t="s">
        <v>1381</v>
      </c>
      <c r="N89" s="10"/>
      <c r="O89" s="10" t="s">
        <v>28</v>
      </c>
      <c r="P89" s="12" t="s">
        <v>1608</v>
      </c>
      <c r="Q89" s="12" t="s">
        <v>1609</v>
      </c>
      <c r="R89" s="61"/>
      <c r="S89" s="2"/>
      <c r="T89" s="2"/>
      <c r="U89" s="2"/>
      <c r="V89" s="2"/>
      <c r="W89" s="2"/>
      <c r="X89" s="2"/>
      <c r="Y89" s="2"/>
      <c r="Z89" s="2"/>
      <c r="AA89" s="2"/>
      <c r="AB89" s="2"/>
      <c r="AC89" s="2"/>
      <c r="AD89" s="2"/>
    </row>
    <row r="90" spans="1:30" ht="260">
      <c r="A90" s="39">
        <v>85</v>
      </c>
      <c r="B90" s="39">
        <v>85</v>
      </c>
      <c r="C90" s="6" t="s">
        <v>1382</v>
      </c>
      <c r="D90" s="5">
        <v>3122390043</v>
      </c>
      <c r="E90" s="61"/>
      <c r="F90" s="8">
        <f>VLOOKUP(D90,'Trang tính3'!$B$10:$H$377,7,0)</f>
        <v>100</v>
      </c>
      <c r="G90" s="8" t="str">
        <f>VLOOKUP(D90,'Trang tính2'!$B$1:$D$175,3,0)</f>
        <v>3.50</v>
      </c>
      <c r="H90" s="8"/>
      <c r="I90" s="40" t="s">
        <v>1383</v>
      </c>
      <c r="J90" s="40" t="s">
        <v>1384</v>
      </c>
      <c r="K90" s="40" t="s">
        <v>1385</v>
      </c>
      <c r="L90" s="40" t="s">
        <v>1386</v>
      </c>
      <c r="M90" s="40" t="s">
        <v>1387</v>
      </c>
      <c r="N90" s="10"/>
      <c r="O90" s="10" t="s">
        <v>28</v>
      </c>
      <c r="P90" s="12" t="s">
        <v>1610</v>
      </c>
      <c r="Q90" s="12" t="s">
        <v>1611</v>
      </c>
      <c r="R90" s="61"/>
      <c r="S90" s="2"/>
      <c r="T90" s="2"/>
      <c r="U90" s="2"/>
      <c r="V90" s="2"/>
      <c r="W90" s="2"/>
      <c r="X90" s="2"/>
      <c r="Y90" s="2"/>
      <c r="Z90" s="2"/>
      <c r="AA90" s="2"/>
      <c r="AB90" s="2"/>
      <c r="AC90" s="2"/>
      <c r="AD90" s="2"/>
    </row>
    <row r="91" spans="1:30" ht="409.5">
      <c r="A91" s="39">
        <v>86</v>
      </c>
      <c r="B91" s="39">
        <v>86</v>
      </c>
      <c r="C91" s="6" t="s">
        <v>1388</v>
      </c>
      <c r="D91" s="5">
        <v>3123100002</v>
      </c>
      <c r="E91" s="61"/>
      <c r="F91" s="8">
        <f>VLOOKUP(D91,'Trang tính3'!$B$10:$H$377,7,0)</f>
        <v>100</v>
      </c>
      <c r="G91" s="8" t="str">
        <f>VLOOKUP(D91,'Trang tính2'!$B$1:$D$175,3,0)</f>
        <v>3.80</v>
      </c>
      <c r="H91" s="8"/>
      <c r="I91" s="40" t="s">
        <v>1389</v>
      </c>
      <c r="J91" s="40" t="s">
        <v>1390</v>
      </c>
      <c r="K91" s="40" t="s">
        <v>1391</v>
      </c>
      <c r="L91" s="40" t="s">
        <v>1392</v>
      </c>
      <c r="M91" s="40" t="s">
        <v>1393</v>
      </c>
      <c r="N91" s="10"/>
      <c r="O91" s="10" t="s">
        <v>28</v>
      </c>
      <c r="P91" s="12" t="s">
        <v>1612</v>
      </c>
      <c r="Q91" s="12" t="s">
        <v>1613</v>
      </c>
      <c r="R91" s="61"/>
      <c r="S91" s="2"/>
      <c r="T91" s="2"/>
      <c r="U91" s="2"/>
      <c r="V91" s="2"/>
      <c r="W91" s="2"/>
      <c r="X91" s="2"/>
      <c r="Y91" s="2"/>
      <c r="Z91" s="2"/>
      <c r="AA91" s="2"/>
      <c r="AB91" s="2"/>
      <c r="AC91" s="2"/>
      <c r="AD91" s="2"/>
    </row>
    <row r="92" spans="1:30" ht="409.5">
      <c r="A92" s="39">
        <v>87</v>
      </c>
      <c r="B92" s="39">
        <v>87</v>
      </c>
      <c r="C92" s="6" t="s">
        <v>1395</v>
      </c>
      <c r="D92" s="5">
        <v>3123090007</v>
      </c>
      <c r="E92" s="61"/>
      <c r="F92" s="8">
        <f>VLOOKUP(D92,'Trang tính3'!$B$10:$H$377,7,0)</f>
        <v>100</v>
      </c>
      <c r="G92" s="8" t="str">
        <f>VLOOKUP(D92,'Trang tính2'!$B$1:$D$175,3,0)</f>
        <v>3.67</v>
      </c>
      <c r="H92" s="8"/>
      <c r="I92" s="40" t="s">
        <v>1396</v>
      </c>
      <c r="J92" s="40" t="s">
        <v>1397</v>
      </c>
      <c r="K92" s="40" t="s">
        <v>1398</v>
      </c>
      <c r="L92" s="40" t="s">
        <v>1399</v>
      </c>
      <c r="M92" s="40" t="s">
        <v>1400</v>
      </c>
      <c r="N92" s="10"/>
      <c r="O92" s="10" t="s">
        <v>28</v>
      </c>
      <c r="P92" s="12" t="s">
        <v>1614</v>
      </c>
      <c r="Q92" s="12" t="s">
        <v>1615</v>
      </c>
      <c r="R92" s="61"/>
      <c r="S92" s="2"/>
      <c r="T92" s="2"/>
      <c r="U92" s="2"/>
      <c r="V92" s="2"/>
      <c r="W92" s="2"/>
      <c r="X92" s="2"/>
      <c r="Y92" s="2"/>
      <c r="Z92" s="2"/>
      <c r="AA92" s="2"/>
      <c r="AB92" s="2"/>
      <c r="AC92" s="2"/>
      <c r="AD92" s="2"/>
    </row>
    <row r="93" spans="1:30" ht="409.5">
      <c r="A93" s="39">
        <v>88</v>
      </c>
      <c r="B93" s="39">
        <v>88</v>
      </c>
      <c r="C93" s="6" t="s">
        <v>1401</v>
      </c>
      <c r="D93" s="5">
        <v>3121220037</v>
      </c>
      <c r="E93" s="61"/>
      <c r="F93" s="8">
        <f>VLOOKUP(D93,'Trang tính3'!$B$10:$H$377,7,0)</f>
        <v>100</v>
      </c>
      <c r="G93" s="8" t="str">
        <f>VLOOKUP(D93,'Trang tính2'!$B$1:$D$175,3,0)</f>
        <v>3.78</v>
      </c>
      <c r="H93" s="8"/>
      <c r="I93" s="40" t="s">
        <v>1402</v>
      </c>
      <c r="J93" s="40" t="s">
        <v>1403</v>
      </c>
      <c r="K93" s="40" t="s">
        <v>1404</v>
      </c>
      <c r="L93" s="40" t="s">
        <v>1405</v>
      </c>
      <c r="M93" s="40" t="s">
        <v>1406</v>
      </c>
      <c r="N93" s="10"/>
      <c r="O93" s="10" t="s">
        <v>28</v>
      </c>
      <c r="P93" s="12" t="s">
        <v>1616</v>
      </c>
      <c r="Q93" s="12" t="s">
        <v>1617</v>
      </c>
      <c r="R93" s="61"/>
      <c r="S93" s="2"/>
      <c r="T93" s="2"/>
      <c r="U93" s="2"/>
      <c r="V93" s="2"/>
      <c r="W93" s="2"/>
      <c r="X93" s="2"/>
      <c r="Y93" s="2"/>
      <c r="Z93" s="2"/>
      <c r="AA93" s="2"/>
      <c r="AB93" s="2"/>
      <c r="AC93" s="2"/>
      <c r="AD93" s="2"/>
    </row>
    <row r="94" spans="1:30" ht="403">
      <c r="A94" s="39">
        <v>89</v>
      </c>
      <c r="B94" s="39">
        <v>89</v>
      </c>
      <c r="C94" s="6" t="s">
        <v>1407</v>
      </c>
      <c r="D94" s="5">
        <v>3122100001</v>
      </c>
      <c r="E94" s="61"/>
      <c r="F94" s="8">
        <f>VLOOKUP(D94,'Trang tính3'!$B$10:$H$377,7,0)</f>
        <v>100</v>
      </c>
      <c r="G94" s="8" t="str">
        <f>VLOOKUP(D94,'Trang tính2'!$B$1:$D$175,3,0)</f>
        <v>3.34</v>
      </c>
      <c r="H94" s="8"/>
      <c r="I94" s="40" t="s">
        <v>1408</v>
      </c>
      <c r="J94" s="40" t="s">
        <v>1409</v>
      </c>
      <c r="K94" s="40" t="s">
        <v>1410</v>
      </c>
      <c r="L94" s="40" t="s">
        <v>1411</v>
      </c>
      <c r="M94" s="40" t="s">
        <v>1412</v>
      </c>
      <c r="N94" s="10"/>
      <c r="O94" s="10" t="s">
        <v>28</v>
      </c>
      <c r="P94" s="12" t="s">
        <v>1618</v>
      </c>
      <c r="Q94" s="12" t="s">
        <v>1619</v>
      </c>
      <c r="R94" s="61"/>
      <c r="S94" s="2"/>
      <c r="T94" s="2"/>
      <c r="U94" s="2"/>
      <c r="V94" s="2"/>
      <c r="W94" s="2"/>
      <c r="X94" s="2"/>
      <c r="Y94" s="2"/>
      <c r="Z94" s="2"/>
      <c r="AA94" s="2"/>
      <c r="AB94" s="2"/>
      <c r="AC94" s="2"/>
      <c r="AD94" s="2"/>
    </row>
    <row r="95" spans="1:30" ht="409.5">
      <c r="A95" s="39">
        <v>90</v>
      </c>
      <c r="B95" s="39">
        <v>90</v>
      </c>
      <c r="C95" s="6" t="s">
        <v>1415</v>
      </c>
      <c r="D95" s="5">
        <v>3122090022</v>
      </c>
      <c r="E95" s="61"/>
      <c r="F95" s="8">
        <f>VLOOKUP(D95,'Trang tính3'!$B$10:$H$377,7,0)</f>
        <v>100</v>
      </c>
      <c r="G95" s="8" t="str">
        <f>VLOOKUP(D95,'Trang tính2'!$B$1:$D$175,3,0)</f>
        <v>3.45</v>
      </c>
      <c r="H95" s="8"/>
      <c r="I95" s="40" t="s">
        <v>1416</v>
      </c>
      <c r="J95" s="40" t="s">
        <v>1417</v>
      </c>
      <c r="K95" s="40" t="s">
        <v>1418</v>
      </c>
      <c r="L95" s="40" t="s">
        <v>1419</v>
      </c>
      <c r="M95" s="40" t="s">
        <v>1420</v>
      </c>
      <c r="N95" s="10"/>
      <c r="O95" s="10" t="s">
        <v>28</v>
      </c>
      <c r="P95" s="12" t="s">
        <v>1620</v>
      </c>
      <c r="Q95" s="12" t="s">
        <v>1621</v>
      </c>
      <c r="R95" s="61"/>
      <c r="S95" s="2"/>
      <c r="T95" s="2"/>
      <c r="U95" s="2"/>
      <c r="V95" s="2"/>
      <c r="W95" s="2"/>
      <c r="X95" s="2"/>
      <c r="Y95" s="2"/>
      <c r="Z95" s="2"/>
      <c r="AA95" s="2"/>
      <c r="AB95" s="2"/>
      <c r="AC95" s="2"/>
      <c r="AD95" s="2"/>
    </row>
    <row r="96" spans="1:30" ht="409.5">
      <c r="A96" s="39">
        <v>91</v>
      </c>
      <c r="B96" s="39">
        <v>91</v>
      </c>
      <c r="C96" s="6" t="s">
        <v>1421</v>
      </c>
      <c r="D96" s="5">
        <v>3123100004</v>
      </c>
      <c r="E96" s="61"/>
      <c r="F96" s="8" t="s">
        <v>195</v>
      </c>
      <c r="G96" s="8" t="str">
        <f>VLOOKUP(D96,'Trang tính2'!$B$1:$D$175,3,0)</f>
        <v>3.92</v>
      </c>
      <c r="H96" s="8"/>
      <c r="I96" s="40" t="s">
        <v>1422</v>
      </c>
      <c r="J96" s="40" t="s">
        <v>1423</v>
      </c>
      <c r="K96" s="40" t="s">
        <v>1424</v>
      </c>
      <c r="L96" s="40" t="s">
        <v>1425</v>
      </c>
      <c r="M96" s="40" t="s">
        <v>1426</v>
      </c>
      <c r="N96" s="10"/>
      <c r="O96" s="10" t="s">
        <v>28</v>
      </c>
      <c r="P96" s="12" t="s">
        <v>1622</v>
      </c>
      <c r="Q96" s="12" t="s">
        <v>1623</v>
      </c>
      <c r="R96" s="61"/>
      <c r="S96" s="2"/>
      <c r="T96" s="2"/>
      <c r="U96" s="2"/>
      <c r="V96" s="2"/>
      <c r="W96" s="2"/>
      <c r="X96" s="2"/>
      <c r="Y96" s="2"/>
      <c r="Z96" s="2"/>
      <c r="AA96" s="2"/>
      <c r="AB96" s="2"/>
      <c r="AC96" s="2"/>
      <c r="AD96" s="2"/>
    </row>
    <row r="97" spans="1:30" ht="403" hidden="1">
      <c r="A97" s="39">
        <v>92</v>
      </c>
      <c r="B97" s="39">
        <v>92</v>
      </c>
      <c r="C97" s="6" t="s">
        <v>1427</v>
      </c>
      <c r="D97" s="5">
        <v>3121100035</v>
      </c>
      <c r="E97" s="61"/>
      <c r="F97" s="8" t="s">
        <v>720</v>
      </c>
      <c r="G97" s="8" t="s">
        <v>424</v>
      </c>
      <c r="H97" s="8"/>
      <c r="I97" s="40" t="s">
        <v>1428</v>
      </c>
      <c r="J97" s="40" t="s">
        <v>1429</v>
      </c>
      <c r="K97" s="40" t="s">
        <v>1326</v>
      </c>
      <c r="L97" s="40" t="s">
        <v>1430</v>
      </c>
      <c r="M97" s="40" t="s">
        <v>1431</v>
      </c>
      <c r="N97" s="10" t="s">
        <v>60</v>
      </c>
      <c r="O97" s="10" t="s">
        <v>28</v>
      </c>
      <c r="P97" s="12" t="s">
        <v>1624</v>
      </c>
      <c r="Q97" s="12" t="s">
        <v>1625</v>
      </c>
      <c r="R97" s="61"/>
      <c r="S97" s="2"/>
      <c r="T97" s="2"/>
      <c r="U97" s="2"/>
      <c r="V97" s="2"/>
      <c r="W97" s="2"/>
      <c r="X97" s="2"/>
      <c r="Y97" s="2"/>
      <c r="Z97" s="2"/>
      <c r="AA97" s="2"/>
      <c r="AB97" s="2"/>
      <c r="AC97" s="2"/>
      <c r="AD97" s="2"/>
    </row>
    <row r="98" spans="1:30" ht="409.5" hidden="1">
      <c r="A98" s="39">
        <v>93</v>
      </c>
      <c r="B98" s="39">
        <v>93</v>
      </c>
      <c r="C98" s="6" t="s">
        <v>1432</v>
      </c>
      <c r="D98" s="5">
        <v>3123090025</v>
      </c>
      <c r="E98" s="61"/>
      <c r="F98" s="8" t="s">
        <v>175</v>
      </c>
      <c r="G98" s="8" t="s">
        <v>1433</v>
      </c>
      <c r="H98" s="8"/>
      <c r="I98" s="40" t="s">
        <v>1434</v>
      </c>
      <c r="J98" s="40" t="s">
        <v>1435</v>
      </c>
      <c r="K98" s="40" t="s">
        <v>1326</v>
      </c>
      <c r="L98" s="40" t="s">
        <v>1436</v>
      </c>
      <c r="M98" s="40" t="s">
        <v>1437</v>
      </c>
      <c r="N98" s="10" t="s">
        <v>60</v>
      </c>
      <c r="O98" s="10" t="s">
        <v>28</v>
      </c>
      <c r="P98" s="12" t="s">
        <v>1626</v>
      </c>
      <c r="Q98" s="12" t="s">
        <v>1627</v>
      </c>
      <c r="R98" s="61"/>
      <c r="S98" s="2"/>
      <c r="T98" s="2"/>
      <c r="U98" s="2"/>
      <c r="V98" s="2"/>
      <c r="W98" s="2"/>
      <c r="X98" s="2"/>
      <c r="Y98" s="2"/>
      <c r="Z98" s="2"/>
      <c r="AA98" s="2"/>
      <c r="AB98" s="2"/>
      <c r="AC98" s="2"/>
      <c r="AD98" s="2"/>
    </row>
    <row r="99" spans="1:30" ht="390" hidden="1">
      <c r="A99" s="39">
        <v>94</v>
      </c>
      <c r="B99" s="39">
        <v>94</v>
      </c>
      <c r="C99" s="6" t="s">
        <v>1438</v>
      </c>
      <c r="D99" s="5">
        <v>3121170017</v>
      </c>
      <c r="E99" s="61"/>
      <c r="F99" s="8" t="s">
        <v>755</v>
      </c>
      <c r="G99" s="8" t="s">
        <v>756</v>
      </c>
      <c r="H99" s="8"/>
      <c r="I99" s="40" t="s">
        <v>1439</v>
      </c>
      <c r="J99" s="40" t="s">
        <v>1440</v>
      </c>
      <c r="K99" s="40" t="s">
        <v>1441</v>
      </c>
      <c r="L99" s="40" t="s">
        <v>1442</v>
      </c>
      <c r="M99" s="40" t="s">
        <v>1443</v>
      </c>
      <c r="N99" s="10" t="s">
        <v>60</v>
      </c>
      <c r="O99" s="10" t="s">
        <v>28</v>
      </c>
      <c r="P99" s="12" t="s">
        <v>1628</v>
      </c>
      <c r="Q99" s="12" t="s">
        <v>1629</v>
      </c>
      <c r="R99" s="61"/>
      <c r="S99" s="2"/>
      <c r="T99" s="2"/>
      <c r="U99" s="2"/>
      <c r="V99" s="2"/>
      <c r="W99" s="2"/>
      <c r="X99" s="2"/>
      <c r="Y99" s="2"/>
      <c r="Z99" s="2"/>
      <c r="AA99" s="2"/>
      <c r="AB99" s="2"/>
      <c r="AC99" s="2"/>
      <c r="AD99" s="2"/>
    </row>
    <row r="100" spans="1:30" ht="409.5" hidden="1">
      <c r="A100" s="39">
        <v>95</v>
      </c>
      <c r="B100" s="39">
        <v>95</v>
      </c>
      <c r="C100" s="6" t="s">
        <v>1444</v>
      </c>
      <c r="D100" s="5">
        <v>3121100030</v>
      </c>
      <c r="E100" s="61"/>
      <c r="F100" s="8" t="s">
        <v>195</v>
      </c>
      <c r="G100" s="8" t="s">
        <v>1445</v>
      </c>
      <c r="H100" s="8"/>
      <c r="I100" s="40" t="s">
        <v>1446</v>
      </c>
      <c r="J100" s="40" t="s">
        <v>1447</v>
      </c>
      <c r="K100" s="40" t="s">
        <v>1448</v>
      </c>
      <c r="L100" s="40" t="s">
        <v>1449</v>
      </c>
      <c r="M100" s="40" t="s">
        <v>1450</v>
      </c>
      <c r="N100" s="10" t="s">
        <v>60</v>
      </c>
      <c r="O100" s="10" t="s">
        <v>28</v>
      </c>
      <c r="P100" s="12" t="s">
        <v>1630</v>
      </c>
      <c r="Q100" s="12" t="s">
        <v>1631</v>
      </c>
      <c r="R100" s="61"/>
      <c r="S100" s="2"/>
      <c r="T100" s="2"/>
      <c r="U100" s="2"/>
      <c r="V100" s="2"/>
      <c r="W100" s="2"/>
      <c r="X100" s="2"/>
      <c r="Y100" s="2"/>
      <c r="Z100" s="2"/>
      <c r="AA100" s="2"/>
      <c r="AB100" s="2"/>
      <c r="AC100" s="2"/>
      <c r="AD100" s="2"/>
    </row>
    <row r="101" spans="1:30" ht="409.5" hidden="1">
      <c r="A101" s="39">
        <v>96</v>
      </c>
      <c r="B101" s="39">
        <v>96</v>
      </c>
      <c r="C101" s="6" t="s">
        <v>1451</v>
      </c>
      <c r="D101" s="5">
        <v>3121090022</v>
      </c>
      <c r="E101" s="61"/>
      <c r="F101" s="8" t="s">
        <v>195</v>
      </c>
      <c r="G101" s="8" t="s">
        <v>1261</v>
      </c>
      <c r="H101" s="8"/>
      <c r="I101" s="40" t="s">
        <v>1452</v>
      </c>
      <c r="J101" s="40" t="s">
        <v>1453</v>
      </c>
      <c r="K101" s="40" t="s">
        <v>1326</v>
      </c>
      <c r="L101" s="40" t="s">
        <v>1454</v>
      </c>
      <c r="M101" s="40" t="s">
        <v>1455</v>
      </c>
      <c r="N101" s="10" t="s">
        <v>60</v>
      </c>
      <c r="O101" s="10" t="s">
        <v>28</v>
      </c>
      <c r="P101" s="12" t="s">
        <v>1632</v>
      </c>
      <c r="Q101" s="12" t="s">
        <v>1633</v>
      </c>
      <c r="R101" s="61"/>
      <c r="S101" s="2"/>
      <c r="T101" s="2"/>
      <c r="U101" s="2"/>
      <c r="V101" s="2"/>
      <c r="W101" s="2"/>
      <c r="X101" s="2"/>
      <c r="Y101" s="2"/>
      <c r="Z101" s="2"/>
      <c r="AA101" s="2"/>
      <c r="AB101" s="2"/>
      <c r="AC101" s="2"/>
      <c r="AD101" s="2"/>
    </row>
    <row r="102" spans="1:30" ht="409.5" hidden="1">
      <c r="A102" s="39">
        <v>97</v>
      </c>
      <c r="B102" s="39">
        <v>97</v>
      </c>
      <c r="C102" s="6" t="s">
        <v>1456</v>
      </c>
      <c r="D102" s="5">
        <v>3123090039</v>
      </c>
      <c r="E102" s="62"/>
      <c r="F102" s="8" t="s">
        <v>1301</v>
      </c>
      <c r="G102" s="8" t="s">
        <v>1457</v>
      </c>
      <c r="H102" s="8"/>
      <c r="I102" s="40" t="s">
        <v>1458</v>
      </c>
      <c r="J102" s="40" t="s">
        <v>1459</v>
      </c>
      <c r="K102" s="40" t="s">
        <v>1326</v>
      </c>
      <c r="L102" s="40" t="s">
        <v>1460</v>
      </c>
      <c r="M102" s="40" t="s">
        <v>1461</v>
      </c>
      <c r="N102" s="10" t="s">
        <v>60</v>
      </c>
      <c r="O102" s="10" t="s">
        <v>28</v>
      </c>
      <c r="P102" s="12" t="s">
        <v>1634</v>
      </c>
      <c r="Q102" s="12" t="s">
        <v>1635</v>
      </c>
      <c r="R102" s="62"/>
      <c r="S102" s="2"/>
      <c r="T102" s="2"/>
      <c r="U102" s="2"/>
      <c r="V102" s="2"/>
      <c r="W102" s="2"/>
      <c r="X102" s="2"/>
      <c r="Y102" s="2"/>
      <c r="Z102" s="2"/>
      <c r="AA102" s="2"/>
      <c r="AB102" s="2"/>
      <c r="AC102" s="2"/>
      <c r="AD102" s="2"/>
    </row>
    <row r="103" spans="1:30" ht="390">
      <c r="A103" s="39">
        <v>98</v>
      </c>
      <c r="B103" s="39">
        <v>98</v>
      </c>
      <c r="C103" s="6" t="s">
        <v>762</v>
      </c>
      <c r="D103" s="5">
        <v>3124130015</v>
      </c>
      <c r="E103" s="68" t="s">
        <v>763</v>
      </c>
      <c r="F103" s="8">
        <f>VLOOKUP(D103,'Trang tính3'!$B$10:$H$377,7,0)</f>
        <v>98.3</v>
      </c>
      <c r="G103" s="8" t="str">
        <f>VLOOKUP(D103,'Trang tính2'!$B$1:$D$175,3,0)</f>
        <v>3.58</v>
      </c>
      <c r="H103" s="8"/>
      <c r="I103" s="40" t="s">
        <v>764</v>
      </c>
      <c r="J103" s="40" t="s">
        <v>765</v>
      </c>
      <c r="K103" s="40" t="s">
        <v>766</v>
      </c>
      <c r="L103" s="40" t="s">
        <v>767</v>
      </c>
      <c r="M103" s="40" t="s">
        <v>768</v>
      </c>
      <c r="N103" s="10"/>
      <c r="O103" s="10" t="s">
        <v>28</v>
      </c>
      <c r="P103" s="12" t="s">
        <v>1636</v>
      </c>
      <c r="Q103" s="12" t="s">
        <v>769</v>
      </c>
      <c r="R103" s="60" t="s">
        <v>770</v>
      </c>
      <c r="S103" s="2"/>
      <c r="T103" s="2"/>
      <c r="U103" s="2"/>
      <c r="V103" s="2"/>
      <c r="W103" s="2"/>
      <c r="X103" s="2"/>
      <c r="Y103" s="2"/>
      <c r="Z103" s="2"/>
      <c r="AA103" s="2"/>
      <c r="AB103" s="2"/>
      <c r="AC103" s="2"/>
      <c r="AD103" s="2"/>
    </row>
    <row r="104" spans="1:30" ht="409.5">
      <c r="A104" s="39">
        <v>99</v>
      </c>
      <c r="B104" s="39">
        <v>99</v>
      </c>
      <c r="C104" s="6" t="s">
        <v>771</v>
      </c>
      <c r="D104" s="5">
        <v>3123380133</v>
      </c>
      <c r="E104" s="61"/>
      <c r="F104" s="8">
        <f>VLOOKUP(D104,'Trang tính3'!$B$10:$H$377,7,0)</f>
        <v>100</v>
      </c>
      <c r="G104" s="8" t="str">
        <f>VLOOKUP(D104,'Trang tính2'!$B$1:$D$175,3,0)</f>
        <v>3.76</v>
      </c>
      <c r="H104" s="8"/>
      <c r="I104" s="40" t="s">
        <v>772</v>
      </c>
      <c r="J104" s="40" t="s">
        <v>773</v>
      </c>
      <c r="K104" s="40" t="s">
        <v>774</v>
      </c>
      <c r="L104" s="40" t="s">
        <v>775</v>
      </c>
      <c r="M104" s="40" t="s">
        <v>776</v>
      </c>
      <c r="N104" s="10"/>
      <c r="O104" s="10" t="s">
        <v>28</v>
      </c>
      <c r="P104" s="12" t="s">
        <v>1637</v>
      </c>
      <c r="Q104" s="12" t="s">
        <v>777</v>
      </c>
      <c r="R104" s="61"/>
      <c r="S104" s="2"/>
      <c r="T104" s="2"/>
      <c r="U104" s="2"/>
      <c r="V104" s="2"/>
      <c r="W104" s="2"/>
      <c r="X104" s="2"/>
      <c r="Y104" s="2"/>
      <c r="Z104" s="2"/>
      <c r="AA104" s="2"/>
      <c r="AB104" s="2"/>
      <c r="AC104" s="2"/>
      <c r="AD104" s="2"/>
    </row>
    <row r="105" spans="1:30" ht="409.5">
      <c r="A105" s="39">
        <v>100</v>
      </c>
      <c r="B105" s="39">
        <v>100</v>
      </c>
      <c r="C105" s="6" t="s">
        <v>778</v>
      </c>
      <c r="D105" s="5">
        <v>3124130045</v>
      </c>
      <c r="E105" s="61"/>
      <c r="F105" s="8">
        <f>VLOOKUP(D105,'Trang tính3'!$B$10:$H$377,7,0)</f>
        <v>96</v>
      </c>
      <c r="G105" s="8" t="str">
        <f>VLOOKUP(D105,'Trang tính2'!$B$1:$D$175,3,0)</f>
        <v>3.79</v>
      </c>
      <c r="H105" s="8"/>
      <c r="I105" s="40" t="s">
        <v>779</v>
      </c>
      <c r="J105" s="40" t="s">
        <v>780</v>
      </c>
      <c r="K105" s="40" t="s">
        <v>781</v>
      </c>
      <c r="L105" s="40" t="s">
        <v>782</v>
      </c>
      <c r="M105" s="40" t="s">
        <v>783</v>
      </c>
      <c r="N105" s="10"/>
      <c r="O105" s="10" t="s">
        <v>28</v>
      </c>
      <c r="P105" s="12" t="s">
        <v>1638</v>
      </c>
      <c r="Q105" s="12" t="s">
        <v>784</v>
      </c>
      <c r="R105" s="61"/>
      <c r="S105" s="2"/>
      <c r="T105" s="2"/>
      <c r="U105" s="2"/>
      <c r="V105" s="2"/>
      <c r="W105" s="2"/>
      <c r="X105" s="2"/>
      <c r="Y105" s="2"/>
      <c r="Z105" s="2"/>
      <c r="AA105" s="2"/>
      <c r="AB105" s="2"/>
      <c r="AC105" s="2"/>
      <c r="AD105" s="2"/>
    </row>
    <row r="106" spans="1:30" ht="377">
      <c r="A106" s="39">
        <v>101</v>
      </c>
      <c r="B106" s="39">
        <v>101</v>
      </c>
      <c r="C106" s="6" t="s">
        <v>785</v>
      </c>
      <c r="D106" s="5">
        <v>3123130143</v>
      </c>
      <c r="E106" s="61"/>
      <c r="F106" s="8">
        <f>VLOOKUP(D106,'Trang tính3'!$B$10:$H$377,7,0)</f>
        <v>100</v>
      </c>
      <c r="G106" s="8" t="str">
        <f>VLOOKUP(D106,'Trang tính2'!$B$1:$D$175,3,0)</f>
        <v>3.59</v>
      </c>
      <c r="H106" s="8"/>
      <c r="I106" s="40" t="s">
        <v>786</v>
      </c>
      <c r="J106" s="40" t="s">
        <v>787</v>
      </c>
      <c r="K106" s="40" t="s">
        <v>788</v>
      </c>
      <c r="L106" s="40" t="s">
        <v>789</v>
      </c>
      <c r="M106" s="40" t="s">
        <v>790</v>
      </c>
      <c r="N106" s="10"/>
      <c r="O106" s="10" t="s">
        <v>28</v>
      </c>
      <c r="P106" s="12" t="s">
        <v>1639</v>
      </c>
      <c r="Q106" s="12" t="s">
        <v>791</v>
      </c>
      <c r="R106" s="61"/>
      <c r="S106" s="2"/>
      <c r="T106" s="2"/>
      <c r="U106" s="2"/>
      <c r="V106" s="2"/>
      <c r="W106" s="2"/>
      <c r="X106" s="2"/>
      <c r="Y106" s="2"/>
      <c r="Z106" s="2"/>
      <c r="AA106" s="2"/>
      <c r="AB106" s="2"/>
      <c r="AC106" s="2"/>
      <c r="AD106" s="2"/>
    </row>
    <row r="107" spans="1:30" ht="409.5">
      <c r="A107" s="39">
        <v>102</v>
      </c>
      <c r="B107" s="39">
        <v>102</v>
      </c>
      <c r="C107" s="6" t="s">
        <v>792</v>
      </c>
      <c r="D107" s="5">
        <v>3121130125</v>
      </c>
      <c r="E107" s="61"/>
      <c r="F107" s="8">
        <f>VLOOKUP(D107,'Trang tính3'!$B$10:$H$377,7,0)</f>
        <v>100</v>
      </c>
      <c r="G107" s="8" t="str">
        <f>VLOOKUP(D107,'Trang tính2'!$B$1:$D$175,3,0)</f>
        <v>3.92</v>
      </c>
      <c r="H107" s="8"/>
      <c r="I107" s="40" t="s">
        <v>793</v>
      </c>
      <c r="J107" s="40" t="s">
        <v>794</v>
      </c>
      <c r="K107" s="40" t="s">
        <v>626</v>
      </c>
      <c r="L107" s="40" t="s">
        <v>795</v>
      </c>
      <c r="M107" s="40" t="s">
        <v>796</v>
      </c>
      <c r="N107" s="10"/>
      <c r="O107" s="10" t="s">
        <v>28</v>
      </c>
      <c r="P107" s="12" t="s">
        <v>1640</v>
      </c>
      <c r="Q107" s="12" t="s">
        <v>797</v>
      </c>
      <c r="R107" s="61"/>
      <c r="S107" s="2"/>
      <c r="T107" s="2"/>
      <c r="U107" s="2"/>
      <c r="V107" s="2"/>
      <c r="W107" s="2"/>
      <c r="X107" s="2"/>
      <c r="Y107" s="2"/>
      <c r="Z107" s="2"/>
      <c r="AA107" s="2"/>
      <c r="AB107" s="2"/>
      <c r="AC107" s="2"/>
      <c r="AD107" s="2"/>
    </row>
    <row r="108" spans="1:30" ht="409.5">
      <c r="A108" s="39">
        <v>103</v>
      </c>
      <c r="B108" s="39">
        <v>103</v>
      </c>
      <c r="C108" s="6" t="s">
        <v>798</v>
      </c>
      <c r="D108" s="5">
        <v>3123130104</v>
      </c>
      <c r="E108" s="61"/>
      <c r="F108" s="8">
        <f>VLOOKUP(D108,'Trang tính3'!$B$10:$H$377,7,0)</f>
        <v>100</v>
      </c>
      <c r="G108" s="8" t="str">
        <f>VLOOKUP(D108,'Trang tính2'!$B$1:$D$175,3,0)</f>
        <v>3.85</v>
      </c>
      <c r="H108" s="8"/>
      <c r="I108" s="40" t="s">
        <v>799</v>
      </c>
      <c r="J108" s="40" t="s">
        <v>800</v>
      </c>
      <c r="K108" s="40" t="s">
        <v>801</v>
      </c>
      <c r="L108" s="40" t="s">
        <v>802</v>
      </c>
      <c r="M108" s="40" t="s">
        <v>803</v>
      </c>
      <c r="N108" s="10"/>
      <c r="O108" s="10" t="s">
        <v>28</v>
      </c>
      <c r="P108" s="12" t="s">
        <v>1641</v>
      </c>
      <c r="Q108" s="12" t="s">
        <v>804</v>
      </c>
      <c r="R108" s="61"/>
      <c r="S108" s="2"/>
      <c r="T108" s="2"/>
      <c r="U108" s="2"/>
      <c r="V108" s="2"/>
      <c r="W108" s="2"/>
      <c r="X108" s="2"/>
      <c r="Y108" s="2"/>
      <c r="Z108" s="2"/>
      <c r="AA108" s="2"/>
      <c r="AB108" s="2"/>
      <c r="AC108" s="2"/>
      <c r="AD108" s="2"/>
    </row>
    <row r="109" spans="1:30" ht="299">
      <c r="A109" s="39">
        <v>104</v>
      </c>
      <c r="B109" s="39">
        <v>104</v>
      </c>
      <c r="C109" s="6" t="s">
        <v>805</v>
      </c>
      <c r="D109" s="5">
        <v>3124130009</v>
      </c>
      <c r="E109" s="61"/>
      <c r="F109" s="8">
        <f>VLOOKUP(D109,'Trang tính3'!$B$10:$H$377,7,0)</f>
        <v>97.3</v>
      </c>
      <c r="G109" s="8" t="str">
        <f>VLOOKUP(D109,'Trang tính2'!$B$1:$D$175,3,0)</f>
        <v>3.72</v>
      </c>
      <c r="H109" s="8"/>
      <c r="I109" s="40" t="s">
        <v>806</v>
      </c>
      <c r="J109" s="40" t="s">
        <v>807</v>
      </c>
      <c r="K109" s="40" t="s">
        <v>808</v>
      </c>
      <c r="L109" s="40" t="s">
        <v>809</v>
      </c>
      <c r="M109" s="40" t="s">
        <v>810</v>
      </c>
      <c r="N109" s="10"/>
      <c r="O109" s="10" t="s">
        <v>28</v>
      </c>
      <c r="P109" s="12" t="s">
        <v>1642</v>
      </c>
      <c r="Q109" s="12" t="s">
        <v>811</v>
      </c>
      <c r="R109" s="61"/>
      <c r="S109" s="2"/>
      <c r="T109" s="2"/>
      <c r="U109" s="2"/>
      <c r="V109" s="2"/>
      <c r="W109" s="2"/>
      <c r="X109" s="2"/>
      <c r="Y109" s="2"/>
      <c r="Z109" s="2"/>
      <c r="AA109" s="2"/>
      <c r="AB109" s="2"/>
      <c r="AC109" s="2"/>
      <c r="AD109" s="2"/>
    </row>
    <row r="110" spans="1:30" ht="409.5">
      <c r="A110" s="39">
        <v>105</v>
      </c>
      <c r="B110" s="39">
        <v>105</v>
      </c>
      <c r="C110" s="6" t="s">
        <v>812</v>
      </c>
      <c r="D110" s="5">
        <v>3123380226</v>
      </c>
      <c r="E110" s="61"/>
      <c r="F110" s="8">
        <f>VLOOKUP(D110,'Trang tính3'!$B$10:$H$377,7,0)</f>
        <v>100</v>
      </c>
      <c r="G110" s="8" t="str">
        <f>VLOOKUP(D110,'Trang tính2'!$B$1:$D$175,3,0)</f>
        <v>3.49</v>
      </c>
      <c r="H110" s="8"/>
      <c r="I110" s="40" t="s">
        <v>813</v>
      </c>
      <c r="J110" s="40" t="s">
        <v>814</v>
      </c>
      <c r="K110" s="40" t="s">
        <v>815</v>
      </c>
      <c r="L110" s="40" t="s">
        <v>816</v>
      </c>
      <c r="M110" s="40" t="s">
        <v>817</v>
      </c>
      <c r="N110" s="10"/>
      <c r="O110" s="10" t="s">
        <v>28</v>
      </c>
      <c r="P110" s="12" t="s">
        <v>1643</v>
      </c>
      <c r="Q110" s="12" t="s">
        <v>818</v>
      </c>
      <c r="R110" s="61"/>
      <c r="S110" s="2"/>
      <c r="T110" s="2"/>
      <c r="U110" s="2"/>
      <c r="V110" s="2"/>
      <c r="W110" s="2"/>
      <c r="X110" s="2"/>
      <c r="Y110" s="2"/>
      <c r="Z110" s="2"/>
      <c r="AA110" s="2"/>
      <c r="AB110" s="2"/>
      <c r="AC110" s="2"/>
      <c r="AD110" s="2"/>
    </row>
    <row r="111" spans="1:30" ht="351" hidden="1">
      <c r="A111" s="39">
        <v>106</v>
      </c>
      <c r="B111" s="39">
        <v>106</v>
      </c>
      <c r="C111" s="6" t="s">
        <v>819</v>
      </c>
      <c r="D111" s="39">
        <v>3121380156</v>
      </c>
      <c r="E111" s="61"/>
      <c r="F111" s="8" t="s">
        <v>382</v>
      </c>
      <c r="G111" s="8" t="s">
        <v>383</v>
      </c>
      <c r="H111" s="8"/>
      <c r="I111" s="40" t="s">
        <v>820</v>
      </c>
      <c r="J111" s="40" t="s">
        <v>821</v>
      </c>
      <c r="K111" s="40" t="s">
        <v>739</v>
      </c>
      <c r="L111" s="40" t="s">
        <v>822</v>
      </c>
      <c r="M111" s="40" t="s">
        <v>823</v>
      </c>
      <c r="N111" s="29" t="s">
        <v>60</v>
      </c>
      <c r="O111" s="10" t="s">
        <v>28</v>
      </c>
      <c r="P111" s="12" t="s">
        <v>1644</v>
      </c>
      <c r="Q111" s="30" t="s">
        <v>824</v>
      </c>
      <c r="R111" s="61"/>
      <c r="S111" s="2"/>
      <c r="T111" s="2"/>
      <c r="U111" s="2"/>
      <c r="V111" s="2"/>
      <c r="W111" s="2"/>
      <c r="X111" s="2"/>
      <c r="Y111" s="2"/>
      <c r="Z111" s="2"/>
      <c r="AA111" s="2"/>
      <c r="AB111" s="2"/>
      <c r="AC111" s="2"/>
      <c r="AD111" s="2"/>
    </row>
    <row r="112" spans="1:30" ht="351">
      <c r="A112" s="39">
        <v>107</v>
      </c>
      <c r="B112" s="39">
        <v>107</v>
      </c>
      <c r="C112" s="6" t="s">
        <v>825</v>
      </c>
      <c r="D112" s="5">
        <v>3122380297</v>
      </c>
      <c r="E112" s="61"/>
      <c r="F112" s="8">
        <f>VLOOKUP(D112,'Trang tính3'!$B$10:$H$377,7,0)</f>
        <v>93.5</v>
      </c>
      <c r="G112" s="8" t="str">
        <f>VLOOKUP(D112,'Trang tính2'!$B$1:$D$175,3,0)</f>
        <v>2.83</v>
      </c>
      <c r="H112" s="8"/>
      <c r="I112" s="40" t="s">
        <v>826</v>
      </c>
      <c r="J112" s="40" t="s">
        <v>827</v>
      </c>
      <c r="K112" s="40" t="s">
        <v>766</v>
      </c>
      <c r="L112" s="40" t="s">
        <v>828</v>
      </c>
      <c r="M112" s="40" t="s">
        <v>829</v>
      </c>
      <c r="N112" s="10"/>
      <c r="O112" s="10" t="s">
        <v>28</v>
      </c>
      <c r="P112" s="12" t="s">
        <v>1645</v>
      </c>
      <c r="Q112" s="12" t="s">
        <v>830</v>
      </c>
      <c r="R112" s="61"/>
      <c r="S112" s="2"/>
      <c r="T112" s="2"/>
      <c r="U112" s="2"/>
      <c r="V112" s="2"/>
      <c r="W112" s="2"/>
      <c r="X112" s="2"/>
      <c r="Y112" s="2"/>
      <c r="Z112" s="2"/>
      <c r="AA112" s="2"/>
      <c r="AB112" s="2"/>
      <c r="AC112" s="2"/>
      <c r="AD112" s="2"/>
    </row>
    <row r="113" spans="1:30" ht="403">
      <c r="A113" s="39">
        <v>108</v>
      </c>
      <c r="B113" s="39">
        <v>108</v>
      </c>
      <c r="C113" s="6" t="s">
        <v>831</v>
      </c>
      <c r="D113" s="5">
        <v>3123130056</v>
      </c>
      <c r="E113" s="61"/>
      <c r="F113" s="8">
        <f>VLOOKUP(D113,'Trang tính3'!$B$10:$H$377,7,0)</f>
        <v>94</v>
      </c>
      <c r="G113" s="8" t="str">
        <f>VLOOKUP(D113,'Trang tính2'!$B$1:$D$175,3,0)</f>
        <v>3.67</v>
      </c>
      <c r="H113" s="8"/>
      <c r="I113" s="40" t="s">
        <v>832</v>
      </c>
      <c r="J113" s="40" t="s">
        <v>833</v>
      </c>
      <c r="K113" s="40" t="s">
        <v>834</v>
      </c>
      <c r="L113" s="40" t="s">
        <v>835</v>
      </c>
      <c r="M113" s="40" t="s">
        <v>836</v>
      </c>
      <c r="N113" s="10"/>
      <c r="O113" s="10" t="s">
        <v>28</v>
      </c>
      <c r="P113" s="12" t="s">
        <v>1646</v>
      </c>
      <c r="Q113" s="12" t="s">
        <v>837</v>
      </c>
      <c r="R113" s="61"/>
      <c r="S113" s="2"/>
      <c r="T113" s="2"/>
      <c r="U113" s="2"/>
      <c r="V113" s="2"/>
      <c r="W113" s="2"/>
      <c r="X113" s="2"/>
      <c r="Y113" s="2"/>
      <c r="Z113" s="2"/>
      <c r="AA113" s="2"/>
      <c r="AB113" s="2"/>
      <c r="AC113" s="2"/>
      <c r="AD113" s="2"/>
    </row>
    <row r="114" spans="1:30" ht="312">
      <c r="A114" s="39">
        <v>109</v>
      </c>
      <c r="B114" s="39">
        <v>109</v>
      </c>
      <c r="C114" s="6" t="s">
        <v>838</v>
      </c>
      <c r="D114" s="5">
        <v>3122380306</v>
      </c>
      <c r="E114" s="61"/>
      <c r="F114" s="8">
        <f>VLOOKUP(D114,'Trang tính3'!$B$10:$H$377,7,0)</f>
        <v>96.5</v>
      </c>
      <c r="G114" s="8" t="str">
        <f>VLOOKUP(D114,'Trang tính2'!$B$1:$D$175,3,0)</f>
        <v>3.75</v>
      </c>
      <c r="H114" s="8"/>
      <c r="I114" s="40" t="s">
        <v>839</v>
      </c>
      <c r="J114" s="40" t="s">
        <v>787</v>
      </c>
      <c r="K114" s="40" t="s">
        <v>840</v>
      </c>
      <c r="L114" s="40" t="s">
        <v>841</v>
      </c>
      <c r="M114" s="40" t="s">
        <v>842</v>
      </c>
      <c r="N114" s="10"/>
      <c r="O114" s="10" t="s">
        <v>28</v>
      </c>
      <c r="P114" s="12" t="s">
        <v>1647</v>
      </c>
      <c r="Q114" s="12" t="s">
        <v>843</v>
      </c>
      <c r="R114" s="61"/>
      <c r="S114" s="2"/>
      <c r="T114" s="2"/>
      <c r="U114" s="2"/>
      <c r="V114" s="2"/>
      <c r="W114" s="2"/>
      <c r="X114" s="2"/>
      <c r="Y114" s="2"/>
      <c r="Z114" s="2"/>
      <c r="AA114" s="2"/>
      <c r="AB114" s="2"/>
      <c r="AC114" s="2"/>
      <c r="AD114" s="2"/>
    </row>
    <row r="115" spans="1:30" ht="273">
      <c r="A115" s="39">
        <v>110</v>
      </c>
      <c r="B115" s="39">
        <v>110</v>
      </c>
      <c r="C115" s="6" t="s">
        <v>844</v>
      </c>
      <c r="D115" s="5">
        <v>3121130006</v>
      </c>
      <c r="E115" s="61"/>
      <c r="F115" s="8">
        <f>VLOOKUP(D115,'Trang tính3'!$B$10:$H$377,7,0)</f>
        <v>98</v>
      </c>
      <c r="G115" s="8" t="str">
        <f>VLOOKUP(D115,'Trang tính2'!$B$1:$D$175,3,0)</f>
        <v>3.67</v>
      </c>
      <c r="H115" s="8"/>
      <c r="I115" s="40" t="s">
        <v>845</v>
      </c>
      <c r="J115" s="40" t="s">
        <v>846</v>
      </c>
      <c r="K115" s="40" t="s">
        <v>847</v>
      </c>
      <c r="L115" s="40" t="s">
        <v>848</v>
      </c>
      <c r="M115" s="40" t="s">
        <v>849</v>
      </c>
      <c r="N115" s="10"/>
      <c r="O115" s="10" t="s">
        <v>28</v>
      </c>
      <c r="P115" s="12" t="s">
        <v>1648</v>
      </c>
      <c r="Q115" s="12" t="s">
        <v>850</v>
      </c>
      <c r="R115" s="61"/>
      <c r="S115" s="2"/>
      <c r="T115" s="2"/>
      <c r="U115" s="2"/>
      <c r="V115" s="2"/>
      <c r="W115" s="2"/>
      <c r="X115" s="2"/>
      <c r="Y115" s="2"/>
      <c r="Z115" s="2"/>
      <c r="AA115" s="2"/>
      <c r="AB115" s="2"/>
      <c r="AC115" s="2"/>
      <c r="AD115" s="2"/>
    </row>
    <row r="116" spans="1:30" ht="409.5">
      <c r="A116" s="39">
        <v>111</v>
      </c>
      <c r="B116" s="39">
        <v>111</v>
      </c>
      <c r="C116" s="6" t="s">
        <v>851</v>
      </c>
      <c r="D116" s="5">
        <v>3121380069</v>
      </c>
      <c r="E116" s="61"/>
      <c r="F116" s="8">
        <f>VLOOKUP(D116,'Trang tính3'!$B$10:$H$377,7,0)</f>
        <v>100</v>
      </c>
      <c r="G116" s="8" t="str">
        <f>VLOOKUP(D116,'Trang tính2'!$B$1:$D$175,3,0)</f>
        <v>4.00</v>
      </c>
      <c r="H116" s="8"/>
      <c r="I116" s="40" t="s">
        <v>852</v>
      </c>
      <c r="J116" s="40" t="s">
        <v>853</v>
      </c>
      <c r="K116" s="40" t="s">
        <v>854</v>
      </c>
      <c r="L116" s="40" t="s">
        <v>855</v>
      </c>
      <c r="M116" s="40" t="s">
        <v>856</v>
      </c>
      <c r="N116" s="10"/>
      <c r="O116" s="10" t="s">
        <v>28</v>
      </c>
      <c r="P116" s="12" t="s">
        <v>1649</v>
      </c>
      <c r="Q116" s="12" t="s">
        <v>1649</v>
      </c>
      <c r="R116" s="61"/>
      <c r="S116" s="2"/>
      <c r="T116" s="2"/>
      <c r="U116" s="2"/>
      <c r="V116" s="2"/>
      <c r="W116" s="2"/>
      <c r="X116" s="2"/>
      <c r="Y116" s="2"/>
      <c r="Z116" s="2"/>
      <c r="AA116" s="2"/>
      <c r="AB116" s="2"/>
      <c r="AC116" s="2"/>
      <c r="AD116" s="2"/>
    </row>
    <row r="117" spans="1:30" ht="312">
      <c r="A117" s="39">
        <v>112</v>
      </c>
      <c r="B117" s="39">
        <v>112</v>
      </c>
      <c r="C117" s="6" t="s">
        <v>857</v>
      </c>
      <c r="D117" s="5">
        <v>3122130044</v>
      </c>
      <c r="E117" s="61"/>
      <c r="F117" s="8">
        <f>VLOOKUP(D117,'Trang tính3'!$B$10:$H$377,7,0)</f>
        <v>97</v>
      </c>
      <c r="G117" s="8" t="str">
        <f>VLOOKUP(D117,'Trang tính2'!$B$1:$D$175,3,0)</f>
        <v>3.66</v>
      </c>
      <c r="H117" s="8"/>
      <c r="I117" s="40" t="s">
        <v>858</v>
      </c>
      <c r="J117" s="40" t="s">
        <v>787</v>
      </c>
      <c r="K117" s="40" t="s">
        <v>766</v>
      </c>
      <c r="L117" s="40" t="s">
        <v>841</v>
      </c>
      <c r="M117" s="40" t="s">
        <v>859</v>
      </c>
      <c r="N117" s="10"/>
      <c r="O117" s="10" t="s">
        <v>28</v>
      </c>
      <c r="P117" s="12" t="s">
        <v>1650</v>
      </c>
      <c r="Q117" s="12" t="s">
        <v>860</v>
      </c>
      <c r="R117" s="61"/>
      <c r="S117" s="2"/>
      <c r="T117" s="2"/>
      <c r="U117" s="2"/>
      <c r="V117" s="2"/>
      <c r="W117" s="2"/>
      <c r="X117" s="2"/>
      <c r="Y117" s="2"/>
      <c r="Z117" s="2"/>
      <c r="AA117" s="2"/>
      <c r="AB117" s="2"/>
      <c r="AC117" s="2"/>
      <c r="AD117" s="2"/>
    </row>
    <row r="118" spans="1:30" ht="299">
      <c r="A118" s="39">
        <v>113</v>
      </c>
      <c r="B118" s="39">
        <v>113</v>
      </c>
      <c r="C118" s="6" t="s">
        <v>861</v>
      </c>
      <c r="D118" s="5">
        <v>3124130012</v>
      </c>
      <c r="E118" s="61"/>
      <c r="F118" s="8">
        <f>VLOOKUP(D118,'Trang tính3'!$B$10:$H$377,7,0)</f>
        <v>95.7</v>
      </c>
      <c r="G118" s="8" t="str">
        <f>VLOOKUP(D118,'Trang tính2'!$B$1:$D$175,3,0)</f>
        <v>3.79</v>
      </c>
      <c r="H118" s="8"/>
      <c r="I118" s="40" t="s">
        <v>862</v>
      </c>
      <c r="J118" s="40" t="s">
        <v>863</v>
      </c>
      <c r="K118" s="40" t="s">
        <v>864</v>
      </c>
      <c r="L118" s="40" t="s">
        <v>865</v>
      </c>
      <c r="M118" s="40" t="s">
        <v>866</v>
      </c>
      <c r="N118" s="10"/>
      <c r="O118" s="10" t="s">
        <v>28</v>
      </c>
      <c r="P118" s="12" t="s">
        <v>1651</v>
      </c>
      <c r="Q118" s="12" t="s">
        <v>867</v>
      </c>
      <c r="R118" s="61"/>
      <c r="S118" s="2"/>
      <c r="T118" s="2"/>
      <c r="U118" s="2"/>
      <c r="V118" s="2"/>
      <c r="W118" s="2"/>
      <c r="X118" s="2"/>
      <c r="Y118" s="2"/>
      <c r="Z118" s="2"/>
      <c r="AA118" s="2"/>
      <c r="AB118" s="2"/>
      <c r="AC118" s="2"/>
      <c r="AD118" s="2"/>
    </row>
    <row r="119" spans="1:30" ht="409.5">
      <c r="A119" s="39">
        <v>114</v>
      </c>
      <c r="B119" s="39">
        <v>114</v>
      </c>
      <c r="C119" s="6" t="s">
        <v>868</v>
      </c>
      <c r="D119" s="5">
        <v>3123130140</v>
      </c>
      <c r="E119" s="61"/>
      <c r="F119" s="8">
        <f>VLOOKUP(D119,'Trang tính3'!$B$10:$H$377,7,0)</f>
        <v>99</v>
      </c>
      <c r="G119" s="8" t="str">
        <f>VLOOKUP(D119,'Trang tính2'!$B$1:$D$175,3,0)</f>
        <v>3.29</v>
      </c>
      <c r="H119" s="8"/>
      <c r="I119" s="40" t="s">
        <v>869</v>
      </c>
      <c r="J119" s="40" t="s">
        <v>870</v>
      </c>
      <c r="K119" s="40" t="s">
        <v>766</v>
      </c>
      <c r="L119" s="40" t="s">
        <v>871</v>
      </c>
      <c r="M119" s="40" t="s">
        <v>872</v>
      </c>
      <c r="N119" s="10"/>
      <c r="O119" s="10" t="s">
        <v>28</v>
      </c>
      <c r="P119" s="12" t="s">
        <v>1652</v>
      </c>
      <c r="Q119" s="12" t="s">
        <v>873</v>
      </c>
      <c r="R119" s="61"/>
      <c r="S119" s="2"/>
      <c r="T119" s="2"/>
      <c r="U119" s="2"/>
      <c r="V119" s="2"/>
      <c r="W119" s="2"/>
      <c r="X119" s="2"/>
      <c r="Y119" s="2"/>
      <c r="Z119" s="2"/>
      <c r="AA119" s="2"/>
      <c r="AB119" s="2"/>
      <c r="AC119" s="2"/>
      <c r="AD119" s="2"/>
    </row>
    <row r="120" spans="1:30" ht="409.5">
      <c r="A120" s="39">
        <v>115</v>
      </c>
      <c r="B120" s="39">
        <v>115</v>
      </c>
      <c r="C120" s="6" t="s">
        <v>874</v>
      </c>
      <c r="D120" s="5">
        <v>3123130108</v>
      </c>
      <c r="E120" s="61"/>
      <c r="F120" s="8">
        <f>VLOOKUP(D120,'Trang tính3'!$B$10:$H$377,7,0)</f>
        <v>100</v>
      </c>
      <c r="G120" s="8" t="str">
        <f>VLOOKUP(D120,'Trang tính2'!$B$1:$D$175,3,0)</f>
        <v>4.00</v>
      </c>
      <c r="H120" s="8"/>
      <c r="I120" s="40" t="s">
        <v>875</v>
      </c>
      <c r="J120" s="40" t="s">
        <v>876</v>
      </c>
      <c r="K120" s="40" t="s">
        <v>877</v>
      </c>
      <c r="L120" s="40" t="s">
        <v>878</v>
      </c>
      <c r="M120" s="40" t="s">
        <v>879</v>
      </c>
      <c r="N120" s="10"/>
      <c r="O120" s="10" t="s">
        <v>28</v>
      </c>
      <c r="P120" s="12" t="s">
        <v>1653</v>
      </c>
      <c r="Q120" s="12" t="s">
        <v>880</v>
      </c>
      <c r="R120" s="61"/>
      <c r="S120" s="2"/>
      <c r="T120" s="2"/>
      <c r="U120" s="2"/>
      <c r="V120" s="2"/>
      <c r="W120" s="2"/>
      <c r="X120" s="2"/>
      <c r="Y120" s="2"/>
      <c r="Z120" s="2"/>
      <c r="AA120" s="2"/>
      <c r="AB120" s="2"/>
      <c r="AC120" s="2"/>
      <c r="AD120" s="2"/>
    </row>
    <row r="121" spans="1:30" ht="409.5">
      <c r="A121" s="39">
        <v>116</v>
      </c>
      <c r="B121" s="39">
        <v>116</v>
      </c>
      <c r="C121" s="6" t="s">
        <v>881</v>
      </c>
      <c r="D121" s="5">
        <v>3123380117</v>
      </c>
      <c r="E121" s="61"/>
      <c r="F121" s="8">
        <f>VLOOKUP(D121,'Trang tính3'!$B$10:$H$377,7,0)</f>
        <v>100</v>
      </c>
      <c r="G121" s="8" t="str">
        <f>VLOOKUP(D121,'Trang tính2'!$B$1:$D$175,3,0)</f>
        <v>3.47</v>
      </c>
      <c r="H121" s="8"/>
      <c r="I121" s="40" t="s">
        <v>882</v>
      </c>
      <c r="J121" s="40" t="s">
        <v>883</v>
      </c>
      <c r="K121" s="40" t="s">
        <v>884</v>
      </c>
      <c r="L121" s="40" t="s">
        <v>885</v>
      </c>
      <c r="M121" s="40" t="s">
        <v>886</v>
      </c>
      <c r="N121" s="10"/>
      <c r="O121" s="10" t="s">
        <v>28</v>
      </c>
      <c r="P121" s="12" t="s">
        <v>1654</v>
      </c>
      <c r="Q121" s="12" t="s">
        <v>887</v>
      </c>
      <c r="R121" s="61"/>
      <c r="S121" s="2"/>
      <c r="T121" s="2"/>
      <c r="U121" s="2"/>
      <c r="V121" s="2"/>
      <c r="W121" s="2"/>
      <c r="X121" s="2"/>
      <c r="Y121" s="2"/>
      <c r="Z121" s="2"/>
      <c r="AA121" s="2"/>
      <c r="AB121" s="2"/>
      <c r="AC121" s="2"/>
      <c r="AD121" s="2"/>
    </row>
    <row r="122" spans="1:30" ht="409.5">
      <c r="A122" s="39">
        <v>117</v>
      </c>
      <c r="B122" s="39">
        <v>117</v>
      </c>
      <c r="C122" s="6" t="s">
        <v>888</v>
      </c>
      <c r="D122" s="5">
        <v>3123380105</v>
      </c>
      <c r="E122" s="61"/>
      <c r="F122" s="8">
        <f>VLOOKUP(D122,'Trang tính3'!$B$10:$H$377,7,0)</f>
        <v>100</v>
      </c>
      <c r="G122" s="8" t="str">
        <f>VLOOKUP(D122,'Trang tính2'!$B$1:$D$175,3,0)</f>
        <v>3.57</v>
      </c>
      <c r="H122" s="8"/>
      <c r="I122" s="40" t="s">
        <v>889</v>
      </c>
      <c r="J122" s="40" t="s">
        <v>883</v>
      </c>
      <c r="K122" s="40" t="s">
        <v>766</v>
      </c>
      <c r="L122" s="40" t="s">
        <v>890</v>
      </c>
      <c r="M122" s="40" t="s">
        <v>891</v>
      </c>
      <c r="N122" s="10"/>
      <c r="O122" s="10" t="s">
        <v>28</v>
      </c>
      <c r="P122" s="12" t="s">
        <v>1655</v>
      </c>
      <c r="Q122" s="12" t="s">
        <v>892</v>
      </c>
      <c r="R122" s="61"/>
      <c r="S122" s="2"/>
      <c r="T122" s="2"/>
      <c r="U122" s="2"/>
      <c r="V122" s="2"/>
      <c r="W122" s="2"/>
      <c r="X122" s="2"/>
      <c r="Y122" s="2"/>
      <c r="Z122" s="2"/>
      <c r="AA122" s="2"/>
      <c r="AB122" s="2"/>
      <c r="AC122" s="2"/>
      <c r="AD122" s="2"/>
    </row>
    <row r="123" spans="1:30" ht="409.5">
      <c r="A123" s="39">
        <v>118</v>
      </c>
      <c r="B123" s="39">
        <v>118</v>
      </c>
      <c r="C123" s="6" t="s">
        <v>893</v>
      </c>
      <c r="D123" s="5">
        <v>3123130052</v>
      </c>
      <c r="E123" s="62"/>
      <c r="F123" s="8">
        <f>VLOOKUP(D123,'Trang tính3'!$B$10:$H$377,7,0)</f>
        <v>96</v>
      </c>
      <c r="G123" s="8" t="str">
        <f>VLOOKUP(D123,'Trang tính2'!$B$1:$D$175,3,0)</f>
        <v>3.75</v>
      </c>
      <c r="H123" s="8"/>
      <c r="I123" s="40" t="s">
        <v>894</v>
      </c>
      <c r="J123" s="40" t="s">
        <v>895</v>
      </c>
      <c r="K123" s="40" t="s">
        <v>896</v>
      </c>
      <c r="L123" s="40" t="s">
        <v>897</v>
      </c>
      <c r="M123" s="40" t="s">
        <v>898</v>
      </c>
      <c r="N123" s="10"/>
      <c r="O123" s="10" t="s">
        <v>28</v>
      </c>
      <c r="P123" s="12" t="s">
        <v>899</v>
      </c>
      <c r="Q123" s="12" t="s">
        <v>900</v>
      </c>
      <c r="R123" s="61"/>
      <c r="S123" s="2"/>
      <c r="T123" s="2"/>
      <c r="U123" s="2"/>
      <c r="V123" s="2"/>
      <c r="W123" s="2"/>
      <c r="X123" s="2"/>
      <c r="Y123" s="2"/>
      <c r="Z123" s="2"/>
      <c r="AA123" s="2"/>
      <c r="AB123" s="2"/>
      <c r="AC123" s="2"/>
      <c r="AD123" s="2"/>
    </row>
    <row r="124" spans="1:30" ht="299">
      <c r="A124" s="39">
        <v>119</v>
      </c>
      <c r="B124" s="39">
        <v>119</v>
      </c>
      <c r="C124" s="6" t="s">
        <v>1484</v>
      </c>
      <c r="D124" s="5">
        <v>3123330380</v>
      </c>
      <c r="E124" s="68" t="s">
        <v>1485</v>
      </c>
      <c r="F124" s="8">
        <f>VLOOKUP(D124,'Trang tính3'!$B$10:$H$377,7,0)</f>
        <v>99.5</v>
      </c>
      <c r="G124" s="8" t="str">
        <f>VLOOKUP(D124,'Trang tính2'!$B$1:$D$175,3,0)</f>
        <v>3.29</v>
      </c>
      <c r="H124" s="8"/>
      <c r="I124" s="40" t="s">
        <v>1656</v>
      </c>
      <c r="J124" s="40" t="s">
        <v>1487</v>
      </c>
      <c r="K124" s="40" t="s">
        <v>1488</v>
      </c>
      <c r="L124" s="40" t="s">
        <v>1657</v>
      </c>
      <c r="M124" s="40" t="s">
        <v>1658</v>
      </c>
      <c r="N124" s="10"/>
      <c r="O124" s="10" t="s">
        <v>28</v>
      </c>
      <c r="P124" s="12" t="s">
        <v>1659</v>
      </c>
      <c r="Q124" s="12" t="s">
        <v>1491</v>
      </c>
      <c r="R124" s="63" t="s">
        <v>1492</v>
      </c>
      <c r="S124" s="2"/>
      <c r="T124" s="2"/>
      <c r="U124" s="2"/>
      <c r="V124" s="2"/>
      <c r="W124" s="2"/>
      <c r="X124" s="2"/>
      <c r="Y124" s="2"/>
      <c r="Z124" s="2"/>
      <c r="AA124" s="2"/>
      <c r="AB124" s="2"/>
      <c r="AC124" s="2"/>
      <c r="AD124" s="2"/>
    </row>
    <row r="125" spans="1:30" ht="403">
      <c r="A125" s="39">
        <v>120</v>
      </c>
      <c r="B125" s="39">
        <v>120</v>
      </c>
      <c r="C125" s="6" t="s">
        <v>1497</v>
      </c>
      <c r="D125" s="5">
        <v>3123550193</v>
      </c>
      <c r="E125" s="61"/>
      <c r="F125" s="8">
        <f>VLOOKUP(D125,'Trang tính3'!$B$10:$H$377,7,0)</f>
        <v>100</v>
      </c>
      <c r="G125" s="8" t="str">
        <f>VLOOKUP(D125,'Trang tính2'!$B$1:$D$175,3,0)</f>
        <v>3.41</v>
      </c>
      <c r="H125" s="8"/>
      <c r="I125" s="40" t="s">
        <v>1498</v>
      </c>
      <c r="J125" s="40" t="s">
        <v>1499</v>
      </c>
      <c r="K125" s="40" t="s">
        <v>1500</v>
      </c>
      <c r="L125" s="40" t="s">
        <v>1660</v>
      </c>
      <c r="M125" s="40" t="s">
        <v>1661</v>
      </c>
      <c r="N125" s="10"/>
      <c r="O125" s="10" t="s">
        <v>28</v>
      </c>
      <c r="P125" s="12" t="s">
        <v>1662</v>
      </c>
      <c r="Q125" s="12" t="s">
        <v>1663</v>
      </c>
      <c r="R125" s="61"/>
      <c r="S125" s="2"/>
      <c r="T125" s="2"/>
      <c r="U125" s="2"/>
      <c r="V125" s="2"/>
      <c r="W125" s="2"/>
      <c r="X125" s="2"/>
      <c r="Y125" s="2"/>
      <c r="Z125" s="2"/>
      <c r="AA125" s="2"/>
      <c r="AB125" s="2"/>
      <c r="AC125" s="2"/>
      <c r="AD125" s="2"/>
    </row>
    <row r="126" spans="1:30" ht="325">
      <c r="A126" s="39">
        <v>121</v>
      </c>
      <c r="B126" s="39">
        <v>121</v>
      </c>
      <c r="C126" s="6" t="s">
        <v>1504</v>
      </c>
      <c r="D126" s="5">
        <v>3123550192</v>
      </c>
      <c r="E126" s="61"/>
      <c r="F126" s="8">
        <f>VLOOKUP(D126,'Trang tính3'!$B$10:$H$377,7,0)</f>
        <v>97.5</v>
      </c>
      <c r="G126" s="8" t="str">
        <f>VLOOKUP(D126,'Trang tính2'!$B$1:$D$175,3,0)</f>
        <v>3.69</v>
      </c>
      <c r="H126" s="8"/>
      <c r="I126" s="40" t="s">
        <v>1505</v>
      </c>
      <c r="J126" s="40" t="s">
        <v>1506</v>
      </c>
      <c r="K126" s="40" t="s">
        <v>1507</v>
      </c>
      <c r="L126" s="40" t="s">
        <v>1664</v>
      </c>
      <c r="M126" s="40" t="s">
        <v>1665</v>
      </c>
      <c r="N126" s="10"/>
      <c r="O126" s="10" t="s">
        <v>28</v>
      </c>
      <c r="P126" s="12" t="s">
        <v>1510</v>
      </c>
      <c r="Q126" s="12" t="s">
        <v>1511</v>
      </c>
      <c r="R126" s="61"/>
      <c r="S126" s="2"/>
      <c r="T126" s="2"/>
      <c r="U126" s="2"/>
      <c r="V126" s="2"/>
      <c r="W126" s="2"/>
      <c r="X126" s="2"/>
      <c r="Y126" s="2"/>
      <c r="Z126" s="2"/>
      <c r="AA126" s="2"/>
      <c r="AB126" s="2"/>
      <c r="AC126" s="2"/>
      <c r="AD126" s="2"/>
    </row>
    <row r="127" spans="1:30" ht="338">
      <c r="A127" s="39">
        <v>122</v>
      </c>
      <c r="B127" s="39">
        <v>122</v>
      </c>
      <c r="C127" s="6" t="s">
        <v>1514</v>
      </c>
      <c r="D127" s="5">
        <v>3122330360</v>
      </c>
      <c r="E127" s="61"/>
      <c r="F127" s="8">
        <f>VLOOKUP(D127,'Trang tính3'!$B$10:$H$377,7,0)</f>
        <v>100</v>
      </c>
      <c r="G127" s="8" t="str">
        <f>VLOOKUP(D127,'Trang tính2'!$B$1:$D$175,3,0)</f>
        <v>3.24</v>
      </c>
      <c r="H127" s="8"/>
      <c r="I127" s="40" t="s">
        <v>1666</v>
      </c>
      <c r="J127" s="40" t="s">
        <v>1516</v>
      </c>
      <c r="K127" s="40" t="s">
        <v>1517</v>
      </c>
      <c r="L127" s="40" t="s">
        <v>1518</v>
      </c>
      <c r="M127" s="40" t="s">
        <v>1667</v>
      </c>
      <c r="N127" s="10"/>
      <c r="O127" s="10" t="s">
        <v>28</v>
      </c>
      <c r="P127" s="12" t="s">
        <v>1520</v>
      </c>
      <c r="Q127" s="12" t="s">
        <v>1668</v>
      </c>
      <c r="R127" s="61"/>
      <c r="S127" s="2"/>
      <c r="T127" s="2"/>
      <c r="U127" s="2"/>
      <c r="V127" s="2"/>
      <c r="W127" s="2"/>
      <c r="X127" s="2"/>
      <c r="Y127" s="2"/>
      <c r="Z127" s="2"/>
      <c r="AA127" s="2"/>
      <c r="AB127" s="2"/>
      <c r="AC127" s="2"/>
      <c r="AD127" s="2"/>
    </row>
    <row r="128" spans="1:30" ht="234">
      <c r="A128" s="39">
        <v>123</v>
      </c>
      <c r="B128" s="39">
        <v>123</v>
      </c>
      <c r="C128" s="6" t="s">
        <v>1529</v>
      </c>
      <c r="D128" s="5">
        <v>3123330144</v>
      </c>
      <c r="E128" s="61"/>
      <c r="F128" s="8">
        <f>VLOOKUP(D128,'Trang tính3'!$B$10:$H$377,7,0)</f>
        <v>98</v>
      </c>
      <c r="G128" s="8" t="str">
        <f>VLOOKUP(D128,'Trang tính2'!$B$1:$D$175,3,0)</f>
        <v>3.85</v>
      </c>
      <c r="H128" s="8"/>
      <c r="I128" s="40" t="s">
        <v>1669</v>
      </c>
      <c r="J128" s="40" t="s">
        <v>1670</v>
      </c>
      <c r="K128" s="40" t="s">
        <v>1532</v>
      </c>
      <c r="L128" s="40" t="s">
        <v>1671</v>
      </c>
      <c r="M128" s="40" t="s">
        <v>1672</v>
      </c>
      <c r="N128" s="10"/>
      <c r="O128" s="10" t="s">
        <v>28</v>
      </c>
      <c r="P128" s="12" t="s">
        <v>1535</v>
      </c>
      <c r="Q128" s="12" t="s">
        <v>1536</v>
      </c>
      <c r="R128" s="61"/>
      <c r="S128" s="2"/>
      <c r="T128" s="2"/>
      <c r="U128" s="2"/>
      <c r="V128" s="2"/>
      <c r="W128" s="2"/>
      <c r="X128" s="2"/>
      <c r="Y128" s="2"/>
      <c r="Z128" s="2"/>
      <c r="AA128" s="2"/>
      <c r="AB128" s="2"/>
      <c r="AC128" s="2"/>
      <c r="AD128" s="2"/>
    </row>
    <row r="129" spans="1:30" ht="364">
      <c r="A129" s="39">
        <v>124</v>
      </c>
      <c r="B129" s="39">
        <v>124</v>
      </c>
      <c r="C129" s="6" t="s">
        <v>1537</v>
      </c>
      <c r="D129" s="5">
        <v>3123550024</v>
      </c>
      <c r="E129" s="62"/>
      <c r="F129" s="8">
        <f>VLOOKUP(D129,'Trang tính3'!$B$10:$H$377,7,0)</f>
        <v>95</v>
      </c>
      <c r="G129" s="8" t="str">
        <f>VLOOKUP(D129,'Trang tính2'!$B$1:$D$175,3,0)</f>
        <v>3.47</v>
      </c>
      <c r="H129" s="8"/>
      <c r="I129" s="40" t="s">
        <v>1673</v>
      </c>
      <c r="J129" s="40" t="s">
        <v>1674</v>
      </c>
      <c r="K129" s="40" t="s">
        <v>1540</v>
      </c>
      <c r="L129" s="40" t="s">
        <v>1675</v>
      </c>
      <c r="M129" s="40" t="s">
        <v>1676</v>
      </c>
      <c r="N129" s="10"/>
      <c r="O129" s="10" t="s">
        <v>28</v>
      </c>
      <c r="P129" s="12" t="s">
        <v>1677</v>
      </c>
      <c r="Q129" s="12" t="s">
        <v>1544</v>
      </c>
      <c r="R129" s="62"/>
      <c r="S129" s="2"/>
      <c r="T129" s="2"/>
      <c r="U129" s="2"/>
      <c r="V129" s="2"/>
      <c r="W129" s="2"/>
      <c r="X129" s="2"/>
      <c r="Y129" s="2"/>
      <c r="Z129" s="2"/>
      <c r="AA129" s="2"/>
      <c r="AB129" s="2"/>
      <c r="AC129" s="2"/>
      <c r="AD129" s="2"/>
    </row>
    <row r="130" spans="1:30" ht="409.5">
      <c r="A130" s="39">
        <v>125</v>
      </c>
      <c r="B130" s="39">
        <v>125</v>
      </c>
      <c r="C130" s="6" t="s">
        <v>287</v>
      </c>
      <c r="D130" s="5">
        <v>3123020023</v>
      </c>
      <c r="E130" s="70" t="s">
        <v>288</v>
      </c>
      <c r="F130" s="5">
        <f>VLOOKUP(D130,'Trang tính3'!$B$10:$H$377,7,0)</f>
        <v>100</v>
      </c>
      <c r="G130" s="5" t="str">
        <f>VLOOKUP(D130,'Trang tính2'!$B$1:$D$175,3,0)</f>
        <v>3.90</v>
      </c>
      <c r="H130" s="8"/>
      <c r="I130" s="40" t="s">
        <v>289</v>
      </c>
      <c r="J130" s="40" t="s">
        <v>290</v>
      </c>
      <c r="K130" s="40" t="s">
        <v>291</v>
      </c>
      <c r="L130" s="40" t="s">
        <v>292</v>
      </c>
      <c r="M130" s="40" t="s">
        <v>293</v>
      </c>
      <c r="N130" s="10"/>
      <c r="O130" s="10" t="s">
        <v>28</v>
      </c>
      <c r="P130" s="12" t="s">
        <v>294</v>
      </c>
      <c r="Q130" s="12" t="s">
        <v>295</v>
      </c>
      <c r="R130" s="63" t="s">
        <v>296</v>
      </c>
      <c r="S130" s="2"/>
      <c r="T130" s="2"/>
      <c r="U130" s="2"/>
      <c r="V130" s="2"/>
      <c r="W130" s="2"/>
      <c r="X130" s="2"/>
      <c r="Y130" s="2"/>
      <c r="Z130" s="2"/>
      <c r="AA130" s="2"/>
      <c r="AB130" s="2"/>
      <c r="AC130" s="2"/>
      <c r="AD130" s="2"/>
    </row>
    <row r="131" spans="1:30" ht="409.5">
      <c r="A131" s="39">
        <v>126</v>
      </c>
      <c r="B131" s="39">
        <v>126</v>
      </c>
      <c r="C131" s="6" t="s">
        <v>297</v>
      </c>
      <c r="D131" s="5">
        <v>3123020016</v>
      </c>
      <c r="E131" s="61"/>
      <c r="F131" s="5">
        <f>VLOOKUP(D131,'Trang tính3'!$B$10:$H$377,7,0)</f>
        <v>96.5</v>
      </c>
      <c r="G131" s="5" t="str">
        <f>VLOOKUP(D131,'Trang tính2'!$B$1:$D$175,3,0)</f>
        <v>3.32</v>
      </c>
      <c r="H131" s="8"/>
      <c r="I131" s="40" t="s">
        <v>298</v>
      </c>
      <c r="J131" s="40" t="s">
        <v>299</v>
      </c>
      <c r="K131" s="40" t="s">
        <v>300</v>
      </c>
      <c r="L131" s="40" t="s">
        <v>301</v>
      </c>
      <c r="M131" s="40" t="s">
        <v>302</v>
      </c>
      <c r="N131" s="10"/>
      <c r="O131" s="10" t="s">
        <v>28</v>
      </c>
      <c r="P131" s="12" t="s">
        <v>303</v>
      </c>
      <c r="Q131" s="12" t="s">
        <v>304</v>
      </c>
      <c r="R131" s="61"/>
      <c r="S131" s="2"/>
      <c r="T131" s="2"/>
      <c r="U131" s="2"/>
      <c r="V131" s="2"/>
      <c r="W131" s="2"/>
      <c r="X131" s="2"/>
      <c r="Y131" s="2"/>
      <c r="Z131" s="2"/>
      <c r="AA131" s="2"/>
      <c r="AB131" s="2"/>
      <c r="AC131" s="2"/>
      <c r="AD131" s="2"/>
    </row>
    <row r="132" spans="1:30" ht="338">
      <c r="A132" s="39">
        <v>127</v>
      </c>
      <c r="B132" s="39">
        <v>127</v>
      </c>
      <c r="C132" s="6" t="s">
        <v>305</v>
      </c>
      <c r="D132" s="5">
        <v>3123020013</v>
      </c>
      <c r="E132" s="61"/>
      <c r="F132" s="5">
        <f>VLOOKUP(D132,'Trang tính3'!$B$10:$H$377,7,0)</f>
        <v>100</v>
      </c>
      <c r="G132" s="5" t="str">
        <f>VLOOKUP(D132,'Trang tính2'!$B$1:$D$175,3,0)</f>
        <v>3.67</v>
      </c>
      <c r="H132" s="8"/>
      <c r="I132" s="42" t="s">
        <v>306</v>
      </c>
      <c r="J132" s="40" t="s">
        <v>307</v>
      </c>
      <c r="K132" s="40" t="s">
        <v>308</v>
      </c>
      <c r="L132" s="40" t="s">
        <v>309</v>
      </c>
      <c r="M132" s="40" t="s">
        <v>310</v>
      </c>
      <c r="N132" s="10"/>
      <c r="O132" s="10" t="s">
        <v>28</v>
      </c>
      <c r="P132" s="12" t="s">
        <v>311</v>
      </c>
      <c r="Q132" s="12" t="s">
        <v>312</v>
      </c>
      <c r="R132" s="61"/>
      <c r="S132" s="2"/>
      <c r="T132" s="2"/>
      <c r="U132" s="2"/>
      <c r="V132" s="2"/>
      <c r="W132" s="2"/>
      <c r="X132" s="2"/>
      <c r="Y132" s="2"/>
      <c r="Z132" s="2"/>
      <c r="AA132" s="2"/>
      <c r="AB132" s="2"/>
      <c r="AC132" s="2"/>
      <c r="AD132" s="2"/>
    </row>
    <row r="133" spans="1:30" ht="221">
      <c r="A133" s="39">
        <v>128</v>
      </c>
      <c r="B133" s="39">
        <v>128</v>
      </c>
      <c r="C133" s="6" t="s">
        <v>313</v>
      </c>
      <c r="D133" s="5">
        <v>3123060018</v>
      </c>
      <c r="E133" s="61"/>
      <c r="F133" s="5">
        <f>VLOOKUP(D133,'Trang tính3'!$B$10:$H$377,7,0)</f>
        <v>95</v>
      </c>
      <c r="G133" s="5" t="str">
        <f>VLOOKUP(D133,'Trang tính2'!$B$1:$D$175,3,0)</f>
        <v>3.63</v>
      </c>
      <c r="H133" s="8"/>
      <c r="I133" s="40" t="s">
        <v>314</v>
      </c>
      <c r="J133" s="40" t="s">
        <v>315</v>
      </c>
      <c r="K133" s="40" t="s">
        <v>316</v>
      </c>
      <c r="L133" s="40" t="s">
        <v>317</v>
      </c>
      <c r="M133" s="40" t="s">
        <v>318</v>
      </c>
      <c r="N133" s="10"/>
      <c r="O133" s="10" t="s">
        <v>28</v>
      </c>
      <c r="P133" s="12" t="s">
        <v>319</v>
      </c>
      <c r="Q133" s="12" t="s">
        <v>320</v>
      </c>
      <c r="R133" s="61"/>
      <c r="S133" s="2"/>
      <c r="T133" s="2"/>
      <c r="U133" s="2"/>
      <c r="V133" s="2"/>
      <c r="W133" s="2"/>
      <c r="X133" s="2"/>
      <c r="Y133" s="2"/>
      <c r="Z133" s="2"/>
      <c r="AA133" s="2"/>
      <c r="AB133" s="2"/>
      <c r="AC133" s="2"/>
      <c r="AD133" s="2"/>
    </row>
    <row r="134" spans="1:30" ht="338">
      <c r="A134" s="39">
        <v>129</v>
      </c>
      <c r="B134" s="39">
        <v>129</v>
      </c>
      <c r="C134" s="6" t="s">
        <v>321</v>
      </c>
      <c r="D134" s="5">
        <v>3123020002</v>
      </c>
      <c r="E134" s="61"/>
      <c r="F134" s="5">
        <f>VLOOKUP(D134,'Trang tính3'!$B$10:$H$377,7,0)</f>
        <v>100</v>
      </c>
      <c r="G134" s="5" t="str">
        <f>VLOOKUP(D134,'Trang tính2'!$B$1:$D$175,3,0)</f>
        <v>3.93</v>
      </c>
      <c r="H134" s="8"/>
      <c r="I134" s="40" t="s">
        <v>322</v>
      </c>
      <c r="J134" s="40" t="s">
        <v>323</v>
      </c>
      <c r="K134" s="40" t="s">
        <v>324</v>
      </c>
      <c r="L134" s="40" t="s">
        <v>325</v>
      </c>
      <c r="M134" s="40" t="s">
        <v>326</v>
      </c>
      <c r="N134" s="10"/>
      <c r="O134" s="10" t="s">
        <v>28</v>
      </c>
      <c r="P134" s="12" t="s">
        <v>327</v>
      </c>
      <c r="Q134" s="12" t="s">
        <v>328</v>
      </c>
      <c r="R134" s="61"/>
      <c r="S134" s="2"/>
      <c r="T134" s="2"/>
      <c r="U134" s="2"/>
      <c r="V134" s="2"/>
      <c r="W134" s="2"/>
      <c r="X134" s="2"/>
      <c r="Y134" s="2"/>
      <c r="Z134" s="2"/>
      <c r="AA134" s="2"/>
      <c r="AB134" s="2"/>
      <c r="AC134" s="2"/>
      <c r="AD134" s="2"/>
    </row>
    <row r="135" spans="1:30" ht="182">
      <c r="A135" s="39">
        <v>130</v>
      </c>
      <c r="B135" s="39">
        <v>130</v>
      </c>
      <c r="C135" s="6" t="s">
        <v>329</v>
      </c>
      <c r="D135" s="5">
        <v>3122030009</v>
      </c>
      <c r="E135" s="61"/>
      <c r="F135" s="5">
        <f>VLOOKUP(D135,'Trang tính3'!$B$10:$H$377,7,0)</f>
        <v>99</v>
      </c>
      <c r="G135" s="5" t="str">
        <f>VLOOKUP(D135,'Trang tính2'!$B$1:$D$175,3,0)</f>
        <v>2.91</v>
      </c>
      <c r="H135" s="8"/>
      <c r="I135" s="40" t="s">
        <v>330</v>
      </c>
      <c r="J135" s="40" t="s">
        <v>331</v>
      </c>
      <c r="K135" s="40" t="s">
        <v>332</v>
      </c>
      <c r="L135" s="40" t="s">
        <v>333</v>
      </c>
      <c r="M135" s="40" t="s">
        <v>334</v>
      </c>
      <c r="N135" s="10"/>
      <c r="O135" s="10" t="s">
        <v>28</v>
      </c>
      <c r="P135" s="12" t="s">
        <v>335</v>
      </c>
      <c r="Q135" s="12" t="s">
        <v>336</v>
      </c>
      <c r="R135" s="61"/>
      <c r="S135" s="2"/>
      <c r="T135" s="2"/>
      <c r="U135" s="2"/>
      <c r="V135" s="2"/>
      <c r="W135" s="2"/>
      <c r="X135" s="2"/>
      <c r="Y135" s="2"/>
      <c r="Z135" s="2"/>
      <c r="AA135" s="2"/>
      <c r="AB135" s="2"/>
      <c r="AC135" s="2"/>
      <c r="AD135" s="2"/>
    </row>
    <row r="136" spans="1:30" ht="409.5">
      <c r="A136" s="39">
        <v>131</v>
      </c>
      <c r="B136" s="39">
        <v>131</v>
      </c>
      <c r="C136" s="6" t="s">
        <v>337</v>
      </c>
      <c r="D136" s="5">
        <v>3123020019</v>
      </c>
      <c r="E136" s="61"/>
      <c r="F136" s="5">
        <f>VLOOKUP(D136,'Trang tính3'!$B$10:$H$377,7,0)</f>
        <v>100</v>
      </c>
      <c r="G136" s="5" t="str">
        <f>VLOOKUP(D136,'Trang tính2'!$B$1:$D$175,3,0)</f>
        <v>3.93</v>
      </c>
      <c r="H136" s="8"/>
      <c r="I136" s="40" t="s">
        <v>338</v>
      </c>
      <c r="J136" s="40" t="s">
        <v>339</v>
      </c>
      <c r="K136" s="40" t="s">
        <v>340</v>
      </c>
      <c r="L136" s="40" t="s">
        <v>341</v>
      </c>
      <c r="M136" s="40" t="s">
        <v>342</v>
      </c>
      <c r="N136" s="10"/>
      <c r="O136" s="10" t="s">
        <v>28</v>
      </c>
      <c r="P136" s="12" t="s">
        <v>343</v>
      </c>
      <c r="Q136" s="12" t="s">
        <v>344</v>
      </c>
      <c r="R136" s="61"/>
      <c r="S136" s="2"/>
      <c r="T136" s="2"/>
      <c r="U136" s="2"/>
      <c r="V136" s="2"/>
      <c r="W136" s="2"/>
      <c r="X136" s="2"/>
      <c r="Y136" s="2"/>
      <c r="Z136" s="2"/>
      <c r="AA136" s="2"/>
      <c r="AB136" s="2"/>
      <c r="AC136" s="2"/>
      <c r="AD136" s="2"/>
    </row>
    <row r="137" spans="1:30" ht="338">
      <c r="A137" s="39">
        <v>132</v>
      </c>
      <c r="B137" s="39">
        <v>132</v>
      </c>
      <c r="C137" s="6" t="s">
        <v>349</v>
      </c>
      <c r="D137" s="5">
        <v>3121020023</v>
      </c>
      <c r="E137" s="61"/>
      <c r="F137" s="5">
        <f>VLOOKUP(D137,'Trang tính3'!$B$10:$H$377,7,0)</f>
        <v>99</v>
      </c>
      <c r="G137" s="5" t="str">
        <f>VLOOKUP(D137,'Trang tính2'!$B$1:$D$175,3,0)</f>
        <v>3.43</v>
      </c>
      <c r="H137" s="8"/>
      <c r="I137" s="40" t="s">
        <v>350</v>
      </c>
      <c r="J137" s="40" t="s">
        <v>351</v>
      </c>
      <c r="K137" s="40" t="s">
        <v>352</v>
      </c>
      <c r="L137" s="40" t="s">
        <v>353</v>
      </c>
      <c r="M137" s="40" t="s">
        <v>354</v>
      </c>
      <c r="N137" s="10"/>
      <c r="O137" s="10" t="s">
        <v>28</v>
      </c>
      <c r="P137" s="12" t="s">
        <v>355</v>
      </c>
      <c r="Q137" s="12" t="s">
        <v>356</v>
      </c>
      <c r="R137" s="61"/>
      <c r="S137" s="2"/>
      <c r="T137" s="2"/>
      <c r="U137" s="2"/>
      <c r="V137" s="2"/>
      <c r="W137" s="2"/>
      <c r="X137" s="2"/>
      <c r="Y137" s="2"/>
      <c r="Z137" s="2"/>
      <c r="AA137" s="2"/>
      <c r="AB137" s="2"/>
      <c r="AC137" s="2"/>
      <c r="AD137" s="2"/>
    </row>
    <row r="138" spans="1:30" ht="273">
      <c r="A138" s="39">
        <v>133</v>
      </c>
      <c r="B138" s="39">
        <v>133</v>
      </c>
      <c r="C138" s="6" t="s">
        <v>357</v>
      </c>
      <c r="D138" s="5">
        <v>3123060021</v>
      </c>
      <c r="E138" s="61"/>
      <c r="F138" s="5">
        <f>VLOOKUP(D138,'Trang tính3'!$B$10:$H$377,7,0)</f>
        <v>98.5</v>
      </c>
      <c r="G138" s="5" t="str">
        <f>VLOOKUP(D138,'Trang tính2'!$B$1:$D$175,3,0)</f>
        <v>3.32</v>
      </c>
      <c r="H138" s="8"/>
      <c r="I138" s="40" t="s">
        <v>358</v>
      </c>
      <c r="J138" s="40" t="s">
        <v>359</v>
      </c>
      <c r="K138" s="40" t="s">
        <v>360</v>
      </c>
      <c r="L138" s="40" t="s">
        <v>361</v>
      </c>
      <c r="M138" s="40" t="s">
        <v>362</v>
      </c>
      <c r="N138" s="10"/>
      <c r="O138" s="10" t="s">
        <v>28</v>
      </c>
      <c r="P138" s="12" t="s">
        <v>363</v>
      </c>
      <c r="Q138" s="12" t="s">
        <v>364</v>
      </c>
      <c r="R138" s="61"/>
      <c r="S138" s="2"/>
      <c r="T138" s="2"/>
      <c r="U138" s="2"/>
      <c r="V138" s="2"/>
      <c r="W138" s="2"/>
      <c r="X138" s="2"/>
      <c r="Y138" s="2"/>
      <c r="Z138" s="2"/>
      <c r="AA138" s="2"/>
      <c r="AB138" s="2"/>
      <c r="AC138" s="2"/>
      <c r="AD138" s="2"/>
    </row>
    <row r="139" spans="1:30" ht="409.5">
      <c r="A139" s="39">
        <v>134</v>
      </c>
      <c r="B139" s="39">
        <v>134</v>
      </c>
      <c r="C139" s="6" t="s">
        <v>365</v>
      </c>
      <c r="D139" s="5">
        <v>3121060033</v>
      </c>
      <c r="E139" s="61"/>
      <c r="F139" s="5">
        <f>VLOOKUP(D139,'Trang tính3'!$B$10:$H$377,7,0)</f>
        <v>100</v>
      </c>
      <c r="G139" s="5" t="str">
        <f>VLOOKUP(D139,'Trang tính2'!$B$1:$D$175,3,0)</f>
        <v>3.50</v>
      </c>
      <c r="H139" s="8"/>
      <c r="I139" s="40" t="s">
        <v>366</v>
      </c>
      <c r="J139" s="40" t="s">
        <v>367</v>
      </c>
      <c r="K139" s="40" t="s">
        <v>368</v>
      </c>
      <c r="L139" s="40" t="s">
        <v>369</v>
      </c>
      <c r="M139" s="40" t="s">
        <v>370</v>
      </c>
      <c r="N139" s="10"/>
      <c r="O139" s="10" t="s">
        <v>28</v>
      </c>
      <c r="P139" s="12" t="s">
        <v>371</v>
      </c>
      <c r="Q139" s="12" t="s">
        <v>372</v>
      </c>
      <c r="R139" s="61"/>
      <c r="S139" s="2"/>
      <c r="T139" s="2"/>
      <c r="U139" s="2"/>
      <c r="V139" s="2"/>
      <c r="W139" s="2"/>
      <c r="X139" s="2"/>
      <c r="Y139" s="2"/>
      <c r="Z139" s="2"/>
      <c r="AA139" s="2"/>
      <c r="AB139" s="2"/>
      <c r="AC139" s="2"/>
      <c r="AD139" s="2"/>
    </row>
    <row r="140" spans="1:30" ht="409.5">
      <c r="A140" s="39">
        <v>135</v>
      </c>
      <c r="B140" s="39">
        <v>135</v>
      </c>
      <c r="C140" s="6" t="s">
        <v>373</v>
      </c>
      <c r="D140" s="5">
        <v>3123020035</v>
      </c>
      <c r="E140" s="61"/>
      <c r="F140" s="5">
        <f>VLOOKUP(D140,'Trang tính3'!$B$10:$H$377,7,0)</f>
        <v>94</v>
      </c>
      <c r="G140" s="5" t="str">
        <f>VLOOKUP(D140,'Trang tính2'!$B$1:$D$175,3,0)</f>
        <v>3.50</v>
      </c>
      <c r="H140" s="8"/>
      <c r="I140" s="40" t="s">
        <v>374</v>
      </c>
      <c r="J140" s="40" t="s">
        <v>375</v>
      </c>
      <c r="K140" s="40" t="s">
        <v>376</v>
      </c>
      <c r="L140" s="40" t="s">
        <v>377</v>
      </c>
      <c r="M140" s="40" t="s">
        <v>378</v>
      </c>
      <c r="N140" s="10"/>
      <c r="O140" s="10" t="s">
        <v>28</v>
      </c>
      <c r="P140" s="12" t="s">
        <v>379</v>
      </c>
      <c r="Q140" s="12" t="s">
        <v>380</v>
      </c>
      <c r="R140" s="61"/>
      <c r="S140" s="2"/>
      <c r="T140" s="2"/>
      <c r="U140" s="2"/>
      <c r="V140" s="2"/>
      <c r="W140" s="2"/>
      <c r="X140" s="2"/>
      <c r="Y140" s="2"/>
      <c r="Z140" s="2"/>
      <c r="AA140" s="2"/>
      <c r="AB140" s="2"/>
      <c r="AC140" s="2"/>
      <c r="AD140" s="2"/>
    </row>
    <row r="141" spans="1:30" ht="390">
      <c r="A141" s="39">
        <v>136</v>
      </c>
      <c r="B141" s="39">
        <v>136</v>
      </c>
      <c r="C141" s="6" t="s">
        <v>381</v>
      </c>
      <c r="D141" s="5">
        <v>3122060003</v>
      </c>
      <c r="E141" s="62"/>
      <c r="F141" s="8" t="s">
        <v>382</v>
      </c>
      <c r="G141" s="8" t="s">
        <v>383</v>
      </c>
      <c r="H141" s="8"/>
      <c r="I141" s="40" t="s">
        <v>384</v>
      </c>
      <c r="J141" s="40" t="s">
        <v>385</v>
      </c>
      <c r="K141" s="40" t="s">
        <v>386</v>
      </c>
      <c r="L141" s="40" t="s">
        <v>387</v>
      </c>
      <c r="M141" s="40" t="s">
        <v>388</v>
      </c>
      <c r="N141" s="10"/>
      <c r="O141" s="10" t="s">
        <v>28</v>
      </c>
      <c r="P141" s="12" t="s">
        <v>389</v>
      </c>
      <c r="Q141" s="12" t="s">
        <v>390</v>
      </c>
      <c r="R141" s="62"/>
      <c r="S141" s="2"/>
      <c r="T141" s="2"/>
      <c r="U141" s="2"/>
      <c r="V141" s="2"/>
      <c r="W141" s="2"/>
      <c r="X141" s="2"/>
      <c r="Y141" s="2"/>
      <c r="Z141" s="2"/>
      <c r="AA141" s="2"/>
      <c r="AB141" s="2"/>
      <c r="AC141" s="2"/>
      <c r="AD141" s="2"/>
    </row>
    <row r="142" spans="1:30" ht="377">
      <c r="A142" s="39">
        <v>137</v>
      </c>
      <c r="B142" s="39">
        <v>137</v>
      </c>
      <c r="C142" s="6" t="s">
        <v>1088</v>
      </c>
      <c r="D142" s="5">
        <v>3121320296</v>
      </c>
      <c r="E142" s="70" t="s">
        <v>1089</v>
      </c>
      <c r="F142" s="8" t="s">
        <v>923</v>
      </c>
      <c r="G142" s="8" t="s">
        <v>186</v>
      </c>
      <c r="H142" s="8"/>
      <c r="I142" s="40" t="s">
        <v>1090</v>
      </c>
      <c r="J142" s="40" t="s">
        <v>1091</v>
      </c>
      <c r="K142" s="40" t="s">
        <v>1092</v>
      </c>
      <c r="L142" s="40" t="s">
        <v>1093</v>
      </c>
      <c r="M142" s="40" t="s">
        <v>1094</v>
      </c>
      <c r="N142" s="10"/>
      <c r="O142" s="10" t="s">
        <v>28</v>
      </c>
      <c r="P142" s="12" t="s">
        <v>1095</v>
      </c>
      <c r="Q142" s="12" t="s">
        <v>1096</v>
      </c>
      <c r="R142" s="63" t="s">
        <v>1097</v>
      </c>
      <c r="S142" s="2"/>
      <c r="T142" s="2"/>
      <c r="U142" s="2"/>
      <c r="V142" s="2"/>
      <c r="W142" s="2"/>
      <c r="X142" s="2"/>
      <c r="Y142" s="2"/>
      <c r="Z142" s="2"/>
      <c r="AA142" s="2"/>
      <c r="AB142" s="2"/>
      <c r="AC142" s="2"/>
      <c r="AD142" s="2"/>
    </row>
    <row r="143" spans="1:30" ht="195">
      <c r="A143" s="39">
        <v>138</v>
      </c>
      <c r="B143" s="39">
        <v>138</v>
      </c>
      <c r="C143" s="6" t="s">
        <v>1098</v>
      </c>
      <c r="D143" s="5">
        <v>3122320138</v>
      </c>
      <c r="E143" s="61"/>
      <c r="F143" s="8">
        <f>VLOOKUP(D143,'Trang tính3'!$B$10:$H$377,7,0)</f>
        <v>98.5</v>
      </c>
      <c r="G143" s="8" t="str">
        <f>VLOOKUP(D143,'Trang tính2'!$B$1:$D$175,3,0)</f>
        <v>3.82</v>
      </c>
      <c r="H143" s="8"/>
      <c r="I143" s="40" t="s">
        <v>1099</v>
      </c>
      <c r="J143" s="40" t="s">
        <v>1100</v>
      </c>
      <c r="K143" s="40" t="s">
        <v>1101</v>
      </c>
      <c r="L143" s="40" t="s">
        <v>1102</v>
      </c>
      <c r="M143" s="40" t="s">
        <v>1103</v>
      </c>
      <c r="N143" s="10"/>
      <c r="O143" s="10" t="s">
        <v>28</v>
      </c>
      <c r="P143" s="12" t="s">
        <v>1104</v>
      </c>
      <c r="Q143" s="12" t="s">
        <v>1105</v>
      </c>
      <c r="R143" s="61"/>
      <c r="S143" s="2"/>
      <c r="T143" s="2"/>
      <c r="U143" s="2"/>
      <c r="V143" s="2"/>
      <c r="W143" s="2"/>
      <c r="X143" s="2"/>
      <c r="Y143" s="2"/>
      <c r="Z143" s="2"/>
      <c r="AA143" s="2"/>
      <c r="AB143" s="2"/>
      <c r="AC143" s="2"/>
      <c r="AD143" s="2"/>
    </row>
    <row r="144" spans="1:30" ht="221">
      <c r="A144" s="39">
        <v>139</v>
      </c>
      <c r="B144" s="39">
        <v>139</v>
      </c>
      <c r="C144" s="6" t="s">
        <v>1106</v>
      </c>
      <c r="D144" s="5">
        <v>3122420174</v>
      </c>
      <c r="E144" s="61"/>
      <c r="F144" s="8" t="s">
        <v>923</v>
      </c>
      <c r="G144" s="8" t="str">
        <f>VLOOKUP(D144,'Trang tính2'!$B$1:$D$175,3,0)</f>
        <v>3.38</v>
      </c>
      <c r="H144" s="8"/>
      <c r="I144" s="40" t="s">
        <v>1107</v>
      </c>
      <c r="J144" s="40" t="s">
        <v>1108</v>
      </c>
      <c r="K144" s="40" t="s">
        <v>1109</v>
      </c>
      <c r="L144" s="40" t="s">
        <v>1110</v>
      </c>
      <c r="M144" s="40" t="s">
        <v>1111</v>
      </c>
      <c r="N144" s="10"/>
      <c r="O144" s="10" t="s">
        <v>28</v>
      </c>
      <c r="P144" s="12" t="s">
        <v>1112</v>
      </c>
      <c r="Q144" s="12" t="s">
        <v>1113</v>
      </c>
      <c r="R144" s="61"/>
      <c r="S144" s="2"/>
      <c r="T144" s="2"/>
      <c r="U144" s="2"/>
      <c r="V144" s="2"/>
      <c r="W144" s="2"/>
      <c r="X144" s="2"/>
      <c r="Y144" s="2"/>
      <c r="Z144" s="2"/>
      <c r="AA144" s="2"/>
      <c r="AB144" s="2"/>
      <c r="AC144" s="2"/>
      <c r="AD144" s="2"/>
    </row>
    <row r="145" spans="1:30" ht="247">
      <c r="A145" s="39">
        <v>140</v>
      </c>
      <c r="B145" s="39">
        <v>140</v>
      </c>
      <c r="C145" s="6" t="s">
        <v>1114</v>
      </c>
      <c r="D145" s="5">
        <v>3122420347</v>
      </c>
      <c r="E145" s="61"/>
      <c r="F145" s="8" t="s">
        <v>195</v>
      </c>
      <c r="G145" s="8" t="s">
        <v>1115</v>
      </c>
      <c r="H145" s="8"/>
      <c r="I145" s="40" t="s">
        <v>1116</v>
      </c>
      <c r="J145" s="40" t="s">
        <v>1108</v>
      </c>
      <c r="K145" s="40" t="s">
        <v>1117</v>
      </c>
      <c r="L145" s="40" t="s">
        <v>1118</v>
      </c>
      <c r="M145" s="40" t="s">
        <v>1119</v>
      </c>
      <c r="N145" s="10"/>
      <c r="O145" s="10" t="s">
        <v>28</v>
      </c>
      <c r="P145" s="12" t="s">
        <v>1120</v>
      </c>
      <c r="Q145" s="12" t="s">
        <v>1121</v>
      </c>
      <c r="R145" s="61"/>
      <c r="S145" s="2"/>
      <c r="T145" s="2"/>
      <c r="U145" s="2"/>
      <c r="V145" s="2"/>
      <c r="W145" s="2"/>
      <c r="X145" s="2"/>
      <c r="Y145" s="2"/>
      <c r="Z145" s="2"/>
      <c r="AA145" s="2"/>
      <c r="AB145" s="2"/>
      <c r="AC145" s="2"/>
      <c r="AD145" s="2"/>
    </row>
    <row r="146" spans="1:30" ht="351">
      <c r="A146" s="39">
        <v>141</v>
      </c>
      <c r="B146" s="39">
        <v>141</v>
      </c>
      <c r="C146" s="6" t="s">
        <v>1122</v>
      </c>
      <c r="D146" s="5">
        <v>3121320360</v>
      </c>
      <c r="E146" s="61"/>
      <c r="F146" s="8">
        <f>VLOOKUP(D146,'Trang tính3'!$B$10:$H$377,7,0)</f>
        <v>99.5</v>
      </c>
      <c r="G146" s="8" t="str">
        <f>VLOOKUP(D146,'Trang tính2'!$B$1:$D$175,3,0)</f>
        <v>3.91</v>
      </c>
      <c r="H146" s="8"/>
      <c r="I146" s="40" t="s">
        <v>1123</v>
      </c>
      <c r="J146" s="40" t="s">
        <v>1124</v>
      </c>
      <c r="K146" s="40" t="s">
        <v>1125</v>
      </c>
      <c r="L146" s="40" t="s">
        <v>1126</v>
      </c>
      <c r="M146" s="40" t="s">
        <v>1127</v>
      </c>
      <c r="N146" s="10"/>
      <c r="O146" s="10" t="s">
        <v>28</v>
      </c>
      <c r="P146" s="12" t="s">
        <v>1128</v>
      </c>
      <c r="Q146" s="12" t="s">
        <v>1129</v>
      </c>
      <c r="R146" s="61"/>
      <c r="S146" s="2"/>
      <c r="T146" s="2"/>
      <c r="U146" s="2"/>
      <c r="V146" s="2"/>
      <c r="W146" s="2"/>
      <c r="X146" s="2"/>
      <c r="Y146" s="2"/>
      <c r="Z146" s="2"/>
      <c r="AA146" s="2"/>
      <c r="AB146" s="2"/>
      <c r="AC146" s="2"/>
      <c r="AD146" s="2"/>
    </row>
    <row r="147" spans="1:30" ht="325">
      <c r="A147" s="39">
        <v>142</v>
      </c>
      <c r="B147" s="39">
        <v>142</v>
      </c>
      <c r="C147" s="6" t="s">
        <v>1130</v>
      </c>
      <c r="D147" s="5">
        <v>3123320412</v>
      </c>
      <c r="E147" s="61"/>
      <c r="F147" s="8" t="s">
        <v>1131</v>
      </c>
      <c r="G147" s="8" t="s">
        <v>1132</v>
      </c>
      <c r="H147" s="8"/>
      <c r="I147" s="40" t="s">
        <v>1133</v>
      </c>
      <c r="J147" s="40" t="s">
        <v>1134</v>
      </c>
      <c r="K147" s="40" t="s">
        <v>1135</v>
      </c>
      <c r="L147" s="40" t="s">
        <v>1136</v>
      </c>
      <c r="M147" s="40" t="s">
        <v>1137</v>
      </c>
      <c r="N147" s="10"/>
      <c r="O147" s="10" t="s">
        <v>28</v>
      </c>
      <c r="P147" s="12" t="s">
        <v>1138</v>
      </c>
      <c r="Q147" s="12" t="s">
        <v>1139</v>
      </c>
      <c r="R147" s="61"/>
      <c r="S147" s="2"/>
      <c r="T147" s="2"/>
      <c r="U147" s="2"/>
      <c r="V147" s="2"/>
      <c r="W147" s="2"/>
      <c r="X147" s="2"/>
      <c r="Y147" s="2"/>
      <c r="Z147" s="2"/>
      <c r="AA147" s="2"/>
      <c r="AB147" s="2"/>
      <c r="AC147" s="2"/>
      <c r="AD147" s="2"/>
    </row>
    <row r="148" spans="1:30" ht="208">
      <c r="A148" s="39">
        <v>143</v>
      </c>
      <c r="B148" s="39">
        <v>143</v>
      </c>
      <c r="C148" s="6" t="s">
        <v>1140</v>
      </c>
      <c r="D148" s="5">
        <v>3122420361</v>
      </c>
      <c r="E148" s="61"/>
      <c r="F148" s="8" t="s">
        <v>437</v>
      </c>
      <c r="G148" s="8" t="s">
        <v>1141</v>
      </c>
      <c r="H148" s="8"/>
      <c r="I148" s="40" t="s">
        <v>1142</v>
      </c>
      <c r="J148" s="40" t="s">
        <v>1108</v>
      </c>
      <c r="K148" s="40" t="s">
        <v>1143</v>
      </c>
      <c r="L148" s="40" t="s">
        <v>1144</v>
      </c>
      <c r="M148" s="40" t="s">
        <v>1145</v>
      </c>
      <c r="N148" s="10"/>
      <c r="O148" s="10" t="s">
        <v>28</v>
      </c>
      <c r="P148" s="12" t="s">
        <v>1146</v>
      </c>
      <c r="Q148" s="12" t="s">
        <v>1147</v>
      </c>
      <c r="R148" s="61"/>
      <c r="S148" s="2"/>
      <c r="T148" s="2"/>
      <c r="U148" s="2"/>
      <c r="V148" s="2"/>
      <c r="W148" s="2"/>
      <c r="X148" s="2"/>
      <c r="Y148" s="2"/>
      <c r="Z148" s="2"/>
      <c r="AA148" s="2"/>
      <c r="AB148" s="2"/>
      <c r="AC148" s="2"/>
      <c r="AD148" s="2"/>
    </row>
    <row r="149" spans="1:30" ht="234">
      <c r="A149" s="39">
        <v>144</v>
      </c>
      <c r="B149" s="39">
        <v>144</v>
      </c>
      <c r="C149" s="6" t="s">
        <v>1148</v>
      </c>
      <c r="D149" s="5">
        <v>3124320261</v>
      </c>
      <c r="E149" s="61"/>
      <c r="F149" s="8" t="s">
        <v>437</v>
      </c>
      <c r="G149" s="8" t="s">
        <v>1149</v>
      </c>
      <c r="H149" s="8"/>
      <c r="I149" s="40" t="s">
        <v>1150</v>
      </c>
      <c r="J149" s="40" t="s">
        <v>1134</v>
      </c>
      <c r="K149" s="40" t="s">
        <v>1151</v>
      </c>
      <c r="L149" s="40" t="s">
        <v>1152</v>
      </c>
      <c r="M149" s="40" t="s">
        <v>1153</v>
      </c>
      <c r="N149" s="10"/>
      <c r="O149" s="10" t="s">
        <v>28</v>
      </c>
      <c r="P149" s="12" t="s">
        <v>1154</v>
      </c>
      <c r="Q149" s="12" t="s">
        <v>1155</v>
      </c>
      <c r="R149" s="61"/>
      <c r="S149" s="2"/>
      <c r="T149" s="2"/>
      <c r="U149" s="2"/>
      <c r="V149" s="2"/>
      <c r="W149" s="2"/>
      <c r="X149" s="2"/>
      <c r="Y149" s="2"/>
      <c r="Z149" s="2"/>
      <c r="AA149" s="2"/>
      <c r="AB149" s="2"/>
      <c r="AC149" s="2"/>
      <c r="AD149" s="2"/>
    </row>
    <row r="150" spans="1:30" ht="273">
      <c r="A150" s="39">
        <v>145</v>
      </c>
      <c r="B150" s="39">
        <v>145</v>
      </c>
      <c r="C150" s="6" t="s">
        <v>1156</v>
      </c>
      <c r="D150" s="5">
        <v>3122420300</v>
      </c>
      <c r="E150" s="61"/>
      <c r="F150" s="8">
        <f>VLOOKUP(D150,'Trang tính3'!$B$10:$H$377,7,0)</f>
        <v>93.5</v>
      </c>
      <c r="G150" s="8">
        <f>VLOOKUP(D150,'Trang tính2'!$B$1:$D$175,3,0)</f>
        <v>3.05</v>
      </c>
      <c r="H150" s="8"/>
      <c r="I150" s="40" t="s">
        <v>1157</v>
      </c>
      <c r="J150" s="40" t="s">
        <v>1158</v>
      </c>
      <c r="K150" s="40" t="s">
        <v>1159</v>
      </c>
      <c r="L150" s="40" t="s">
        <v>1160</v>
      </c>
      <c r="M150" s="40" t="s">
        <v>1161</v>
      </c>
      <c r="N150" s="10"/>
      <c r="O150" s="10" t="s">
        <v>28</v>
      </c>
      <c r="P150" s="12" t="s">
        <v>1162</v>
      </c>
      <c r="Q150" s="12" t="s">
        <v>1163</v>
      </c>
      <c r="R150" s="61"/>
      <c r="S150" s="2"/>
      <c r="T150" s="2"/>
      <c r="U150" s="2"/>
      <c r="V150" s="2"/>
      <c r="W150" s="2"/>
      <c r="X150" s="2"/>
      <c r="Y150" s="2"/>
      <c r="Z150" s="2"/>
      <c r="AA150" s="2"/>
      <c r="AB150" s="2"/>
      <c r="AC150" s="2"/>
      <c r="AD150" s="2"/>
    </row>
    <row r="151" spans="1:30" ht="273">
      <c r="A151" s="39">
        <v>146</v>
      </c>
      <c r="B151" s="39">
        <v>146</v>
      </c>
      <c r="C151" s="6" t="s">
        <v>1164</v>
      </c>
      <c r="D151" s="5">
        <v>3122420013</v>
      </c>
      <c r="E151" s="61"/>
      <c r="F151" s="8" t="s">
        <v>1165</v>
      </c>
      <c r="G151" s="8" t="s">
        <v>383</v>
      </c>
      <c r="H151" s="8"/>
      <c r="I151" s="40" t="s">
        <v>1166</v>
      </c>
      <c r="J151" s="40" t="s">
        <v>1167</v>
      </c>
      <c r="K151" s="40" t="s">
        <v>1168</v>
      </c>
      <c r="L151" s="40" t="s">
        <v>1169</v>
      </c>
      <c r="M151" s="40" t="s">
        <v>1170</v>
      </c>
      <c r="N151" s="10"/>
      <c r="O151" s="10" t="s">
        <v>28</v>
      </c>
      <c r="P151" s="12" t="s">
        <v>1171</v>
      </c>
      <c r="Q151" s="12" t="s">
        <v>1172</v>
      </c>
      <c r="R151" s="61"/>
      <c r="S151" s="2"/>
      <c r="T151" s="2"/>
      <c r="U151" s="2"/>
      <c r="V151" s="2"/>
      <c r="W151" s="2"/>
      <c r="X151" s="2"/>
      <c r="Y151" s="2"/>
      <c r="Z151" s="2"/>
      <c r="AA151" s="2"/>
      <c r="AB151" s="2"/>
      <c r="AC151" s="2"/>
      <c r="AD151" s="2"/>
    </row>
    <row r="152" spans="1:30" ht="182">
      <c r="A152" s="39">
        <v>147</v>
      </c>
      <c r="B152" s="39">
        <v>147</v>
      </c>
      <c r="C152" s="6" t="s">
        <v>1173</v>
      </c>
      <c r="D152" s="5">
        <v>3122420317</v>
      </c>
      <c r="E152" s="61"/>
      <c r="F152" s="8" t="s">
        <v>1174</v>
      </c>
      <c r="G152" s="8" t="s">
        <v>949</v>
      </c>
      <c r="H152" s="8"/>
      <c r="I152" s="40" t="s">
        <v>1175</v>
      </c>
      <c r="J152" s="40" t="s">
        <v>1108</v>
      </c>
      <c r="K152" s="40" t="s">
        <v>1176</v>
      </c>
      <c r="L152" s="40" t="s">
        <v>1177</v>
      </c>
      <c r="M152" s="40" t="s">
        <v>1178</v>
      </c>
      <c r="N152" s="10"/>
      <c r="O152" s="10" t="s">
        <v>28</v>
      </c>
      <c r="P152" s="12" t="s">
        <v>1179</v>
      </c>
      <c r="Q152" s="12" t="s">
        <v>1180</v>
      </c>
      <c r="R152" s="61"/>
      <c r="S152" s="2"/>
      <c r="T152" s="2"/>
      <c r="U152" s="2"/>
      <c r="V152" s="2"/>
      <c r="W152" s="2"/>
      <c r="X152" s="2"/>
      <c r="Y152" s="2"/>
      <c r="Z152" s="2"/>
      <c r="AA152" s="2"/>
      <c r="AB152" s="2"/>
      <c r="AC152" s="2"/>
      <c r="AD152" s="2"/>
    </row>
    <row r="153" spans="1:30" ht="299">
      <c r="A153" s="39">
        <v>148</v>
      </c>
      <c r="B153" s="39">
        <v>148</v>
      </c>
      <c r="C153" s="6" t="s">
        <v>1181</v>
      </c>
      <c r="D153" s="5">
        <v>3123420295</v>
      </c>
      <c r="E153" s="61"/>
      <c r="F153" s="8">
        <f>VLOOKUP(D153,'Trang tính3'!$B$10:$H$377,7,0)</f>
        <v>96.5</v>
      </c>
      <c r="G153" s="8" t="str">
        <f>VLOOKUP(D153,'Trang tính2'!$B$1:$D$175,3,0)</f>
        <v>3.78</v>
      </c>
      <c r="H153" s="8"/>
      <c r="I153" s="40" t="s">
        <v>1182</v>
      </c>
      <c r="J153" s="40" t="s">
        <v>1108</v>
      </c>
      <c r="K153" s="40" t="s">
        <v>1183</v>
      </c>
      <c r="L153" s="40" t="s">
        <v>1184</v>
      </c>
      <c r="M153" s="40" t="s">
        <v>1185</v>
      </c>
      <c r="N153" s="10"/>
      <c r="O153" s="10" t="s">
        <v>28</v>
      </c>
      <c r="P153" s="12" t="s">
        <v>1186</v>
      </c>
      <c r="Q153" s="12" t="s">
        <v>1187</v>
      </c>
      <c r="R153" s="61"/>
      <c r="S153" s="2"/>
      <c r="T153" s="2"/>
      <c r="U153" s="2"/>
      <c r="V153" s="2"/>
      <c r="W153" s="2"/>
      <c r="X153" s="2"/>
      <c r="Y153" s="2"/>
      <c r="Z153" s="2"/>
      <c r="AA153" s="2"/>
      <c r="AB153" s="2"/>
      <c r="AC153" s="2"/>
      <c r="AD153" s="2"/>
    </row>
    <row r="154" spans="1:30" ht="286">
      <c r="A154" s="39">
        <v>149</v>
      </c>
      <c r="B154" s="39">
        <v>149</v>
      </c>
      <c r="C154" s="6" t="s">
        <v>313</v>
      </c>
      <c r="D154" s="5">
        <v>3123320154</v>
      </c>
      <c r="E154" s="61"/>
      <c r="F154" s="8">
        <f>VLOOKUP(D154,'Trang tính3'!$B$10:$H$377,7,0)</f>
        <v>93</v>
      </c>
      <c r="G154" s="8" t="str">
        <f>VLOOKUP(D154,'Trang tính2'!$B$1:$D$175,3,0)</f>
        <v>3.95</v>
      </c>
      <c r="H154" s="8"/>
      <c r="I154" s="40" t="s">
        <v>1188</v>
      </c>
      <c r="J154" s="40" t="s">
        <v>1108</v>
      </c>
      <c r="K154" s="40" t="s">
        <v>1189</v>
      </c>
      <c r="L154" s="40" t="s">
        <v>1190</v>
      </c>
      <c r="M154" s="40" t="s">
        <v>1191</v>
      </c>
      <c r="N154" s="10"/>
      <c r="O154" s="10" t="s">
        <v>28</v>
      </c>
      <c r="P154" s="12" t="s">
        <v>1192</v>
      </c>
      <c r="Q154" s="12" t="s">
        <v>1193</v>
      </c>
      <c r="R154" s="61"/>
      <c r="S154" s="2"/>
      <c r="T154" s="2"/>
      <c r="U154" s="2"/>
      <c r="V154" s="2"/>
      <c r="W154" s="2"/>
      <c r="X154" s="2"/>
      <c r="Y154" s="2"/>
      <c r="Z154" s="2"/>
      <c r="AA154" s="2"/>
      <c r="AB154" s="2"/>
      <c r="AC154" s="2"/>
      <c r="AD154" s="2"/>
    </row>
    <row r="155" spans="1:30" ht="325">
      <c r="A155" s="39">
        <v>150</v>
      </c>
      <c r="B155" s="39">
        <v>150</v>
      </c>
      <c r="C155" s="6" t="s">
        <v>1194</v>
      </c>
      <c r="D155" s="5">
        <v>3121320307</v>
      </c>
      <c r="E155" s="61"/>
      <c r="F155" s="8">
        <f>VLOOKUP(D155,'Trang tính3'!$B$10:$H$377,7,0)</f>
        <v>98.5</v>
      </c>
      <c r="G155" s="8" t="str">
        <f>VLOOKUP(D155,'Trang tính2'!$B$1:$D$175,3,0)</f>
        <v>3.70</v>
      </c>
      <c r="H155" s="8"/>
      <c r="I155" s="40" t="s">
        <v>1195</v>
      </c>
      <c r="J155" s="40" t="s">
        <v>1196</v>
      </c>
      <c r="K155" s="40" t="s">
        <v>1197</v>
      </c>
      <c r="L155" s="40" t="s">
        <v>1198</v>
      </c>
      <c r="M155" s="40" t="s">
        <v>1199</v>
      </c>
      <c r="N155" s="10"/>
      <c r="O155" s="10" t="s">
        <v>28</v>
      </c>
      <c r="P155" s="12" t="s">
        <v>1200</v>
      </c>
      <c r="Q155" s="12" t="s">
        <v>1201</v>
      </c>
      <c r="R155" s="61"/>
      <c r="S155" s="2"/>
      <c r="T155" s="2"/>
      <c r="U155" s="2"/>
      <c r="V155" s="2"/>
      <c r="W155" s="2"/>
      <c r="X155" s="2"/>
      <c r="Y155" s="2"/>
      <c r="Z155" s="2"/>
      <c r="AA155" s="2"/>
      <c r="AB155" s="2"/>
      <c r="AC155" s="2"/>
      <c r="AD155" s="2"/>
    </row>
    <row r="156" spans="1:30" ht="195">
      <c r="A156" s="39">
        <v>151</v>
      </c>
      <c r="B156" s="39">
        <v>151</v>
      </c>
      <c r="C156" s="6" t="s">
        <v>1202</v>
      </c>
      <c r="D156" s="5">
        <v>3122420486</v>
      </c>
      <c r="E156" s="61"/>
      <c r="F156" s="8" t="s">
        <v>1203</v>
      </c>
      <c r="G156" s="8" t="s">
        <v>1204</v>
      </c>
      <c r="H156" s="8"/>
      <c r="I156" s="40" t="s">
        <v>1205</v>
      </c>
      <c r="J156" s="40" t="s">
        <v>1206</v>
      </c>
      <c r="K156" s="40" t="s">
        <v>1207</v>
      </c>
      <c r="L156" s="40" t="s">
        <v>1208</v>
      </c>
      <c r="M156" s="40" t="s">
        <v>1209</v>
      </c>
      <c r="N156" s="10"/>
      <c r="O156" s="10" t="s">
        <v>28</v>
      </c>
      <c r="P156" s="12" t="s">
        <v>1210</v>
      </c>
      <c r="Q156" s="12" t="s">
        <v>1211</v>
      </c>
      <c r="R156" s="61"/>
      <c r="S156" s="2"/>
      <c r="T156" s="2"/>
      <c r="U156" s="2"/>
      <c r="V156" s="2"/>
      <c r="W156" s="2"/>
      <c r="X156" s="2"/>
      <c r="Y156" s="2"/>
      <c r="Z156" s="2"/>
      <c r="AA156" s="2"/>
      <c r="AB156" s="2"/>
      <c r="AC156" s="2"/>
      <c r="AD156" s="2"/>
    </row>
    <row r="157" spans="1:30" ht="286">
      <c r="A157" s="39">
        <v>152</v>
      </c>
      <c r="B157" s="39">
        <v>152</v>
      </c>
      <c r="C157" s="6" t="s">
        <v>1212</v>
      </c>
      <c r="D157" s="5">
        <v>3123420299</v>
      </c>
      <c r="E157" s="61"/>
      <c r="F157" s="8">
        <f>VLOOKUP(D157,'Trang tính3'!$B$10:$H$377,7,0)</f>
        <v>89.5</v>
      </c>
      <c r="G157" s="8" t="str">
        <f>VLOOKUP(D157,'Trang tính2'!$B$1:$D$175,3,0)</f>
        <v>3.81</v>
      </c>
      <c r="H157" s="8"/>
      <c r="I157" s="40" t="s">
        <v>1213</v>
      </c>
      <c r="J157" s="40" t="s">
        <v>1134</v>
      </c>
      <c r="K157" s="40" t="s">
        <v>1214</v>
      </c>
      <c r="L157" s="40" t="s">
        <v>1215</v>
      </c>
      <c r="M157" s="40" t="s">
        <v>1216</v>
      </c>
      <c r="N157" s="10"/>
      <c r="O157" s="10" t="s">
        <v>28</v>
      </c>
      <c r="P157" s="12" t="s">
        <v>1217</v>
      </c>
      <c r="Q157" s="12" t="s">
        <v>1218</v>
      </c>
      <c r="R157" s="61"/>
      <c r="S157" s="2"/>
      <c r="T157" s="2"/>
      <c r="U157" s="2"/>
      <c r="V157" s="2"/>
      <c r="W157" s="2"/>
      <c r="X157" s="2"/>
      <c r="Y157" s="2"/>
      <c r="Z157" s="2"/>
      <c r="AA157" s="2"/>
      <c r="AB157" s="2"/>
      <c r="AC157" s="2"/>
      <c r="AD157" s="2"/>
    </row>
    <row r="158" spans="1:30" ht="273">
      <c r="A158" s="39">
        <v>153</v>
      </c>
      <c r="B158" s="39">
        <v>153</v>
      </c>
      <c r="C158" s="6" t="s">
        <v>1219</v>
      </c>
      <c r="D158" s="5">
        <v>3122320038</v>
      </c>
      <c r="E158" s="61"/>
      <c r="F158" s="8" t="s">
        <v>1203</v>
      </c>
      <c r="G158" s="8" t="s">
        <v>904</v>
      </c>
      <c r="H158" s="8"/>
      <c r="I158" s="40" t="s">
        <v>1220</v>
      </c>
      <c r="J158" s="40" t="s">
        <v>1221</v>
      </c>
      <c r="K158" s="40" t="s">
        <v>1222</v>
      </c>
      <c r="L158" s="40" t="s">
        <v>1223</v>
      </c>
      <c r="M158" s="40" t="s">
        <v>1224</v>
      </c>
      <c r="N158" s="10"/>
      <c r="O158" s="10" t="s">
        <v>28</v>
      </c>
      <c r="P158" s="12" t="s">
        <v>1225</v>
      </c>
      <c r="Q158" s="12" t="s">
        <v>1226</v>
      </c>
      <c r="R158" s="61"/>
      <c r="S158" s="2"/>
      <c r="T158" s="2"/>
      <c r="U158" s="2"/>
      <c r="V158" s="2"/>
      <c r="W158" s="2"/>
      <c r="X158" s="2"/>
      <c r="Y158" s="2"/>
      <c r="Z158" s="2"/>
      <c r="AA158" s="2"/>
      <c r="AB158" s="2"/>
      <c r="AC158" s="2"/>
      <c r="AD158" s="2"/>
    </row>
    <row r="159" spans="1:30" ht="312">
      <c r="A159" s="39">
        <v>154</v>
      </c>
      <c r="B159" s="39">
        <v>154</v>
      </c>
      <c r="C159" s="6" t="s">
        <v>1227</v>
      </c>
      <c r="D159" s="5">
        <v>3123320266</v>
      </c>
      <c r="E159" s="61"/>
      <c r="F159" s="8" t="s">
        <v>745</v>
      </c>
      <c r="G159" s="8" t="s">
        <v>1228</v>
      </c>
      <c r="H159" s="8"/>
      <c r="I159" s="40" t="s">
        <v>1229</v>
      </c>
      <c r="J159" s="40" t="s">
        <v>1134</v>
      </c>
      <c r="K159" s="40" t="s">
        <v>1230</v>
      </c>
      <c r="L159" s="40" t="s">
        <v>1231</v>
      </c>
      <c r="M159" s="40" t="s">
        <v>1232</v>
      </c>
      <c r="N159" s="10"/>
      <c r="O159" s="10" t="s">
        <v>28</v>
      </c>
      <c r="P159" s="12" t="s">
        <v>1233</v>
      </c>
      <c r="Q159" s="12" t="s">
        <v>1234</v>
      </c>
      <c r="R159" s="61"/>
      <c r="S159" s="2"/>
      <c r="T159" s="2"/>
      <c r="U159" s="2"/>
      <c r="V159" s="2"/>
      <c r="W159" s="2"/>
      <c r="X159" s="2"/>
      <c r="Y159" s="2"/>
      <c r="Z159" s="2"/>
      <c r="AA159" s="2"/>
      <c r="AB159" s="2"/>
      <c r="AC159" s="2"/>
      <c r="AD159" s="2"/>
    </row>
    <row r="160" spans="1:30" ht="409.5">
      <c r="A160" s="39">
        <v>155</v>
      </c>
      <c r="B160" s="39">
        <v>155</v>
      </c>
      <c r="C160" s="6" t="s">
        <v>1235</v>
      </c>
      <c r="D160" s="5">
        <v>3121320436</v>
      </c>
      <c r="E160" s="61"/>
      <c r="F160" s="8">
        <f>VLOOKUP(D160,'Trang tính3'!$B$10:$H$377,7,0)</f>
        <v>98</v>
      </c>
      <c r="G160" s="8" t="str">
        <f>VLOOKUP(D160,'Trang tính2'!$B$1:$D$175,3,0)</f>
        <v>3.78</v>
      </c>
      <c r="H160" s="8"/>
      <c r="I160" s="40" t="s">
        <v>1236</v>
      </c>
      <c r="J160" s="40" t="s">
        <v>1237</v>
      </c>
      <c r="K160" s="40" t="s">
        <v>1238</v>
      </c>
      <c r="L160" s="40" t="s">
        <v>1239</v>
      </c>
      <c r="M160" s="40" t="s">
        <v>1240</v>
      </c>
      <c r="N160" s="10"/>
      <c r="O160" s="10" t="s">
        <v>28</v>
      </c>
      <c r="P160" s="12" t="s">
        <v>1241</v>
      </c>
      <c r="Q160" s="12" t="s">
        <v>1242</v>
      </c>
      <c r="R160" s="61"/>
      <c r="S160" s="2"/>
      <c r="T160" s="2"/>
      <c r="U160" s="2"/>
      <c r="V160" s="2"/>
      <c r="W160" s="2"/>
      <c r="X160" s="2"/>
      <c r="Y160" s="2"/>
      <c r="Z160" s="2"/>
      <c r="AA160" s="2"/>
      <c r="AB160" s="2"/>
      <c r="AC160" s="2"/>
      <c r="AD160" s="2"/>
    </row>
    <row r="161" spans="1:30" ht="156">
      <c r="A161" s="39">
        <v>156</v>
      </c>
      <c r="B161" s="39">
        <v>156</v>
      </c>
      <c r="C161" s="6" t="s">
        <v>1243</v>
      </c>
      <c r="D161" s="5">
        <v>3123320324</v>
      </c>
      <c r="E161" s="61"/>
      <c r="F161" s="8" t="s">
        <v>1244</v>
      </c>
      <c r="G161" s="8" t="s">
        <v>1245</v>
      </c>
      <c r="H161" s="8"/>
      <c r="I161" s="40" t="s">
        <v>1246</v>
      </c>
      <c r="J161" s="40" t="s">
        <v>1134</v>
      </c>
      <c r="K161" s="40" t="s">
        <v>1247</v>
      </c>
      <c r="L161" s="40" t="s">
        <v>1248</v>
      </c>
      <c r="M161" s="40" t="s">
        <v>1249</v>
      </c>
      <c r="N161" s="10"/>
      <c r="O161" s="10" t="s">
        <v>28</v>
      </c>
      <c r="P161" s="12" t="s">
        <v>1250</v>
      </c>
      <c r="Q161" s="12" t="s">
        <v>1250</v>
      </c>
      <c r="R161" s="61"/>
      <c r="S161" s="2"/>
      <c r="T161" s="2"/>
      <c r="U161" s="2"/>
      <c r="V161" s="2"/>
      <c r="W161" s="2"/>
      <c r="X161" s="2"/>
      <c r="Y161" s="2"/>
      <c r="Z161" s="2"/>
      <c r="AA161" s="2"/>
      <c r="AB161" s="2"/>
      <c r="AC161" s="2"/>
      <c r="AD161" s="2"/>
    </row>
    <row r="162" spans="1:30" ht="182">
      <c r="A162" s="39">
        <v>157</v>
      </c>
      <c r="B162" s="39">
        <v>157</v>
      </c>
      <c r="C162" s="6" t="s">
        <v>1251</v>
      </c>
      <c r="D162" s="5">
        <v>3122420186</v>
      </c>
      <c r="E162" s="61"/>
      <c r="F162" s="8" t="s">
        <v>1252</v>
      </c>
      <c r="G162" s="8" t="s">
        <v>1253</v>
      </c>
      <c r="H162" s="8"/>
      <c r="I162" s="40" t="s">
        <v>1254</v>
      </c>
      <c r="J162" s="40" t="s">
        <v>1255</v>
      </c>
      <c r="K162" s="40" t="s">
        <v>1222</v>
      </c>
      <c r="L162" s="40" t="s">
        <v>1256</v>
      </c>
      <c r="M162" s="40" t="s">
        <v>1257</v>
      </c>
      <c r="N162" s="10"/>
      <c r="O162" s="10" t="s">
        <v>28</v>
      </c>
      <c r="P162" s="12" t="s">
        <v>1258</v>
      </c>
      <c r="Q162" s="12" t="s">
        <v>1259</v>
      </c>
      <c r="R162" s="61"/>
      <c r="S162" s="2"/>
      <c r="T162" s="2"/>
      <c r="U162" s="2"/>
      <c r="V162" s="2"/>
      <c r="W162" s="2"/>
      <c r="X162" s="2"/>
      <c r="Y162" s="2"/>
      <c r="Z162" s="2"/>
      <c r="AA162" s="2"/>
      <c r="AB162" s="2"/>
      <c r="AC162" s="2"/>
      <c r="AD162" s="2"/>
    </row>
    <row r="163" spans="1:30" ht="234">
      <c r="A163" s="39">
        <v>158</v>
      </c>
      <c r="B163" s="39">
        <v>158</v>
      </c>
      <c r="C163" s="6" t="s">
        <v>1260</v>
      </c>
      <c r="D163" s="5">
        <v>3122420345</v>
      </c>
      <c r="E163" s="61"/>
      <c r="F163" s="8" t="s">
        <v>1252</v>
      </c>
      <c r="G163" s="8" t="s">
        <v>1261</v>
      </c>
      <c r="H163" s="8"/>
      <c r="I163" s="40" t="s">
        <v>1262</v>
      </c>
      <c r="J163" s="40" t="s">
        <v>1134</v>
      </c>
      <c r="K163" s="40" t="s">
        <v>1263</v>
      </c>
      <c r="L163" s="40" t="s">
        <v>1264</v>
      </c>
      <c r="M163" s="40" t="s">
        <v>1265</v>
      </c>
      <c r="N163" s="10"/>
      <c r="O163" s="10" t="s">
        <v>28</v>
      </c>
      <c r="P163" s="12" t="s">
        <v>1266</v>
      </c>
      <c r="Q163" s="12" t="s">
        <v>1267</v>
      </c>
      <c r="R163" s="61"/>
      <c r="S163" s="2"/>
      <c r="T163" s="2"/>
      <c r="U163" s="2"/>
      <c r="V163" s="2"/>
      <c r="W163" s="2"/>
      <c r="X163" s="2"/>
      <c r="Y163" s="2"/>
      <c r="Z163" s="2"/>
      <c r="AA163" s="2"/>
      <c r="AB163" s="2"/>
      <c r="AC163" s="2"/>
      <c r="AD163" s="2"/>
    </row>
    <row r="164" spans="1:30" ht="409.5">
      <c r="A164" s="39">
        <v>159</v>
      </c>
      <c r="B164" s="39">
        <v>159</v>
      </c>
      <c r="C164" s="6" t="s">
        <v>1268</v>
      </c>
      <c r="D164" s="5">
        <v>3122420079</v>
      </c>
      <c r="E164" s="61"/>
      <c r="F164" s="8">
        <f>VLOOKUP(D164,'Trang tính3'!$B$10:$H$377,7,0)</f>
        <v>100</v>
      </c>
      <c r="G164" s="8" t="str">
        <f>VLOOKUP(D164,'Trang tính2'!$B$1:$D$175,3,0)</f>
        <v>3.38</v>
      </c>
      <c r="H164" s="8"/>
      <c r="I164" s="40" t="s">
        <v>1269</v>
      </c>
      <c r="J164" s="40" t="s">
        <v>1270</v>
      </c>
      <c r="K164" s="40" t="s">
        <v>1271</v>
      </c>
      <c r="L164" s="40" t="s">
        <v>1272</v>
      </c>
      <c r="M164" s="40" t="s">
        <v>1273</v>
      </c>
      <c r="N164" s="10"/>
      <c r="O164" s="10" t="s">
        <v>28</v>
      </c>
      <c r="P164" s="12" t="s">
        <v>1274</v>
      </c>
      <c r="Q164" s="12" t="s">
        <v>1275</v>
      </c>
      <c r="R164" s="61"/>
      <c r="S164" s="2"/>
      <c r="T164" s="2"/>
      <c r="U164" s="2"/>
      <c r="V164" s="2"/>
      <c r="W164" s="2"/>
      <c r="X164" s="2"/>
      <c r="Y164" s="2"/>
      <c r="Z164" s="2"/>
      <c r="AA164" s="2"/>
      <c r="AB164" s="2"/>
      <c r="AC164" s="2"/>
      <c r="AD164" s="2"/>
    </row>
    <row r="165" spans="1:30" ht="409.5">
      <c r="A165" s="39">
        <v>160</v>
      </c>
      <c r="B165" s="39">
        <v>160</v>
      </c>
      <c r="C165" s="6" t="s">
        <v>1276</v>
      </c>
      <c r="D165" s="5">
        <v>3122320069</v>
      </c>
      <c r="E165" s="61"/>
      <c r="F165" s="8">
        <f>VLOOKUP(D165,'Trang tính3'!$B$10:$H$377,7,0)</f>
        <v>99</v>
      </c>
      <c r="G165" s="8" t="str">
        <f>VLOOKUP(D165,'Trang tính2'!$B$1:$D$175,3,0)</f>
        <v>4.00</v>
      </c>
      <c r="H165" s="8"/>
      <c r="I165" s="40" t="s">
        <v>1277</v>
      </c>
      <c r="J165" s="40" t="s">
        <v>1278</v>
      </c>
      <c r="K165" s="40" t="s">
        <v>1279</v>
      </c>
      <c r="L165" s="40" t="s">
        <v>1280</v>
      </c>
      <c r="M165" s="40" t="s">
        <v>1281</v>
      </c>
      <c r="N165" s="10"/>
      <c r="O165" s="10" t="s">
        <v>28</v>
      </c>
      <c r="P165" s="12" t="s">
        <v>1282</v>
      </c>
      <c r="Q165" s="12" t="s">
        <v>1283</v>
      </c>
      <c r="R165" s="61"/>
      <c r="S165" s="2"/>
      <c r="T165" s="2"/>
      <c r="U165" s="2"/>
      <c r="V165" s="2"/>
      <c r="W165" s="2"/>
      <c r="X165" s="2"/>
      <c r="Y165" s="2"/>
      <c r="Z165" s="2"/>
      <c r="AA165" s="2"/>
      <c r="AB165" s="2"/>
      <c r="AC165" s="2"/>
      <c r="AD165" s="2"/>
    </row>
    <row r="166" spans="1:30" ht="286">
      <c r="A166" s="39">
        <v>161</v>
      </c>
      <c r="B166" s="39">
        <v>161</v>
      </c>
      <c r="C166" s="6" t="s">
        <v>1284</v>
      </c>
      <c r="D166" s="5">
        <v>3121420311</v>
      </c>
      <c r="E166" s="61"/>
      <c r="F166" s="8">
        <f>VLOOKUP(D166,'Trang tính3'!$B$10:$H$377,7,0)</f>
        <v>91.5</v>
      </c>
      <c r="G166" s="8" t="str">
        <f>VLOOKUP(D166,'Trang tính2'!$B$1:$D$175,3,0)</f>
        <v>3.70</v>
      </c>
      <c r="H166" s="8"/>
      <c r="I166" s="40" t="s">
        <v>1285</v>
      </c>
      <c r="J166" s="40" t="s">
        <v>1286</v>
      </c>
      <c r="K166" s="40" t="s">
        <v>1287</v>
      </c>
      <c r="L166" s="40" t="s">
        <v>1288</v>
      </c>
      <c r="M166" s="40" t="s">
        <v>1289</v>
      </c>
      <c r="N166" s="10"/>
      <c r="O166" s="10" t="s">
        <v>28</v>
      </c>
      <c r="P166" s="12" t="s">
        <v>1290</v>
      </c>
      <c r="Q166" s="12" t="s">
        <v>1291</v>
      </c>
      <c r="R166" s="61"/>
      <c r="S166" s="2"/>
      <c r="T166" s="2"/>
      <c r="U166" s="2"/>
      <c r="V166" s="2"/>
      <c r="W166" s="2"/>
      <c r="X166" s="2"/>
      <c r="Y166" s="2"/>
      <c r="Z166" s="2"/>
      <c r="AA166" s="2"/>
      <c r="AB166" s="2"/>
      <c r="AC166" s="2"/>
      <c r="AD166" s="2"/>
    </row>
    <row r="167" spans="1:30" ht="409.5">
      <c r="A167" s="39">
        <v>162</v>
      </c>
      <c r="B167" s="39">
        <v>162</v>
      </c>
      <c r="C167" s="6" t="s">
        <v>1292</v>
      </c>
      <c r="D167" s="5">
        <v>3123420441</v>
      </c>
      <c r="E167" s="61"/>
      <c r="F167" s="8" t="s">
        <v>195</v>
      </c>
      <c r="G167" s="8" t="s">
        <v>924</v>
      </c>
      <c r="H167" s="8"/>
      <c r="I167" s="40" t="s">
        <v>1293</v>
      </c>
      <c r="J167" s="40" t="s">
        <v>1294</v>
      </c>
      <c r="K167" s="40" t="s">
        <v>1295</v>
      </c>
      <c r="L167" s="40" t="s">
        <v>1296</v>
      </c>
      <c r="M167" s="40" t="s">
        <v>1297</v>
      </c>
      <c r="N167" s="10"/>
      <c r="O167" s="10" t="s">
        <v>28</v>
      </c>
      <c r="P167" s="12" t="s">
        <v>1298</v>
      </c>
      <c r="Q167" s="12" t="s">
        <v>1299</v>
      </c>
      <c r="R167" s="61"/>
      <c r="S167" s="2"/>
      <c r="T167" s="2"/>
      <c r="U167" s="2"/>
      <c r="V167" s="2"/>
      <c r="W167" s="2"/>
      <c r="X167" s="2"/>
      <c r="Y167" s="2"/>
      <c r="Z167" s="2"/>
      <c r="AA167" s="2"/>
      <c r="AB167" s="2"/>
      <c r="AC167" s="2"/>
      <c r="AD167" s="2"/>
    </row>
    <row r="168" spans="1:30" ht="338">
      <c r="A168" s="39">
        <v>163</v>
      </c>
      <c r="B168" s="39">
        <v>163</v>
      </c>
      <c r="C168" s="6" t="s">
        <v>1300</v>
      </c>
      <c r="D168" s="5">
        <v>3122420052</v>
      </c>
      <c r="E168" s="61"/>
      <c r="F168" s="8" t="s">
        <v>1301</v>
      </c>
      <c r="G168" s="8" t="s">
        <v>957</v>
      </c>
      <c r="H168" s="8"/>
      <c r="I168" s="40" t="s">
        <v>1302</v>
      </c>
      <c r="J168" s="40" t="s">
        <v>1303</v>
      </c>
      <c r="K168" s="40" t="s">
        <v>1304</v>
      </c>
      <c r="L168" s="40" t="s">
        <v>1305</v>
      </c>
      <c r="M168" s="40" t="s">
        <v>1306</v>
      </c>
      <c r="N168" s="10"/>
      <c r="O168" s="10" t="s">
        <v>28</v>
      </c>
      <c r="P168" s="12" t="s">
        <v>1307</v>
      </c>
      <c r="Q168" s="12" t="s">
        <v>1308</v>
      </c>
      <c r="R168" s="61"/>
      <c r="S168" s="2"/>
      <c r="T168" s="2"/>
      <c r="U168" s="2"/>
      <c r="V168" s="2"/>
      <c r="W168" s="2"/>
      <c r="X168" s="2"/>
      <c r="Y168" s="2"/>
      <c r="Z168" s="2"/>
      <c r="AA168" s="2"/>
      <c r="AB168" s="2"/>
      <c r="AC168" s="2"/>
      <c r="AD168" s="2"/>
    </row>
    <row r="169" spans="1:30" ht="351" hidden="1">
      <c r="A169" s="39">
        <v>164</v>
      </c>
      <c r="B169" s="39">
        <v>164</v>
      </c>
      <c r="C169" s="6" t="s">
        <v>1309</v>
      </c>
      <c r="D169" s="5">
        <v>3121320168</v>
      </c>
      <c r="E169" s="61"/>
      <c r="F169" s="8" t="s">
        <v>1310</v>
      </c>
      <c r="G169" s="8" t="s">
        <v>1311</v>
      </c>
      <c r="H169" s="8"/>
      <c r="I169" s="40" t="s">
        <v>1312</v>
      </c>
      <c r="J169" s="40" t="s">
        <v>1313</v>
      </c>
      <c r="K169" s="40" t="s">
        <v>1314</v>
      </c>
      <c r="L169" s="40" t="s">
        <v>1315</v>
      </c>
      <c r="M169" s="40" t="s">
        <v>1316</v>
      </c>
      <c r="N169" s="10" t="s">
        <v>60</v>
      </c>
      <c r="O169" s="10" t="s">
        <v>28</v>
      </c>
      <c r="P169" s="12" t="s">
        <v>1678</v>
      </c>
      <c r="Q169" s="12" t="s">
        <v>1679</v>
      </c>
      <c r="R169" s="61"/>
      <c r="S169" s="2"/>
      <c r="T169" s="2"/>
      <c r="U169" s="2"/>
      <c r="V169" s="2"/>
      <c r="W169" s="2"/>
      <c r="X169" s="2"/>
      <c r="Y169" s="2"/>
      <c r="Z169" s="2"/>
      <c r="AA169" s="2"/>
      <c r="AB169" s="2"/>
      <c r="AC169" s="2"/>
      <c r="AD169" s="2"/>
    </row>
    <row r="170" spans="1:30" ht="390" hidden="1">
      <c r="A170" s="39">
        <v>165</v>
      </c>
      <c r="B170" s="39">
        <v>165</v>
      </c>
      <c r="C170" s="6" t="s">
        <v>1317</v>
      </c>
      <c r="D170" s="5">
        <v>3121320196</v>
      </c>
      <c r="E170" s="61"/>
      <c r="F170" s="8" t="s">
        <v>1310</v>
      </c>
      <c r="G170" s="8" t="s">
        <v>1311</v>
      </c>
      <c r="H170" s="8"/>
      <c r="I170" s="40" t="s">
        <v>1318</v>
      </c>
      <c r="J170" s="40" t="s">
        <v>1319</v>
      </c>
      <c r="K170" s="40" t="s">
        <v>1320</v>
      </c>
      <c r="L170" s="40" t="s">
        <v>1321</v>
      </c>
      <c r="M170" s="40" t="s">
        <v>1322</v>
      </c>
      <c r="N170" s="10" t="s">
        <v>60</v>
      </c>
      <c r="O170" s="10" t="s">
        <v>28</v>
      </c>
      <c r="P170" s="12" t="s">
        <v>1680</v>
      </c>
      <c r="Q170" s="12" t="s">
        <v>1681</v>
      </c>
      <c r="R170" s="61"/>
      <c r="S170" s="2"/>
      <c r="T170" s="2"/>
      <c r="U170" s="2"/>
      <c r="V170" s="2"/>
      <c r="W170" s="2"/>
      <c r="X170" s="2"/>
      <c r="Y170" s="2"/>
      <c r="Z170" s="2"/>
      <c r="AA170" s="2"/>
      <c r="AB170" s="2"/>
      <c r="AC170" s="2"/>
      <c r="AD170" s="2"/>
    </row>
    <row r="171" spans="1:30" ht="409.5" hidden="1">
      <c r="A171" s="39">
        <v>166</v>
      </c>
      <c r="B171" s="39">
        <v>166</v>
      </c>
      <c r="C171" s="6" t="s">
        <v>1323</v>
      </c>
      <c r="D171" s="5">
        <v>3121320376</v>
      </c>
      <c r="E171" s="61"/>
      <c r="F171" s="8" t="s">
        <v>195</v>
      </c>
      <c r="G171" s="8" t="s">
        <v>431</v>
      </c>
      <c r="H171" s="8"/>
      <c r="I171" s="40" t="s">
        <v>1324</v>
      </c>
      <c r="J171" s="40" t="s">
        <v>1325</v>
      </c>
      <c r="K171" s="40" t="s">
        <v>1326</v>
      </c>
      <c r="L171" s="40" t="s">
        <v>1327</v>
      </c>
      <c r="M171" s="40" t="s">
        <v>1328</v>
      </c>
      <c r="N171" s="10" t="s">
        <v>60</v>
      </c>
      <c r="O171" s="10" t="s">
        <v>28</v>
      </c>
      <c r="P171" s="12" t="s">
        <v>1682</v>
      </c>
      <c r="Q171" s="12" t="s">
        <v>1683</v>
      </c>
      <c r="R171" s="61"/>
      <c r="S171" s="2"/>
      <c r="T171" s="2"/>
      <c r="U171" s="2"/>
      <c r="V171" s="2"/>
      <c r="W171" s="2"/>
      <c r="X171" s="2"/>
      <c r="Y171" s="2"/>
      <c r="Z171" s="2"/>
      <c r="AA171" s="2"/>
      <c r="AB171" s="2"/>
      <c r="AC171" s="2"/>
      <c r="AD171" s="2"/>
    </row>
    <row r="172" spans="1:30" ht="351" hidden="1">
      <c r="A172" s="39">
        <v>167</v>
      </c>
      <c r="B172" s="39">
        <v>167</v>
      </c>
      <c r="C172" s="6" t="s">
        <v>1329</v>
      </c>
      <c r="D172" s="5">
        <v>3121320353</v>
      </c>
      <c r="E172" s="62"/>
      <c r="F172" s="8" t="s">
        <v>1301</v>
      </c>
      <c r="G172" s="8" t="s">
        <v>1311</v>
      </c>
      <c r="H172" s="8"/>
      <c r="I172" s="40" t="s">
        <v>1330</v>
      </c>
      <c r="J172" s="40" t="s">
        <v>1331</v>
      </c>
      <c r="K172" s="40" t="s">
        <v>1326</v>
      </c>
      <c r="L172" s="40" t="s">
        <v>1332</v>
      </c>
      <c r="M172" s="40" t="s">
        <v>1333</v>
      </c>
      <c r="N172" s="10" t="s">
        <v>60</v>
      </c>
      <c r="O172" s="10" t="s">
        <v>28</v>
      </c>
      <c r="P172" s="12" t="s">
        <v>1684</v>
      </c>
      <c r="Q172" s="12" t="s">
        <v>1685</v>
      </c>
      <c r="R172" s="62"/>
      <c r="S172" s="2"/>
      <c r="T172" s="2"/>
      <c r="U172" s="2"/>
      <c r="V172" s="2"/>
      <c r="W172" s="2"/>
      <c r="X172" s="2"/>
      <c r="Y172" s="2"/>
      <c r="Z172" s="2"/>
      <c r="AA172" s="2"/>
      <c r="AB172" s="2"/>
      <c r="AC172" s="2"/>
      <c r="AD172" s="2"/>
    </row>
    <row r="173" spans="1:30" ht="169">
      <c r="A173" s="39">
        <v>168</v>
      </c>
      <c r="B173" s="39">
        <v>168</v>
      </c>
      <c r="C173" s="6" t="s">
        <v>964</v>
      </c>
      <c r="D173" s="5">
        <v>3123010031</v>
      </c>
      <c r="E173" s="70" t="s">
        <v>965</v>
      </c>
      <c r="F173" s="8">
        <f>VLOOKUP(D173,'Trang tính3'!$B$10:$H$377,7,0)</f>
        <v>100</v>
      </c>
      <c r="G173" s="8" t="str">
        <f>VLOOKUP(D173,'Trang tính2'!$B$1:$D$175,3,0)</f>
        <v>3.41</v>
      </c>
      <c r="H173" s="8"/>
      <c r="I173" s="40" t="s">
        <v>966</v>
      </c>
      <c r="J173" s="40" t="s">
        <v>967</v>
      </c>
      <c r="K173" s="40" t="s">
        <v>968</v>
      </c>
      <c r="L173" s="40" t="s">
        <v>969</v>
      </c>
      <c r="M173" s="40" t="s">
        <v>970</v>
      </c>
      <c r="N173" s="10"/>
      <c r="O173" s="10" t="s">
        <v>28</v>
      </c>
      <c r="P173" s="12" t="s">
        <v>971</v>
      </c>
      <c r="Q173" s="12" t="s">
        <v>972</v>
      </c>
      <c r="R173" s="60" t="s">
        <v>973</v>
      </c>
      <c r="S173" s="2"/>
      <c r="T173" s="2"/>
      <c r="U173" s="2"/>
      <c r="V173" s="2"/>
      <c r="W173" s="2"/>
      <c r="X173" s="2"/>
      <c r="Y173" s="2"/>
      <c r="Z173" s="2"/>
      <c r="AA173" s="2"/>
      <c r="AB173" s="2"/>
      <c r="AC173" s="2"/>
      <c r="AD173" s="2"/>
    </row>
    <row r="174" spans="1:30" ht="312">
      <c r="A174" s="39">
        <v>169</v>
      </c>
      <c r="B174" s="39">
        <v>169</v>
      </c>
      <c r="C174" s="6" t="s">
        <v>974</v>
      </c>
      <c r="D174" s="5">
        <v>3123010004</v>
      </c>
      <c r="E174" s="61"/>
      <c r="F174" s="8">
        <f>VLOOKUP(D174,'Trang tính3'!$B$10:$H$377,7,0)</f>
        <v>96</v>
      </c>
      <c r="G174" s="8" t="str">
        <f>VLOOKUP(D174,'Trang tính2'!$B$1:$D$175,3,0)</f>
        <v>3.44</v>
      </c>
      <c r="H174" s="8"/>
      <c r="I174" s="40" t="s">
        <v>975</v>
      </c>
      <c r="J174" s="40" t="s">
        <v>976</v>
      </c>
      <c r="K174" s="40" t="s">
        <v>977</v>
      </c>
      <c r="L174" s="40" t="s">
        <v>978</v>
      </c>
      <c r="M174" s="40" t="s">
        <v>979</v>
      </c>
      <c r="N174" s="10"/>
      <c r="O174" s="10" t="s">
        <v>28</v>
      </c>
      <c r="P174" s="12" t="s">
        <v>971</v>
      </c>
      <c r="Q174" s="12" t="s">
        <v>972</v>
      </c>
      <c r="R174" s="61"/>
      <c r="S174" s="2"/>
      <c r="T174" s="2"/>
      <c r="U174" s="2"/>
      <c r="V174" s="2"/>
      <c r="W174" s="2"/>
      <c r="X174" s="2"/>
      <c r="Y174" s="2"/>
      <c r="Z174" s="2"/>
      <c r="AA174" s="2"/>
      <c r="AB174" s="2"/>
      <c r="AC174" s="2"/>
      <c r="AD174" s="2"/>
    </row>
    <row r="175" spans="1:30" ht="312">
      <c r="A175" s="39">
        <v>170</v>
      </c>
      <c r="B175" s="39">
        <v>170</v>
      </c>
      <c r="C175" s="6" t="s">
        <v>980</v>
      </c>
      <c r="D175" s="5">
        <v>3123010033</v>
      </c>
      <c r="E175" s="61"/>
      <c r="F175" s="8">
        <f>VLOOKUP(D175,'Trang tính3'!$B$10:$H$377,7,0)</f>
        <v>98.5</v>
      </c>
      <c r="G175" s="8" t="str">
        <f>VLOOKUP(D175,'Trang tính2'!$B$1:$D$175,3,0)</f>
        <v>3.49</v>
      </c>
      <c r="H175" s="8"/>
      <c r="I175" s="40" t="s">
        <v>981</v>
      </c>
      <c r="J175" s="40" t="s">
        <v>976</v>
      </c>
      <c r="K175" s="40" t="s">
        <v>977</v>
      </c>
      <c r="L175" s="40" t="s">
        <v>982</v>
      </c>
      <c r="M175" s="40" t="s">
        <v>983</v>
      </c>
      <c r="N175" s="10"/>
      <c r="O175" s="10" t="s">
        <v>28</v>
      </c>
      <c r="P175" s="12" t="s">
        <v>971</v>
      </c>
      <c r="Q175" s="12" t="s">
        <v>972</v>
      </c>
      <c r="R175" s="61"/>
      <c r="S175" s="2"/>
      <c r="T175" s="2"/>
      <c r="U175" s="2"/>
      <c r="V175" s="2"/>
      <c r="W175" s="2"/>
      <c r="X175" s="2"/>
      <c r="Y175" s="2"/>
      <c r="Z175" s="2"/>
      <c r="AA175" s="2"/>
      <c r="AB175" s="2"/>
      <c r="AC175" s="2"/>
      <c r="AD175" s="2"/>
    </row>
    <row r="176" spans="1:30" ht="390">
      <c r="A176" s="39">
        <v>171</v>
      </c>
      <c r="B176" s="39">
        <v>171</v>
      </c>
      <c r="C176" s="6" t="s">
        <v>984</v>
      </c>
      <c r="D176" s="5">
        <v>3124480032</v>
      </c>
      <c r="E176" s="61"/>
      <c r="F176" s="8">
        <f>VLOOKUP(D176,'Trang tính3'!$B$10:$H$377,7,0)</f>
        <v>98.7</v>
      </c>
      <c r="G176" s="8" t="str">
        <f>VLOOKUP(D176,'Trang tính2'!$B$1:$D$175,3,0)</f>
        <v>3.51</v>
      </c>
      <c r="H176" s="8"/>
      <c r="I176" s="40" t="s">
        <v>985</v>
      </c>
      <c r="J176" s="40" t="s">
        <v>986</v>
      </c>
      <c r="K176" s="40" t="s">
        <v>987</v>
      </c>
      <c r="L176" s="40" t="s">
        <v>988</v>
      </c>
      <c r="M176" s="40" t="s">
        <v>989</v>
      </c>
      <c r="N176" s="10"/>
      <c r="O176" s="10" t="s">
        <v>28</v>
      </c>
      <c r="P176" s="12" t="s">
        <v>971</v>
      </c>
      <c r="Q176" s="12" t="s">
        <v>972</v>
      </c>
      <c r="R176" s="61"/>
      <c r="S176" s="2"/>
      <c r="T176" s="2"/>
      <c r="U176" s="2"/>
      <c r="V176" s="2"/>
      <c r="W176" s="2"/>
      <c r="X176" s="2"/>
      <c r="Y176" s="2"/>
      <c r="Z176" s="2"/>
      <c r="AA176" s="2"/>
      <c r="AB176" s="2"/>
      <c r="AC176" s="2"/>
      <c r="AD176" s="2"/>
    </row>
    <row r="177" spans="1:30" ht="299">
      <c r="A177" s="39">
        <v>172</v>
      </c>
      <c r="B177" s="39">
        <v>172</v>
      </c>
      <c r="C177" s="6" t="s">
        <v>990</v>
      </c>
      <c r="D177" s="5">
        <v>3124580016</v>
      </c>
      <c r="E177" s="61"/>
      <c r="F177" s="8">
        <f>VLOOKUP(D177,'Trang tính3'!$B$10:$H$377,7,0)</f>
        <v>95.7</v>
      </c>
      <c r="G177" s="8" t="str">
        <f>VLOOKUP(D177,'Trang tính2'!$B$1:$D$175,3,0)</f>
        <v>3.27</v>
      </c>
      <c r="H177" s="8"/>
      <c r="I177" s="40" t="s">
        <v>991</v>
      </c>
      <c r="J177" s="40" t="s">
        <v>992</v>
      </c>
      <c r="K177" s="40" t="s">
        <v>993</v>
      </c>
      <c r="L177" s="40" t="s">
        <v>994</v>
      </c>
      <c r="M177" s="40" t="s">
        <v>995</v>
      </c>
      <c r="N177" s="10"/>
      <c r="O177" s="10" t="s">
        <v>28</v>
      </c>
      <c r="P177" s="12" t="s">
        <v>971</v>
      </c>
      <c r="Q177" s="12" t="s">
        <v>972</v>
      </c>
      <c r="R177" s="61"/>
      <c r="S177" s="2"/>
      <c r="T177" s="2"/>
      <c r="U177" s="2"/>
      <c r="V177" s="2"/>
      <c r="W177" s="2"/>
      <c r="X177" s="2"/>
      <c r="Y177" s="2"/>
      <c r="Z177" s="2"/>
      <c r="AA177" s="2"/>
      <c r="AB177" s="2"/>
      <c r="AC177" s="2"/>
      <c r="AD177" s="2"/>
    </row>
    <row r="178" spans="1:30" ht="299">
      <c r="A178" s="39">
        <v>173</v>
      </c>
      <c r="B178" s="39">
        <v>173</v>
      </c>
      <c r="C178" s="6" t="s">
        <v>996</v>
      </c>
      <c r="D178" s="5">
        <v>3123480002</v>
      </c>
      <c r="E178" s="61"/>
      <c r="F178" s="8">
        <f>VLOOKUP(D178,'Trang tính3'!$B$10:$H$377,7,0)</f>
        <v>96</v>
      </c>
      <c r="G178" s="8" t="str">
        <f>VLOOKUP(D178,'Trang tính2'!$B$1:$D$175,3,0)</f>
        <v>3.26</v>
      </c>
      <c r="H178" s="8"/>
      <c r="I178" s="40" t="s">
        <v>997</v>
      </c>
      <c r="J178" s="40" t="s">
        <v>998</v>
      </c>
      <c r="K178" s="40" t="s">
        <v>999</v>
      </c>
      <c r="L178" s="40" t="s">
        <v>1000</v>
      </c>
      <c r="M178" s="40" t="s">
        <v>1001</v>
      </c>
      <c r="N178" s="10"/>
      <c r="O178" s="10" t="s">
        <v>28</v>
      </c>
      <c r="P178" s="12" t="s">
        <v>971</v>
      </c>
      <c r="Q178" s="12" t="s">
        <v>972</v>
      </c>
      <c r="R178" s="61"/>
      <c r="S178" s="2"/>
      <c r="T178" s="2"/>
      <c r="U178" s="2"/>
      <c r="V178" s="2"/>
      <c r="W178" s="2"/>
      <c r="X178" s="2"/>
      <c r="Y178" s="2"/>
      <c r="Z178" s="2"/>
      <c r="AA178" s="2"/>
      <c r="AB178" s="2"/>
      <c r="AC178" s="2"/>
      <c r="AD178" s="2"/>
    </row>
    <row r="179" spans="1:30" ht="390">
      <c r="A179" s="39">
        <v>174</v>
      </c>
      <c r="B179" s="39">
        <v>174</v>
      </c>
      <c r="C179" s="6" t="s">
        <v>1002</v>
      </c>
      <c r="D179" s="5">
        <v>3124580011</v>
      </c>
      <c r="E179" s="61"/>
      <c r="F179" s="8">
        <f>VLOOKUP(D179,'Trang tính3'!$B$10:$H$377,7,0)</f>
        <v>95.3</v>
      </c>
      <c r="G179" s="8">
        <f>VLOOKUP(D179,'Trang tính2'!$B$1:$D$175,3,0)</f>
        <v>3.12</v>
      </c>
      <c r="H179" s="8"/>
      <c r="I179" s="40" t="s">
        <v>1003</v>
      </c>
      <c r="J179" s="40" t="s">
        <v>1004</v>
      </c>
      <c r="K179" s="40" t="s">
        <v>1005</v>
      </c>
      <c r="L179" s="40" t="s">
        <v>1006</v>
      </c>
      <c r="M179" s="40" t="s">
        <v>1007</v>
      </c>
      <c r="N179" s="10"/>
      <c r="O179" s="10" t="s">
        <v>28</v>
      </c>
      <c r="P179" s="12" t="s">
        <v>971</v>
      </c>
      <c r="Q179" s="12" t="s">
        <v>972</v>
      </c>
      <c r="R179" s="61"/>
      <c r="S179" s="2"/>
      <c r="T179" s="2"/>
      <c r="U179" s="2"/>
      <c r="V179" s="2"/>
      <c r="W179" s="2"/>
      <c r="X179" s="2"/>
      <c r="Y179" s="2"/>
      <c r="Z179" s="2"/>
      <c r="AA179" s="2"/>
      <c r="AB179" s="2"/>
      <c r="AC179" s="2"/>
      <c r="AD179" s="2"/>
    </row>
    <row r="180" spans="1:30" ht="409.5">
      <c r="A180" s="39">
        <v>175</v>
      </c>
      <c r="B180" s="39">
        <v>175</v>
      </c>
      <c r="C180" s="6" t="s">
        <v>1008</v>
      </c>
      <c r="D180" s="5">
        <v>3121480061</v>
      </c>
      <c r="E180" s="61"/>
      <c r="F180" s="8">
        <f>VLOOKUP(D180,'Trang tính3'!$B$10:$H$377,7,0)</f>
        <v>97.5</v>
      </c>
      <c r="G180" s="8" t="str">
        <f>VLOOKUP(D180,'Trang tính2'!$B$1:$D$175,3,0)</f>
        <v>2.84</v>
      </c>
      <c r="H180" s="8"/>
      <c r="I180" s="40" t="s">
        <v>1009</v>
      </c>
      <c r="J180" s="40" t="s">
        <v>1010</v>
      </c>
      <c r="K180" s="40" t="s">
        <v>1011</v>
      </c>
      <c r="L180" s="40" t="s">
        <v>1012</v>
      </c>
      <c r="M180" s="40" t="s">
        <v>1013</v>
      </c>
      <c r="N180" s="10"/>
      <c r="O180" s="10" t="s">
        <v>28</v>
      </c>
      <c r="P180" s="12" t="s">
        <v>971</v>
      </c>
      <c r="Q180" s="12" t="s">
        <v>972</v>
      </c>
      <c r="R180" s="61"/>
      <c r="S180" s="2"/>
      <c r="T180" s="2"/>
      <c r="U180" s="2"/>
      <c r="V180" s="2"/>
      <c r="W180" s="2"/>
      <c r="X180" s="2"/>
      <c r="Y180" s="2"/>
      <c r="Z180" s="2"/>
      <c r="AA180" s="2"/>
      <c r="AB180" s="2"/>
      <c r="AC180" s="2"/>
      <c r="AD180" s="2"/>
    </row>
    <row r="181" spans="1:30" ht="377">
      <c r="A181" s="39">
        <v>176</v>
      </c>
      <c r="B181" s="39">
        <v>176</v>
      </c>
      <c r="C181" s="6" t="s">
        <v>1014</v>
      </c>
      <c r="D181" s="5">
        <v>3121010002</v>
      </c>
      <c r="E181" s="61"/>
      <c r="F181" s="8">
        <f>VLOOKUP(D181,'Trang tính3'!$B$10:$H$377,7,0)</f>
        <v>100</v>
      </c>
      <c r="G181" s="8" t="str">
        <f>VLOOKUP(D181,'Trang tính2'!$B$1:$D$175,3,0)</f>
        <v>3.43</v>
      </c>
      <c r="H181" s="8"/>
      <c r="I181" s="40" t="s">
        <v>1015</v>
      </c>
      <c r="J181" s="40" t="s">
        <v>1016</v>
      </c>
      <c r="K181" s="40" t="s">
        <v>1017</v>
      </c>
      <c r="L181" s="40" t="s">
        <v>1018</v>
      </c>
      <c r="M181" s="40" t="s">
        <v>1019</v>
      </c>
      <c r="N181" s="10"/>
      <c r="O181" s="10" t="s">
        <v>28</v>
      </c>
      <c r="P181" s="12" t="s">
        <v>253</v>
      </c>
      <c r="Q181" s="12" t="s">
        <v>254</v>
      </c>
      <c r="R181" s="61"/>
      <c r="S181" s="2"/>
      <c r="T181" s="2"/>
      <c r="U181" s="2"/>
      <c r="V181" s="2"/>
      <c r="W181" s="2"/>
      <c r="X181" s="2"/>
      <c r="Y181" s="2"/>
      <c r="Z181" s="2"/>
      <c r="AA181" s="2"/>
      <c r="AB181" s="2"/>
      <c r="AC181" s="2"/>
      <c r="AD181" s="2"/>
    </row>
    <row r="182" spans="1:30" ht="325">
      <c r="A182" s="39">
        <v>177</v>
      </c>
      <c r="B182" s="39">
        <v>177</v>
      </c>
      <c r="C182" s="6" t="s">
        <v>1020</v>
      </c>
      <c r="D182" s="5">
        <v>3124480033</v>
      </c>
      <c r="E182" s="61"/>
      <c r="F182" s="8">
        <f>VLOOKUP(D182,'Trang tính3'!$B$10:$H$377,7,0)</f>
        <v>91.7</v>
      </c>
      <c r="G182" s="8" t="str">
        <f>VLOOKUP(D182,'Trang tính2'!$B$1:$D$175,3,0)</f>
        <v>3.66</v>
      </c>
      <c r="H182" s="8"/>
      <c r="I182" s="40" t="s">
        <v>1021</v>
      </c>
      <c r="J182" s="40" t="s">
        <v>1022</v>
      </c>
      <c r="K182" s="40" t="s">
        <v>1023</v>
      </c>
      <c r="L182" s="40" t="s">
        <v>1024</v>
      </c>
      <c r="M182" s="40" t="s">
        <v>1025</v>
      </c>
      <c r="N182" s="10"/>
      <c r="O182" s="29" t="s">
        <v>28</v>
      </c>
      <c r="P182" s="12" t="s">
        <v>971</v>
      </c>
      <c r="Q182" s="12" t="s">
        <v>972</v>
      </c>
      <c r="R182" s="61"/>
      <c r="S182" s="2"/>
      <c r="T182" s="2"/>
      <c r="U182" s="2"/>
      <c r="V182" s="2"/>
      <c r="W182" s="2"/>
      <c r="X182" s="2"/>
      <c r="Y182" s="2"/>
      <c r="Z182" s="2"/>
      <c r="AA182" s="2"/>
      <c r="AB182" s="2"/>
      <c r="AC182" s="2"/>
      <c r="AD182" s="2"/>
    </row>
    <row r="183" spans="1:30" ht="409.5">
      <c r="A183" s="39">
        <v>178</v>
      </c>
      <c r="B183" s="39">
        <v>178</v>
      </c>
      <c r="C183" s="6" t="s">
        <v>1026</v>
      </c>
      <c r="D183" s="5">
        <v>3124480061</v>
      </c>
      <c r="E183" s="61"/>
      <c r="F183" s="8">
        <f>VLOOKUP(D183,'Trang tính3'!$B$10:$H$377,7,0)</f>
        <v>91.3</v>
      </c>
      <c r="G183" s="8" t="str">
        <f>VLOOKUP(D183,'Trang tính2'!$B$1:$D$175,3,0)</f>
        <v>3.53</v>
      </c>
      <c r="H183" s="8"/>
      <c r="I183" s="40" t="s">
        <v>1027</v>
      </c>
      <c r="J183" s="40" t="s">
        <v>1028</v>
      </c>
      <c r="K183" s="40" t="s">
        <v>999</v>
      </c>
      <c r="L183" s="40" t="s">
        <v>1029</v>
      </c>
      <c r="M183" s="40" t="s">
        <v>1030</v>
      </c>
      <c r="N183" s="10"/>
      <c r="O183" s="10" t="s">
        <v>28</v>
      </c>
      <c r="P183" s="12" t="s">
        <v>971</v>
      </c>
      <c r="Q183" s="12" t="s">
        <v>972</v>
      </c>
      <c r="R183" s="61"/>
      <c r="S183" s="2"/>
      <c r="T183" s="2"/>
      <c r="U183" s="2"/>
      <c r="V183" s="2"/>
      <c r="W183" s="2"/>
      <c r="X183" s="2"/>
      <c r="Y183" s="2"/>
      <c r="Z183" s="2"/>
      <c r="AA183" s="2"/>
      <c r="AB183" s="2"/>
      <c r="AC183" s="2"/>
      <c r="AD183" s="2"/>
    </row>
    <row r="184" spans="1:30" ht="234">
      <c r="A184" s="39">
        <v>179</v>
      </c>
      <c r="B184" s="39">
        <v>179</v>
      </c>
      <c r="C184" s="6" t="s">
        <v>1031</v>
      </c>
      <c r="D184" s="5">
        <v>3121480038</v>
      </c>
      <c r="E184" s="61"/>
      <c r="F184" s="8">
        <f>VLOOKUP(D184,'Trang tính3'!$B$10:$H$377,7,0)</f>
        <v>98.5</v>
      </c>
      <c r="G184" s="8" t="str">
        <f>VLOOKUP(D184,'Trang tính2'!$B$1:$D$175,3,0)</f>
        <v>3.38</v>
      </c>
      <c r="H184" s="8"/>
      <c r="I184" s="40" t="s">
        <v>1032</v>
      </c>
      <c r="J184" s="40" t="s">
        <v>1033</v>
      </c>
      <c r="K184" s="40" t="s">
        <v>999</v>
      </c>
      <c r="L184" s="40" t="s">
        <v>1034</v>
      </c>
      <c r="M184" s="40" t="s">
        <v>1035</v>
      </c>
      <c r="N184" s="10"/>
      <c r="O184" s="10" t="s">
        <v>28</v>
      </c>
      <c r="P184" s="12" t="s">
        <v>1036</v>
      </c>
      <c r="Q184" s="12" t="s">
        <v>972</v>
      </c>
      <c r="R184" s="61"/>
      <c r="S184" s="2"/>
      <c r="T184" s="2"/>
      <c r="U184" s="2"/>
      <c r="V184" s="2"/>
      <c r="W184" s="2"/>
      <c r="X184" s="2"/>
      <c r="Y184" s="2"/>
      <c r="Z184" s="2"/>
      <c r="AA184" s="2"/>
      <c r="AB184" s="2"/>
      <c r="AC184" s="2"/>
      <c r="AD184" s="2"/>
    </row>
    <row r="185" spans="1:30" ht="409.5">
      <c r="A185" s="39">
        <v>180</v>
      </c>
      <c r="B185" s="39">
        <v>180</v>
      </c>
      <c r="C185" s="6" t="s">
        <v>1037</v>
      </c>
      <c r="D185" s="5">
        <v>3122010005</v>
      </c>
      <c r="E185" s="61"/>
      <c r="F185" s="8">
        <f>VLOOKUP(D185,'Trang tính3'!$B$10:$H$377,7,0)</f>
        <v>97</v>
      </c>
      <c r="G185" s="8" t="str">
        <f>VLOOKUP(D185,'Trang tính2'!$B$1:$D$175,3,0)</f>
        <v>3.32</v>
      </c>
      <c r="H185" s="8"/>
      <c r="I185" s="40" t="s">
        <v>1038</v>
      </c>
      <c r="J185" s="40" t="s">
        <v>1039</v>
      </c>
      <c r="K185" s="40" t="s">
        <v>1040</v>
      </c>
      <c r="L185" s="40" t="s">
        <v>1041</v>
      </c>
      <c r="M185" s="40" t="s">
        <v>1042</v>
      </c>
      <c r="N185" s="10"/>
      <c r="O185" s="10" t="s">
        <v>28</v>
      </c>
      <c r="P185" s="12" t="s">
        <v>1043</v>
      </c>
      <c r="Q185" s="12" t="s">
        <v>1044</v>
      </c>
      <c r="R185" s="61"/>
      <c r="S185" s="2"/>
      <c r="T185" s="2"/>
      <c r="U185" s="2"/>
      <c r="V185" s="2"/>
      <c r="W185" s="2"/>
      <c r="X185" s="2"/>
      <c r="Y185" s="2"/>
      <c r="Z185" s="2"/>
      <c r="AA185" s="2"/>
      <c r="AB185" s="2"/>
      <c r="AC185" s="2"/>
      <c r="AD185" s="2"/>
    </row>
    <row r="186" spans="1:30" ht="234">
      <c r="A186" s="39">
        <v>181</v>
      </c>
      <c r="B186" s="39">
        <v>181</v>
      </c>
      <c r="C186" s="6" t="s">
        <v>1047</v>
      </c>
      <c r="D186" s="5">
        <v>3121480068</v>
      </c>
      <c r="E186" s="61"/>
      <c r="F186" s="8">
        <f>VLOOKUP(D186,'Trang tính3'!$B$10:$H$377,7,0)</f>
        <v>95.5</v>
      </c>
      <c r="G186" s="8" t="str">
        <f>VLOOKUP(D186,'Trang tính2'!$B$1:$D$175,3,0)</f>
        <v>4.00</v>
      </c>
      <c r="H186" s="8"/>
      <c r="I186" s="40" t="s">
        <v>1048</v>
      </c>
      <c r="J186" s="40" t="s">
        <v>1049</v>
      </c>
      <c r="K186" s="40" t="s">
        <v>1050</v>
      </c>
      <c r="L186" s="40" t="s">
        <v>1051</v>
      </c>
      <c r="M186" s="40" t="s">
        <v>1052</v>
      </c>
      <c r="N186" s="10"/>
      <c r="O186" s="10" t="s">
        <v>28</v>
      </c>
      <c r="P186" s="12" t="s">
        <v>971</v>
      </c>
      <c r="Q186" s="12" t="s">
        <v>972</v>
      </c>
      <c r="R186" s="61"/>
      <c r="S186" s="2"/>
      <c r="T186" s="2"/>
      <c r="U186" s="2"/>
      <c r="V186" s="2"/>
      <c r="W186" s="2"/>
      <c r="X186" s="2"/>
      <c r="Y186" s="2"/>
      <c r="Z186" s="2"/>
      <c r="AA186" s="2"/>
      <c r="AB186" s="2"/>
      <c r="AC186" s="2"/>
      <c r="AD186" s="2"/>
    </row>
    <row r="187" spans="1:30" ht="364" hidden="1">
      <c r="A187" s="39">
        <v>182</v>
      </c>
      <c r="B187" s="39">
        <v>182</v>
      </c>
      <c r="C187" s="6" t="s">
        <v>1057</v>
      </c>
      <c r="D187" s="5">
        <v>3121010034</v>
      </c>
      <c r="E187" s="61"/>
      <c r="F187" s="8" t="s">
        <v>195</v>
      </c>
      <c r="G187" s="8" t="s">
        <v>383</v>
      </c>
      <c r="H187" s="8"/>
      <c r="I187" s="40" t="s">
        <v>1058</v>
      </c>
      <c r="J187" s="40" t="s">
        <v>1059</v>
      </c>
      <c r="K187" s="40" t="s">
        <v>1060</v>
      </c>
      <c r="L187" s="40" t="s">
        <v>1061</v>
      </c>
      <c r="M187" s="40" t="s">
        <v>1062</v>
      </c>
      <c r="N187" s="10" t="s">
        <v>60</v>
      </c>
      <c r="O187" s="10" t="s">
        <v>28</v>
      </c>
      <c r="P187" s="12" t="s">
        <v>1063</v>
      </c>
      <c r="Q187" s="30" t="s">
        <v>1064</v>
      </c>
      <c r="R187" s="61"/>
      <c r="S187" s="2"/>
      <c r="T187" s="2"/>
      <c r="U187" s="2"/>
      <c r="V187" s="2"/>
      <c r="W187" s="2"/>
      <c r="X187" s="2"/>
      <c r="Y187" s="2"/>
      <c r="Z187" s="2"/>
      <c r="AA187" s="2"/>
      <c r="AB187" s="2"/>
      <c r="AC187" s="2"/>
      <c r="AD187" s="2"/>
    </row>
    <row r="188" spans="1:30" ht="409.5" hidden="1">
      <c r="A188" s="39">
        <v>183</v>
      </c>
      <c r="B188" s="39">
        <v>183</v>
      </c>
      <c r="C188" s="6" t="s">
        <v>1065</v>
      </c>
      <c r="D188" s="5">
        <v>3121010002</v>
      </c>
      <c r="E188" s="61"/>
      <c r="F188" s="8">
        <f>VLOOKUP(D188,'Trang tính3'!$B$10:$H$377,7,0)</f>
        <v>100</v>
      </c>
      <c r="G188" s="8" t="str">
        <f>VLOOKUP(D188,'Trang tính2'!$B$1:$D$175,3,0)</f>
        <v>3.43</v>
      </c>
      <c r="H188" s="8"/>
      <c r="I188" s="40" t="s">
        <v>1066</v>
      </c>
      <c r="J188" s="40" t="s">
        <v>1067</v>
      </c>
      <c r="K188" s="40" t="s">
        <v>1068</v>
      </c>
      <c r="L188" s="40" t="s">
        <v>1069</v>
      </c>
      <c r="M188" s="40" t="s">
        <v>1070</v>
      </c>
      <c r="N188" s="10" t="s">
        <v>60</v>
      </c>
      <c r="O188" s="10" t="s">
        <v>28</v>
      </c>
      <c r="P188" s="12" t="s">
        <v>1686</v>
      </c>
      <c r="Q188" s="34" t="s">
        <v>1071</v>
      </c>
      <c r="R188" s="61"/>
      <c r="S188" s="2"/>
      <c r="T188" s="2"/>
      <c r="U188" s="2"/>
      <c r="V188" s="2"/>
      <c r="W188" s="2"/>
      <c r="X188" s="2"/>
      <c r="Y188" s="2"/>
      <c r="Z188" s="2"/>
      <c r="AA188" s="2"/>
      <c r="AB188" s="2"/>
      <c r="AC188" s="2"/>
      <c r="AD188" s="2"/>
    </row>
    <row r="189" spans="1:30" ht="377" hidden="1">
      <c r="A189" s="39">
        <v>184</v>
      </c>
      <c r="B189" s="39">
        <v>184</v>
      </c>
      <c r="C189" s="6" t="s">
        <v>1072</v>
      </c>
      <c r="D189" s="5">
        <v>3121010016</v>
      </c>
      <c r="E189" s="61"/>
      <c r="F189" s="8" t="s">
        <v>1073</v>
      </c>
      <c r="G189" s="8" t="s">
        <v>383</v>
      </c>
      <c r="H189" s="8"/>
      <c r="I189" s="40" t="s">
        <v>1074</v>
      </c>
      <c r="J189" s="40" t="s">
        <v>1075</v>
      </c>
      <c r="K189" s="40" t="s">
        <v>1076</v>
      </c>
      <c r="L189" s="40" t="s">
        <v>1077</v>
      </c>
      <c r="M189" s="40" t="s">
        <v>1078</v>
      </c>
      <c r="N189" s="10" t="s">
        <v>60</v>
      </c>
      <c r="O189" s="10" t="s">
        <v>28</v>
      </c>
      <c r="P189" s="34" t="s">
        <v>1687</v>
      </c>
      <c r="Q189" s="34" t="s">
        <v>1687</v>
      </c>
      <c r="R189" s="61"/>
      <c r="S189" s="2"/>
      <c r="T189" s="2"/>
      <c r="U189" s="2"/>
      <c r="V189" s="2"/>
      <c r="W189" s="2"/>
      <c r="X189" s="2"/>
      <c r="Y189" s="2"/>
      <c r="Z189" s="2"/>
      <c r="AA189" s="2"/>
      <c r="AB189" s="2"/>
      <c r="AC189" s="2"/>
      <c r="AD189" s="2"/>
    </row>
    <row r="190" spans="1:30" ht="351" hidden="1">
      <c r="A190" s="39">
        <v>185</v>
      </c>
      <c r="B190" s="39">
        <v>185</v>
      </c>
      <c r="C190" s="6" t="s">
        <v>1080</v>
      </c>
      <c r="D190" s="5">
        <v>3121010036</v>
      </c>
      <c r="E190" s="62"/>
      <c r="F190" s="8" t="s">
        <v>430</v>
      </c>
      <c r="G190" s="8" t="s">
        <v>383</v>
      </c>
      <c r="H190" s="8"/>
      <c r="I190" s="40" t="s">
        <v>1081</v>
      </c>
      <c r="J190" s="40" t="s">
        <v>1082</v>
      </c>
      <c r="K190" s="40" t="s">
        <v>1083</v>
      </c>
      <c r="L190" s="40" t="s">
        <v>1084</v>
      </c>
      <c r="M190" s="40" t="s">
        <v>1085</v>
      </c>
      <c r="N190" s="10" t="s">
        <v>60</v>
      </c>
      <c r="O190" s="10" t="s">
        <v>28</v>
      </c>
      <c r="P190" s="34" t="s">
        <v>1688</v>
      </c>
      <c r="Q190" s="34" t="s">
        <v>1689</v>
      </c>
      <c r="R190" s="62"/>
      <c r="S190" s="2"/>
      <c r="T190" s="2"/>
      <c r="U190" s="2"/>
      <c r="V190" s="2"/>
      <c r="W190" s="2"/>
      <c r="X190" s="2"/>
      <c r="Y190" s="2"/>
      <c r="Z190" s="2"/>
      <c r="AA190" s="2"/>
      <c r="AB190" s="2"/>
      <c r="AC190" s="2"/>
      <c r="AD190" s="2"/>
    </row>
    <row r="191" spans="1:30" ht="182">
      <c r="A191" s="39">
        <v>186</v>
      </c>
      <c r="B191" s="39">
        <v>186</v>
      </c>
      <c r="C191" s="6" t="s">
        <v>203</v>
      </c>
      <c r="D191" s="5">
        <v>3122350030</v>
      </c>
      <c r="E191" s="70" t="s">
        <v>204</v>
      </c>
      <c r="F191" s="8">
        <f>VLOOKUP(D191,'Trang tính3'!$B$10:$H$377,7,0)</f>
        <v>98.5</v>
      </c>
      <c r="G191" s="8" t="str">
        <f>VLOOKUP(D191,'Trang tính2'!$B$1:$D$175,3,0)</f>
        <v>2.83</v>
      </c>
      <c r="H191" s="8"/>
      <c r="I191" s="40" t="s">
        <v>205</v>
      </c>
      <c r="J191" s="40" t="s">
        <v>206</v>
      </c>
      <c r="K191" s="40" t="s">
        <v>207</v>
      </c>
      <c r="L191" s="40" t="s">
        <v>208</v>
      </c>
      <c r="M191" s="40" t="s">
        <v>209</v>
      </c>
      <c r="N191" s="10"/>
      <c r="O191" s="10" t="s">
        <v>28</v>
      </c>
      <c r="P191" s="12" t="s">
        <v>210</v>
      </c>
      <c r="Q191" s="12" t="s">
        <v>211</v>
      </c>
      <c r="R191" s="60" t="s">
        <v>212</v>
      </c>
      <c r="S191" s="2"/>
      <c r="T191" s="2"/>
      <c r="U191" s="2"/>
      <c r="V191" s="2"/>
      <c r="W191" s="2"/>
      <c r="X191" s="2"/>
      <c r="Y191" s="2"/>
      <c r="Z191" s="2"/>
      <c r="AA191" s="2"/>
      <c r="AB191" s="2"/>
      <c r="AC191" s="2"/>
      <c r="AD191" s="2"/>
    </row>
    <row r="192" spans="1:30" ht="409.5">
      <c r="A192" s="39">
        <v>187</v>
      </c>
      <c r="B192" s="39">
        <v>187</v>
      </c>
      <c r="C192" s="6" t="s">
        <v>222</v>
      </c>
      <c r="D192" s="5">
        <v>3122570045</v>
      </c>
      <c r="E192" s="61"/>
      <c r="F192" s="8">
        <f>VLOOKUP(D192,'Trang tính3'!$B$10:$H$377,7,0)</f>
        <v>99</v>
      </c>
      <c r="G192" s="8" t="str">
        <f>VLOOKUP(D192,'Trang tính2'!$B$1:$D$175,3,0)</f>
        <v>3.76</v>
      </c>
      <c r="H192" s="8"/>
      <c r="I192" s="40" t="s">
        <v>223</v>
      </c>
      <c r="J192" s="40" t="s">
        <v>224</v>
      </c>
      <c r="K192" s="40" t="s">
        <v>225</v>
      </c>
      <c r="L192" s="40" t="s">
        <v>226</v>
      </c>
      <c r="M192" s="40" t="s">
        <v>227</v>
      </c>
      <c r="N192" s="10"/>
      <c r="O192" s="10" t="s">
        <v>28</v>
      </c>
      <c r="P192" s="12" t="s">
        <v>228</v>
      </c>
      <c r="Q192" s="12" t="s">
        <v>229</v>
      </c>
      <c r="R192" s="61"/>
      <c r="S192" s="2"/>
      <c r="T192" s="2"/>
      <c r="U192" s="2"/>
      <c r="V192" s="2"/>
      <c r="W192" s="2"/>
      <c r="X192" s="2"/>
      <c r="Y192" s="2"/>
      <c r="Z192" s="2"/>
      <c r="AA192" s="2"/>
      <c r="AB192" s="2"/>
      <c r="AC192" s="2"/>
      <c r="AD192" s="2"/>
    </row>
    <row r="193" spans="1:30" ht="364">
      <c r="A193" s="39">
        <v>188</v>
      </c>
      <c r="B193" s="39">
        <v>188</v>
      </c>
      <c r="C193" s="6" t="s">
        <v>239</v>
      </c>
      <c r="D193" s="5">
        <v>3121540074</v>
      </c>
      <c r="E193" s="61"/>
      <c r="F193" s="8">
        <f>VLOOKUP(D193,'Trang tính3'!$B$10:$H$377,7,0)</f>
        <v>82</v>
      </c>
      <c r="G193" s="8" t="str">
        <f>VLOOKUP(D193,'Trang tính2'!$B$1:$D$175,3,0)</f>
        <v>3.53</v>
      </c>
      <c r="H193" s="8"/>
      <c r="I193" s="40" t="s">
        <v>240</v>
      </c>
      <c r="J193" s="40" t="s">
        <v>241</v>
      </c>
      <c r="K193" s="40" t="s">
        <v>242</v>
      </c>
      <c r="L193" s="40" t="s">
        <v>243</v>
      </c>
      <c r="M193" s="40" t="s">
        <v>244</v>
      </c>
      <c r="N193" s="10"/>
      <c r="O193" s="10" t="s">
        <v>28</v>
      </c>
      <c r="P193" s="12" t="s">
        <v>245</v>
      </c>
      <c r="Q193" s="12" t="s">
        <v>246</v>
      </c>
      <c r="R193" s="61"/>
      <c r="S193" s="2"/>
      <c r="T193" s="2"/>
      <c r="U193" s="2"/>
      <c r="V193" s="2"/>
      <c r="W193" s="2"/>
      <c r="X193" s="2"/>
      <c r="Y193" s="2"/>
      <c r="Z193" s="2"/>
      <c r="AA193" s="2"/>
      <c r="AB193" s="2"/>
      <c r="AC193" s="2"/>
      <c r="AD193" s="2"/>
    </row>
    <row r="194" spans="1:30" ht="409.5">
      <c r="A194" s="39">
        <v>189</v>
      </c>
      <c r="B194" s="39">
        <v>189</v>
      </c>
      <c r="C194" s="6" t="s">
        <v>247</v>
      </c>
      <c r="D194" s="5">
        <v>3123570037</v>
      </c>
      <c r="E194" s="61"/>
      <c r="F194" s="8">
        <f>VLOOKUP(D194,'Trang tính3'!$B$10:$H$377,7,0)</f>
        <v>99</v>
      </c>
      <c r="G194" s="8" t="str">
        <f>VLOOKUP(D194,'Trang tính2'!$B$1:$D$175,3,0)</f>
        <v>3.33</v>
      </c>
      <c r="H194" s="8"/>
      <c r="I194" s="40" t="s">
        <v>248</v>
      </c>
      <c r="J194" s="40" t="s">
        <v>249</v>
      </c>
      <c r="K194" s="40" t="s">
        <v>250</v>
      </c>
      <c r="L194" s="40" t="s">
        <v>251</v>
      </c>
      <c r="M194" s="40" t="s">
        <v>252</v>
      </c>
      <c r="N194" s="10"/>
      <c r="O194" s="10" t="s">
        <v>28</v>
      </c>
      <c r="P194" s="12" t="s">
        <v>253</v>
      </c>
      <c r="Q194" s="12" t="s">
        <v>254</v>
      </c>
      <c r="R194" s="61"/>
      <c r="S194" s="2"/>
      <c r="T194" s="2"/>
      <c r="U194" s="2"/>
      <c r="V194" s="2"/>
      <c r="W194" s="2"/>
      <c r="X194" s="2"/>
      <c r="Y194" s="2"/>
      <c r="Z194" s="2"/>
      <c r="AA194" s="2"/>
      <c r="AB194" s="2"/>
      <c r="AC194" s="2"/>
      <c r="AD194" s="2"/>
    </row>
    <row r="195" spans="1:30" ht="377">
      <c r="A195" s="39">
        <v>190</v>
      </c>
      <c r="B195" s="39">
        <v>190</v>
      </c>
      <c r="C195" s="6" t="s">
        <v>262</v>
      </c>
      <c r="D195" s="5">
        <v>3123540014</v>
      </c>
      <c r="E195" s="61"/>
      <c r="F195" s="8">
        <f>VLOOKUP(D195,'Trang tính3'!$B$10:$H$377,7,0)</f>
        <v>95.5</v>
      </c>
      <c r="G195" s="8" t="str">
        <f>VLOOKUP(D195,'Trang tính2'!$B$1:$D$175,3,0)</f>
        <v>3.66</v>
      </c>
      <c r="H195" s="8"/>
      <c r="I195" s="40" t="s">
        <v>263</v>
      </c>
      <c r="J195" s="40" t="s">
        <v>264</v>
      </c>
      <c r="K195" s="40" t="s">
        <v>265</v>
      </c>
      <c r="L195" s="40" t="s">
        <v>266</v>
      </c>
      <c r="M195" s="40" t="s">
        <v>267</v>
      </c>
      <c r="N195" s="10"/>
      <c r="O195" s="10" t="s">
        <v>28</v>
      </c>
      <c r="P195" s="12" t="s">
        <v>268</v>
      </c>
      <c r="Q195" s="12" t="s">
        <v>269</v>
      </c>
      <c r="R195" s="61"/>
      <c r="S195" s="2"/>
      <c r="T195" s="2"/>
      <c r="U195" s="2"/>
      <c r="V195" s="2"/>
      <c r="W195" s="2"/>
      <c r="X195" s="2"/>
      <c r="Y195" s="2"/>
      <c r="Z195" s="2"/>
      <c r="AA195" s="2"/>
      <c r="AB195" s="2"/>
      <c r="AC195" s="2"/>
      <c r="AD195" s="2"/>
    </row>
    <row r="196" spans="1:30" ht="351" hidden="1">
      <c r="A196" s="39">
        <v>191</v>
      </c>
      <c r="B196" s="39">
        <v>191</v>
      </c>
      <c r="C196" s="6" t="s">
        <v>270</v>
      </c>
      <c r="D196" s="5">
        <v>3121540085</v>
      </c>
      <c r="E196" s="61"/>
      <c r="F196" s="8" t="s">
        <v>175</v>
      </c>
      <c r="G196" s="8" t="s">
        <v>271</v>
      </c>
      <c r="H196" s="8"/>
      <c r="I196" s="40" t="s">
        <v>272</v>
      </c>
      <c r="J196" s="40" t="s">
        <v>273</v>
      </c>
      <c r="K196" s="40" t="s">
        <v>274</v>
      </c>
      <c r="L196" s="40" t="s">
        <v>275</v>
      </c>
      <c r="M196" s="40" t="s">
        <v>276</v>
      </c>
      <c r="N196" s="10" t="s">
        <v>60</v>
      </c>
      <c r="O196" s="10" t="s">
        <v>28</v>
      </c>
      <c r="P196" s="20" t="s">
        <v>277</v>
      </c>
      <c r="Q196" s="20" t="s">
        <v>278</v>
      </c>
      <c r="R196" s="61"/>
      <c r="S196" s="2"/>
      <c r="T196" s="2"/>
      <c r="U196" s="2"/>
      <c r="V196" s="2"/>
      <c r="W196" s="2"/>
      <c r="X196" s="2"/>
      <c r="Y196" s="2"/>
      <c r="Z196" s="2"/>
      <c r="AA196" s="2"/>
      <c r="AB196" s="2"/>
      <c r="AC196" s="2"/>
      <c r="AD196" s="2"/>
    </row>
    <row r="197" spans="1:30" ht="409.5">
      <c r="A197" s="39">
        <v>192</v>
      </c>
      <c r="B197" s="39">
        <v>192</v>
      </c>
      <c r="C197" s="6" t="s">
        <v>279</v>
      </c>
      <c r="D197" s="5">
        <v>3123570142</v>
      </c>
      <c r="E197" s="62"/>
      <c r="F197" s="8">
        <f>VLOOKUP(D197,'Trang tính3'!$B$10:$H$377,7,0)</f>
        <v>100</v>
      </c>
      <c r="G197" s="8" t="str">
        <f>VLOOKUP(D197,'Trang tính2'!$B$1:$D$175,3,0)</f>
        <v>3.41</v>
      </c>
      <c r="H197" s="8"/>
      <c r="I197" s="40" t="s">
        <v>280</v>
      </c>
      <c r="J197" s="40" t="s">
        <v>281</v>
      </c>
      <c r="K197" s="40" t="s">
        <v>282</v>
      </c>
      <c r="L197" s="40" t="s">
        <v>283</v>
      </c>
      <c r="M197" s="40" t="s">
        <v>284</v>
      </c>
      <c r="N197" s="10"/>
      <c r="O197" s="10" t="s">
        <v>28</v>
      </c>
      <c r="P197" s="12" t="s">
        <v>285</v>
      </c>
      <c r="Q197" s="12" t="s">
        <v>286</v>
      </c>
      <c r="R197" s="62"/>
      <c r="S197" s="43"/>
      <c r="T197" s="43"/>
      <c r="U197" s="43"/>
      <c r="V197" s="43"/>
      <c r="W197" s="43"/>
      <c r="X197" s="43"/>
      <c r="Y197" s="43"/>
      <c r="Z197" s="43"/>
      <c r="AA197" s="43"/>
      <c r="AB197" s="43"/>
      <c r="AC197" s="43"/>
      <c r="AD197" s="43"/>
    </row>
    <row r="198" spans="1:30" ht="16.5">
      <c r="A198" s="69" t="s">
        <v>1545</v>
      </c>
      <c r="B198" s="65"/>
      <c r="C198" s="65"/>
      <c r="D198" s="65"/>
      <c r="E198" s="65"/>
      <c r="F198" s="65"/>
      <c r="G198" s="65"/>
      <c r="H198" s="65"/>
      <c r="I198" s="65"/>
      <c r="J198" s="65"/>
      <c r="K198" s="65"/>
      <c r="L198" s="65"/>
      <c r="M198" s="65"/>
      <c r="N198" s="66"/>
      <c r="O198" s="36">
        <f>COUNTIF(O6:O197,"ĐẠT")</f>
        <v>192</v>
      </c>
      <c r="P198" s="64"/>
      <c r="Q198" s="65"/>
      <c r="R198" s="66"/>
      <c r="S198" s="2"/>
      <c r="T198" s="2"/>
      <c r="U198" s="2"/>
      <c r="V198" s="2"/>
      <c r="W198" s="2"/>
      <c r="X198" s="2"/>
      <c r="Y198" s="2"/>
      <c r="Z198" s="2"/>
      <c r="AA198" s="2"/>
      <c r="AB198" s="2"/>
      <c r="AC198" s="2"/>
      <c r="AD198" s="2"/>
    </row>
    <row r="199" spans="1:30" ht="13">
      <c r="A199" s="3"/>
      <c r="B199" s="2"/>
      <c r="C199" s="2"/>
      <c r="D199" s="3"/>
      <c r="E199" s="3"/>
      <c r="F199" s="1"/>
      <c r="G199" s="37"/>
      <c r="H199" s="1"/>
      <c r="I199" s="2"/>
      <c r="J199" s="2"/>
      <c r="K199" s="2"/>
      <c r="L199" s="2"/>
      <c r="M199" s="2"/>
      <c r="N199" s="3"/>
      <c r="O199" s="3"/>
      <c r="P199" s="2"/>
      <c r="Q199" s="2"/>
      <c r="R199" s="2"/>
      <c r="S199" s="2"/>
      <c r="T199" s="2"/>
      <c r="U199" s="2"/>
      <c r="V199" s="2"/>
      <c r="W199" s="2"/>
      <c r="X199" s="2"/>
      <c r="Y199" s="2"/>
      <c r="Z199" s="2"/>
      <c r="AA199" s="2"/>
      <c r="AB199" s="2"/>
      <c r="AC199" s="2"/>
      <c r="AD199" s="2"/>
    </row>
    <row r="200" spans="1:30" ht="13">
      <c r="A200" s="3"/>
      <c r="B200" s="2"/>
      <c r="C200" s="2"/>
      <c r="D200" s="3"/>
      <c r="E200" s="3"/>
      <c r="F200" s="1"/>
      <c r="G200" s="37"/>
      <c r="H200" s="1"/>
      <c r="I200" s="2"/>
      <c r="J200" s="2"/>
      <c r="K200" s="2"/>
      <c r="L200" s="2"/>
      <c r="M200" s="2"/>
      <c r="N200" s="3"/>
      <c r="O200" s="3"/>
      <c r="P200" s="2"/>
      <c r="Q200" s="2"/>
      <c r="R200" s="2"/>
      <c r="S200" s="2"/>
      <c r="T200" s="2"/>
      <c r="U200" s="2"/>
      <c r="V200" s="2"/>
      <c r="W200" s="2"/>
      <c r="X200" s="2"/>
      <c r="Y200" s="2"/>
      <c r="Z200" s="2"/>
      <c r="AA200" s="2"/>
      <c r="AB200" s="2"/>
      <c r="AC200" s="2"/>
      <c r="AD200" s="2"/>
    </row>
    <row r="201" spans="1:30" ht="13">
      <c r="A201" s="3"/>
      <c r="B201" s="2"/>
      <c r="C201" s="2"/>
      <c r="D201" s="3"/>
      <c r="E201" s="3"/>
      <c r="F201" s="1"/>
      <c r="G201" s="37"/>
      <c r="H201" s="1"/>
      <c r="I201" s="2"/>
      <c r="J201" s="2"/>
      <c r="K201" s="2"/>
      <c r="L201" s="2"/>
      <c r="M201" s="2"/>
      <c r="N201" s="3"/>
      <c r="O201" s="3"/>
      <c r="P201" s="2"/>
      <c r="Q201" s="2"/>
      <c r="R201" s="2"/>
      <c r="S201" s="2"/>
      <c r="T201" s="2"/>
      <c r="U201" s="2"/>
      <c r="V201" s="2"/>
      <c r="W201" s="2"/>
      <c r="X201" s="2"/>
      <c r="Y201" s="2"/>
      <c r="Z201" s="2"/>
      <c r="AA201" s="2"/>
      <c r="AB201" s="2"/>
      <c r="AC201" s="2"/>
      <c r="AD201" s="2"/>
    </row>
    <row r="202" spans="1:30" ht="13">
      <c r="A202" s="3"/>
      <c r="B202" s="2"/>
      <c r="C202" s="2"/>
      <c r="D202" s="3"/>
      <c r="E202" s="3"/>
      <c r="F202" s="1"/>
      <c r="G202" s="37"/>
      <c r="H202" s="1"/>
      <c r="I202" s="2"/>
      <c r="J202" s="2"/>
      <c r="K202" s="2"/>
      <c r="L202" s="2"/>
      <c r="M202" s="2"/>
      <c r="N202" s="3"/>
      <c r="O202" s="3"/>
      <c r="P202" s="2"/>
      <c r="Q202" s="2"/>
      <c r="R202" s="2"/>
      <c r="S202" s="2"/>
      <c r="T202" s="2"/>
      <c r="U202" s="2"/>
      <c r="V202" s="2"/>
      <c r="W202" s="2"/>
      <c r="X202" s="2"/>
      <c r="Y202" s="2"/>
      <c r="Z202" s="2"/>
      <c r="AA202" s="2"/>
      <c r="AB202" s="2"/>
      <c r="AC202" s="2"/>
      <c r="AD202" s="2"/>
    </row>
    <row r="203" spans="1:30" ht="13">
      <c r="A203" s="3"/>
      <c r="B203" s="2"/>
      <c r="C203" s="2"/>
      <c r="D203" s="3"/>
      <c r="E203" s="3"/>
      <c r="F203" s="1"/>
      <c r="G203" s="37"/>
      <c r="H203" s="1"/>
      <c r="I203" s="2"/>
      <c r="J203" s="2"/>
      <c r="K203" s="2"/>
      <c r="L203" s="2"/>
      <c r="M203" s="2"/>
      <c r="N203" s="3"/>
      <c r="O203" s="3"/>
      <c r="P203" s="2"/>
      <c r="Q203" s="2"/>
      <c r="R203" s="2"/>
      <c r="S203" s="2"/>
      <c r="T203" s="2"/>
      <c r="U203" s="2"/>
      <c r="V203" s="2"/>
      <c r="W203" s="2"/>
      <c r="X203" s="2"/>
      <c r="Y203" s="2"/>
      <c r="Z203" s="2"/>
      <c r="AA203" s="2"/>
      <c r="AB203" s="2"/>
      <c r="AC203" s="2"/>
      <c r="AD203" s="2"/>
    </row>
    <row r="204" spans="1:30" ht="13">
      <c r="A204" s="3"/>
      <c r="B204" s="2"/>
      <c r="C204" s="2"/>
      <c r="D204" s="3"/>
      <c r="E204" s="3"/>
      <c r="F204" s="1"/>
      <c r="G204" s="37"/>
      <c r="H204" s="1"/>
      <c r="I204" s="2"/>
      <c r="J204" s="2"/>
      <c r="K204" s="2"/>
      <c r="L204" s="2"/>
      <c r="M204" s="2"/>
      <c r="N204" s="3"/>
      <c r="O204" s="3"/>
      <c r="P204" s="2"/>
      <c r="Q204" s="2"/>
      <c r="R204" s="2"/>
      <c r="S204" s="2"/>
      <c r="T204" s="2"/>
      <c r="U204" s="2"/>
      <c r="V204" s="2"/>
      <c r="W204" s="2"/>
      <c r="X204" s="2"/>
      <c r="Y204" s="2"/>
      <c r="Z204" s="2"/>
      <c r="AA204" s="2"/>
      <c r="AB204" s="2"/>
      <c r="AC204" s="2"/>
      <c r="AD204" s="2"/>
    </row>
    <row r="205" spans="1:30" ht="13">
      <c r="A205" s="3"/>
      <c r="B205" s="2"/>
      <c r="C205" s="2"/>
      <c r="D205" s="3"/>
      <c r="E205" s="3"/>
      <c r="F205" s="1"/>
      <c r="G205" s="37"/>
      <c r="H205" s="1"/>
      <c r="I205" s="2"/>
      <c r="J205" s="2"/>
      <c r="K205" s="2"/>
      <c r="L205" s="2"/>
      <c r="M205" s="2"/>
      <c r="N205" s="3"/>
      <c r="O205" s="3"/>
      <c r="P205" s="2"/>
      <c r="Q205" s="2"/>
      <c r="R205" s="2"/>
      <c r="S205" s="2"/>
      <c r="T205" s="2"/>
      <c r="U205" s="2"/>
      <c r="V205" s="2"/>
      <c r="W205" s="2"/>
      <c r="X205" s="2"/>
      <c r="Y205" s="2"/>
      <c r="Z205" s="2"/>
      <c r="AA205" s="2"/>
      <c r="AB205" s="2"/>
      <c r="AC205" s="2"/>
      <c r="AD205" s="2"/>
    </row>
    <row r="206" spans="1:30" ht="13">
      <c r="A206" s="3"/>
      <c r="B206" s="2"/>
      <c r="C206" s="2"/>
      <c r="D206" s="3"/>
      <c r="E206" s="3"/>
      <c r="F206" s="1"/>
      <c r="G206" s="37"/>
      <c r="H206" s="1"/>
      <c r="I206" s="2"/>
      <c r="J206" s="2"/>
      <c r="K206" s="2"/>
      <c r="L206" s="2"/>
      <c r="M206" s="2"/>
      <c r="N206" s="3"/>
      <c r="O206" s="3"/>
      <c r="P206" s="2"/>
      <c r="Q206" s="2"/>
      <c r="R206" s="2"/>
      <c r="S206" s="2"/>
      <c r="T206" s="2"/>
      <c r="U206" s="2"/>
      <c r="V206" s="2"/>
      <c r="W206" s="2"/>
      <c r="X206" s="2"/>
      <c r="Y206" s="2"/>
      <c r="Z206" s="2"/>
      <c r="AA206" s="2"/>
      <c r="AB206" s="2"/>
      <c r="AC206" s="2"/>
      <c r="AD206" s="2"/>
    </row>
    <row r="207" spans="1:30" ht="13">
      <c r="A207" s="3"/>
      <c r="B207" s="2"/>
      <c r="C207" s="2"/>
      <c r="D207" s="3"/>
      <c r="E207" s="3"/>
      <c r="F207" s="1"/>
      <c r="G207" s="37"/>
      <c r="H207" s="1"/>
      <c r="I207" s="2"/>
      <c r="J207" s="2"/>
      <c r="K207" s="2"/>
      <c r="L207" s="2"/>
      <c r="M207" s="2"/>
      <c r="N207" s="3"/>
      <c r="O207" s="3"/>
      <c r="P207" s="2"/>
      <c r="Q207" s="2"/>
      <c r="R207" s="2"/>
      <c r="S207" s="2"/>
      <c r="T207" s="2"/>
      <c r="U207" s="2"/>
      <c r="V207" s="2"/>
      <c r="W207" s="2"/>
      <c r="X207" s="2"/>
      <c r="Y207" s="2"/>
      <c r="Z207" s="2"/>
      <c r="AA207" s="2"/>
      <c r="AB207" s="2"/>
      <c r="AC207" s="2"/>
      <c r="AD207" s="2"/>
    </row>
    <row r="208" spans="1:30" ht="13">
      <c r="A208" s="3"/>
      <c r="B208" s="2"/>
      <c r="C208" s="2"/>
      <c r="D208" s="3"/>
      <c r="E208" s="3"/>
      <c r="F208" s="1"/>
      <c r="G208" s="37"/>
      <c r="H208" s="1"/>
      <c r="I208" s="2"/>
      <c r="J208" s="2"/>
      <c r="K208" s="2"/>
      <c r="L208" s="2"/>
      <c r="M208" s="2"/>
      <c r="N208" s="3"/>
      <c r="O208" s="3"/>
      <c r="P208" s="2"/>
      <c r="Q208" s="2"/>
      <c r="R208" s="2"/>
      <c r="S208" s="2"/>
      <c r="T208" s="2"/>
      <c r="U208" s="2"/>
      <c r="V208" s="2"/>
      <c r="W208" s="2"/>
      <c r="X208" s="2"/>
      <c r="Y208" s="2"/>
      <c r="Z208" s="2"/>
      <c r="AA208" s="2"/>
      <c r="AB208" s="2"/>
      <c r="AC208" s="2"/>
      <c r="AD208" s="2"/>
    </row>
    <row r="209" spans="1:30" ht="13">
      <c r="A209" s="3"/>
      <c r="B209" s="2"/>
      <c r="C209" s="2"/>
      <c r="D209" s="3"/>
      <c r="E209" s="3"/>
      <c r="F209" s="1"/>
      <c r="G209" s="37"/>
      <c r="H209" s="1"/>
      <c r="I209" s="2"/>
      <c r="J209" s="2"/>
      <c r="K209" s="2"/>
      <c r="L209" s="2"/>
      <c r="M209" s="2"/>
      <c r="N209" s="3"/>
      <c r="O209" s="3"/>
      <c r="P209" s="2"/>
      <c r="Q209" s="2"/>
      <c r="R209" s="2"/>
      <c r="S209" s="2"/>
      <c r="T209" s="2"/>
      <c r="U209" s="2"/>
      <c r="V209" s="2"/>
      <c r="W209" s="2"/>
      <c r="X209" s="2"/>
      <c r="Y209" s="2"/>
      <c r="Z209" s="2"/>
      <c r="AA209" s="2"/>
      <c r="AB209" s="2"/>
      <c r="AC209" s="2"/>
      <c r="AD209" s="2"/>
    </row>
    <row r="210" spans="1:30" ht="13">
      <c r="A210" s="3"/>
      <c r="B210" s="2"/>
      <c r="C210" s="2"/>
      <c r="D210" s="3"/>
      <c r="E210" s="3"/>
      <c r="F210" s="1"/>
      <c r="G210" s="37"/>
      <c r="H210" s="1"/>
      <c r="I210" s="2"/>
      <c r="J210" s="2"/>
      <c r="K210" s="2"/>
      <c r="L210" s="2"/>
      <c r="M210" s="2"/>
      <c r="N210" s="3"/>
      <c r="O210" s="3"/>
      <c r="P210" s="2"/>
      <c r="Q210" s="2"/>
      <c r="R210" s="2"/>
      <c r="S210" s="2"/>
      <c r="T210" s="2"/>
      <c r="U210" s="2"/>
      <c r="V210" s="2"/>
      <c r="W210" s="2"/>
      <c r="X210" s="2"/>
      <c r="Y210" s="2"/>
      <c r="Z210" s="2"/>
      <c r="AA210" s="2"/>
      <c r="AB210" s="2"/>
      <c r="AC210" s="2"/>
      <c r="AD210" s="2"/>
    </row>
    <row r="211" spans="1:30" ht="13">
      <c r="A211" s="3"/>
      <c r="B211" s="2"/>
      <c r="C211" s="2"/>
      <c r="D211" s="3"/>
      <c r="E211" s="3"/>
      <c r="F211" s="1"/>
      <c r="G211" s="37"/>
      <c r="H211" s="1"/>
      <c r="I211" s="2"/>
      <c r="J211" s="2"/>
      <c r="K211" s="2"/>
      <c r="L211" s="2"/>
      <c r="M211" s="2"/>
      <c r="N211" s="3"/>
      <c r="O211" s="3"/>
      <c r="P211" s="2"/>
      <c r="Q211" s="2"/>
      <c r="R211" s="2"/>
      <c r="S211" s="2"/>
      <c r="T211" s="2"/>
      <c r="U211" s="2"/>
      <c r="V211" s="2"/>
      <c r="W211" s="2"/>
      <c r="X211" s="2"/>
      <c r="Y211" s="2"/>
      <c r="Z211" s="2"/>
      <c r="AA211" s="2"/>
      <c r="AB211" s="2"/>
      <c r="AC211" s="2"/>
      <c r="AD211" s="2"/>
    </row>
    <row r="212" spans="1:30" ht="13">
      <c r="A212" s="3"/>
      <c r="B212" s="2"/>
      <c r="C212" s="2"/>
      <c r="D212" s="3"/>
      <c r="E212" s="3"/>
      <c r="F212" s="1"/>
      <c r="G212" s="37"/>
      <c r="H212" s="1"/>
      <c r="I212" s="2"/>
      <c r="J212" s="2"/>
      <c r="K212" s="2"/>
      <c r="L212" s="2"/>
      <c r="M212" s="2"/>
      <c r="N212" s="3"/>
      <c r="O212" s="3"/>
      <c r="P212" s="2"/>
      <c r="Q212" s="2"/>
      <c r="R212" s="2"/>
      <c r="S212" s="2"/>
      <c r="T212" s="2"/>
      <c r="U212" s="2"/>
      <c r="V212" s="2"/>
      <c r="W212" s="2"/>
      <c r="X212" s="2"/>
      <c r="Y212" s="2"/>
      <c r="Z212" s="2"/>
      <c r="AA212" s="2"/>
      <c r="AB212" s="2"/>
      <c r="AC212" s="2"/>
      <c r="AD212" s="2"/>
    </row>
    <row r="213" spans="1:30" ht="13">
      <c r="A213" s="3"/>
      <c r="B213" s="2"/>
      <c r="C213" s="2"/>
      <c r="D213" s="3"/>
      <c r="E213" s="3"/>
      <c r="F213" s="1"/>
      <c r="G213" s="37"/>
      <c r="H213" s="1"/>
      <c r="I213" s="2"/>
      <c r="J213" s="2"/>
      <c r="K213" s="2"/>
      <c r="L213" s="2"/>
      <c r="M213" s="2"/>
      <c r="N213" s="3"/>
      <c r="O213" s="3"/>
      <c r="P213" s="2"/>
      <c r="Q213" s="2"/>
      <c r="R213" s="2"/>
      <c r="S213" s="2"/>
      <c r="T213" s="2"/>
      <c r="U213" s="2"/>
      <c r="V213" s="2"/>
      <c r="W213" s="2"/>
      <c r="X213" s="2"/>
      <c r="Y213" s="2"/>
      <c r="Z213" s="2"/>
      <c r="AA213" s="2"/>
      <c r="AB213" s="2"/>
      <c r="AC213" s="2"/>
      <c r="AD213" s="2"/>
    </row>
    <row r="214" spans="1:30" ht="13">
      <c r="A214" s="3"/>
      <c r="B214" s="2"/>
      <c r="C214" s="2"/>
      <c r="D214" s="3"/>
      <c r="E214" s="3"/>
      <c r="F214" s="1"/>
      <c r="G214" s="37"/>
      <c r="H214" s="1"/>
      <c r="I214" s="2"/>
      <c r="J214" s="2"/>
      <c r="K214" s="2"/>
      <c r="L214" s="2"/>
      <c r="M214" s="2"/>
      <c r="N214" s="3"/>
      <c r="O214" s="3"/>
      <c r="P214" s="2"/>
      <c r="Q214" s="2"/>
      <c r="R214" s="2"/>
      <c r="S214" s="2"/>
      <c r="T214" s="2"/>
      <c r="U214" s="2"/>
      <c r="V214" s="2"/>
      <c r="W214" s="2"/>
      <c r="X214" s="2"/>
      <c r="Y214" s="2"/>
      <c r="Z214" s="2"/>
      <c r="AA214" s="2"/>
      <c r="AB214" s="2"/>
      <c r="AC214" s="2"/>
      <c r="AD214" s="2"/>
    </row>
    <row r="215" spans="1:30" ht="13">
      <c r="A215" s="3"/>
      <c r="B215" s="2"/>
      <c r="C215" s="2"/>
      <c r="D215" s="3"/>
      <c r="E215" s="3"/>
      <c r="F215" s="1"/>
      <c r="G215" s="37"/>
      <c r="H215" s="1"/>
      <c r="I215" s="2"/>
      <c r="J215" s="2"/>
      <c r="K215" s="2"/>
      <c r="L215" s="2"/>
      <c r="M215" s="2"/>
      <c r="N215" s="3"/>
      <c r="O215" s="3"/>
      <c r="P215" s="2"/>
      <c r="Q215" s="2"/>
      <c r="R215" s="2"/>
      <c r="S215" s="2"/>
      <c r="T215" s="2"/>
      <c r="U215" s="2"/>
      <c r="V215" s="2"/>
      <c r="W215" s="2"/>
      <c r="X215" s="2"/>
      <c r="Y215" s="2"/>
      <c r="Z215" s="2"/>
      <c r="AA215" s="2"/>
      <c r="AB215" s="2"/>
      <c r="AC215" s="2"/>
      <c r="AD215" s="2"/>
    </row>
    <row r="216" spans="1:30" ht="13">
      <c r="A216" s="3"/>
      <c r="B216" s="2"/>
      <c r="C216" s="2"/>
      <c r="D216" s="3"/>
      <c r="E216" s="3"/>
      <c r="F216" s="1"/>
      <c r="G216" s="37"/>
      <c r="H216" s="1"/>
      <c r="I216" s="2"/>
      <c r="J216" s="2"/>
      <c r="K216" s="2"/>
      <c r="L216" s="2"/>
      <c r="M216" s="2"/>
      <c r="N216" s="3"/>
      <c r="O216" s="3"/>
      <c r="P216" s="2"/>
      <c r="Q216" s="2"/>
      <c r="R216" s="2"/>
      <c r="S216" s="2"/>
      <c r="T216" s="2"/>
      <c r="U216" s="2"/>
      <c r="V216" s="2"/>
      <c r="W216" s="2"/>
      <c r="X216" s="2"/>
      <c r="Y216" s="2"/>
      <c r="Z216" s="2"/>
      <c r="AA216" s="2"/>
      <c r="AB216" s="2"/>
      <c r="AC216" s="2"/>
      <c r="AD216" s="2"/>
    </row>
    <row r="217" spans="1:30" ht="13">
      <c r="A217" s="3"/>
      <c r="B217" s="2"/>
      <c r="C217" s="2"/>
      <c r="D217" s="3"/>
      <c r="E217" s="3"/>
      <c r="F217" s="1"/>
      <c r="G217" s="37"/>
      <c r="H217" s="1"/>
      <c r="I217" s="2"/>
      <c r="J217" s="2"/>
      <c r="K217" s="2"/>
      <c r="L217" s="2"/>
      <c r="M217" s="2"/>
      <c r="N217" s="3"/>
      <c r="O217" s="3"/>
      <c r="P217" s="2"/>
      <c r="Q217" s="2"/>
      <c r="R217" s="2"/>
      <c r="S217" s="2"/>
      <c r="T217" s="2"/>
      <c r="U217" s="2"/>
      <c r="V217" s="2"/>
      <c r="W217" s="2"/>
      <c r="X217" s="2"/>
      <c r="Y217" s="2"/>
      <c r="Z217" s="2"/>
      <c r="AA217" s="2"/>
      <c r="AB217" s="2"/>
      <c r="AC217" s="2"/>
      <c r="AD217" s="2"/>
    </row>
    <row r="218" spans="1:30" ht="13">
      <c r="A218" s="3"/>
      <c r="B218" s="2"/>
      <c r="C218" s="2"/>
      <c r="D218" s="3"/>
      <c r="E218" s="3"/>
      <c r="F218" s="1"/>
      <c r="G218" s="37"/>
      <c r="H218" s="1"/>
      <c r="I218" s="2"/>
      <c r="J218" s="2"/>
      <c r="K218" s="2"/>
      <c r="L218" s="2"/>
      <c r="M218" s="2"/>
      <c r="N218" s="3"/>
      <c r="O218" s="3"/>
      <c r="P218" s="2"/>
      <c r="Q218" s="2"/>
      <c r="R218" s="2"/>
      <c r="S218" s="2"/>
      <c r="T218" s="2"/>
      <c r="U218" s="2"/>
      <c r="V218" s="2"/>
      <c r="W218" s="2"/>
      <c r="X218" s="2"/>
      <c r="Y218" s="2"/>
      <c r="Z218" s="2"/>
      <c r="AA218" s="2"/>
      <c r="AB218" s="2"/>
      <c r="AC218" s="2"/>
      <c r="AD218" s="2"/>
    </row>
    <row r="219" spans="1:30" ht="13">
      <c r="A219" s="3"/>
      <c r="B219" s="2"/>
      <c r="C219" s="2"/>
      <c r="D219" s="3"/>
      <c r="E219" s="3"/>
      <c r="F219" s="1"/>
      <c r="G219" s="37"/>
      <c r="H219" s="1"/>
      <c r="I219" s="2"/>
      <c r="J219" s="2"/>
      <c r="K219" s="2"/>
      <c r="L219" s="2"/>
      <c r="M219" s="2"/>
      <c r="N219" s="3"/>
      <c r="O219" s="3"/>
      <c r="P219" s="2"/>
      <c r="Q219" s="2"/>
      <c r="R219" s="2"/>
      <c r="S219" s="2"/>
      <c r="T219" s="2"/>
      <c r="U219" s="2"/>
      <c r="V219" s="2"/>
      <c r="W219" s="2"/>
      <c r="X219" s="2"/>
      <c r="Y219" s="2"/>
      <c r="Z219" s="2"/>
      <c r="AA219" s="2"/>
      <c r="AB219" s="2"/>
      <c r="AC219" s="2"/>
      <c r="AD219" s="2"/>
    </row>
    <row r="220" spans="1:30" ht="13">
      <c r="A220" s="3"/>
      <c r="B220" s="2"/>
      <c r="C220" s="2"/>
      <c r="D220" s="3"/>
      <c r="E220" s="3"/>
      <c r="F220" s="1"/>
      <c r="G220" s="37"/>
      <c r="H220" s="1"/>
      <c r="I220" s="2"/>
      <c r="J220" s="2"/>
      <c r="K220" s="2"/>
      <c r="L220" s="2"/>
      <c r="M220" s="2"/>
      <c r="N220" s="3"/>
      <c r="O220" s="3"/>
      <c r="P220" s="2"/>
      <c r="Q220" s="2"/>
      <c r="R220" s="2"/>
      <c r="S220" s="2"/>
      <c r="T220" s="2"/>
      <c r="U220" s="2"/>
      <c r="V220" s="2"/>
      <c r="W220" s="2"/>
      <c r="X220" s="2"/>
      <c r="Y220" s="2"/>
      <c r="Z220" s="2"/>
      <c r="AA220" s="2"/>
      <c r="AB220" s="2"/>
      <c r="AC220" s="2"/>
      <c r="AD220" s="2"/>
    </row>
    <row r="221" spans="1:30" ht="13">
      <c r="A221" s="3"/>
      <c r="B221" s="2"/>
      <c r="C221" s="2"/>
      <c r="D221" s="3"/>
      <c r="E221" s="3"/>
      <c r="F221" s="1"/>
      <c r="G221" s="37"/>
      <c r="H221" s="1"/>
      <c r="I221" s="2"/>
      <c r="J221" s="2"/>
      <c r="K221" s="2"/>
      <c r="L221" s="2"/>
      <c r="M221" s="2"/>
      <c r="N221" s="3"/>
      <c r="O221" s="3"/>
      <c r="P221" s="2"/>
      <c r="Q221" s="2"/>
      <c r="R221" s="2"/>
      <c r="S221" s="2"/>
      <c r="T221" s="2"/>
      <c r="U221" s="2"/>
      <c r="V221" s="2"/>
      <c r="W221" s="2"/>
      <c r="X221" s="2"/>
      <c r="Y221" s="2"/>
      <c r="Z221" s="2"/>
      <c r="AA221" s="2"/>
      <c r="AB221" s="2"/>
      <c r="AC221" s="2"/>
      <c r="AD221" s="2"/>
    </row>
    <row r="222" spans="1:30" ht="13">
      <c r="A222" s="3"/>
      <c r="B222" s="2"/>
      <c r="C222" s="2"/>
      <c r="D222" s="3"/>
      <c r="E222" s="3"/>
      <c r="F222" s="1"/>
      <c r="G222" s="37"/>
      <c r="H222" s="1"/>
      <c r="I222" s="2"/>
      <c r="J222" s="2"/>
      <c r="K222" s="2"/>
      <c r="L222" s="2"/>
      <c r="M222" s="2"/>
      <c r="N222" s="3"/>
      <c r="O222" s="3"/>
      <c r="P222" s="2"/>
      <c r="Q222" s="2"/>
      <c r="R222" s="2"/>
      <c r="S222" s="2"/>
      <c r="T222" s="2"/>
      <c r="U222" s="2"/>
      <c r="V222" s="2"/>
      <c r="W222" s="2"/>
      <c r="X222" s="2"/>
      <c r="Y222" s="2"/>
      <c r="Z222" s="2"/>
      <c r="AA222" s="2"/>
      <c r="AB222" s="2"/>
      <c r="AC222" s="2"/>
      <c r="AD222" s="2"/>
    </row>
    <row r="223" spans="1:30" ht="13">
      <c r="A223" s="3"/>
      <c r="B223" s="2"/>
      <c r="C223" s="2"/>
      <c r="D223" s="3"/>
      <c r="E223" s="3"/>
      <c r="F223" s="1"/>
      <c r="G223" s="37"/>
      <c r="H223" s="1"/>
      <c r="I223" s="2"/>
      <c r="J223" s="2"/>
      <c r="K223" s="2"/>
      <c r="L223" s="2"/>
      <c r="M223" s="2"/>
      <c r="N223" s="3"/>
      <c r="O223" s="3"/>
      <c r="P223" s="2"/>
      <c r="Q223" s="2"/>
      <c r="R223" s="2"/>
      <c r="S223" s="2"/>
      <c r="T223" s="2"/>
      <c r="U223" s="2"/>
      <c r="V223" s="2"/>
      <c r="W223" s="2"/>
      <c r="X223" s="2"/>
      <c r="Y223" s="2"/>
      <c r="Z223" s="2"/>
      <c r="AA223" s="2"/>
      <c r="AB223" s="2"/>
      <c r="AC223" s="2"/>
      <c r="AD223" s="2"/>
    </row>
    <row r="224" spans="1:30" ht="13">
      <c r="A224" s="3"/>
      <c r="B224" s="2"/>
      <c r="C224" s="2"/>
      <c r="D224" s="3"/>
      <c r="E224" s="3"/>
      <c r="F224" s="1"/>
      <c r="G224" s="37"/>
      <c r="H224" s="1"/>
      <c r="I224" s="2"/>
      <c r="J224" s="2"/>
      <c r="K224" s="2"/>
      <c r="L224" s="2"/>
      <c r="M224" s="2"/>
      <c r="N224" s="3"/>
      <c r="O224" s="3"/>
      <c r="P224" s="2"/>
      <c r="Q224" s="2"/>
      <c r="R224" s="2"/>
      <c r="S224" s="2"/>
      <c r="T224" s="2"/>
      <c r="U224" s="2"/>
      <c r="V224" s="2"/>
      <c r="W224" s="2"/>
      <c r="X224" s="2"/>
      <c r="Y224" s="2"/>
      <c r="Z224" s="2"/>
      <c r="AA224" s="2"/>
      <c r="AB224" s="2"/>
      <c r="AC224" s="2"/>
      <c r="AD224" s="2"/>
    </row>
    <row r="225" spans="1:30" ht="13">
      <c r="A225" s="3"/>
      <c r="B225" s="2"/>
      <c r="C225" s="2"/>
      <c r="D225" s="3"/>
      <c r="E225" s="3"/>
      <c r="F225" s="1"/>
      <c r="G225" s="37"/>
      <c r="H225" s="1"/>
      <c r="I225" s="2"/>
      <c r="J225" s="2"/>
      <c r="K225" s="2"/>
      <c r="L225" s="2"/>
      <c r="M225" s="2"/>
      <c r="N225" s="3"/>
      <c r="O225" s="3"/>
      <c r="P225" s="2"/>
      <c r="Q225" s="2"/>
      <c r="R225" s="2"/>
      <c r="S225" s="2"/>
      <c r="T225" s="2"/>
      <c r="U225" s="2"/>
      <c r="V225" s="2"/>
      <c r="W225" s="2"/>
      <c r="X225" s="2"/>
      <c r="Y225" s="2"/>
      <c r="Z225" s="2"/>
      <c r="AA225" s="2"/>
      <c r="AB225" s="2"/>
      <c r="AC225" s="2"/>
      <c r="AD225" s="2"/>
    </row>
    <row r="226" spans="1:30" ht="13">
      <c r="A226" s="3"/>
      <c r="B226" s="2"/>
      <c r="C226" s="2"/>
      <c r="D226" s="3"/>
      <c r="E226" s="3"/>
      <c r="F226" s="1"/>
      <c r="G226" s="37"/>
      <c r="H226" s="1"/>
      <c r="I226" s="2"/>
      <c r="J226" s="2"/>
      <c r="K226" s="2"/>
      <c r="L226" s="2"/>
      <c r="M226" s="2"/>
      <c r="N226" s="3"/>
      <c r="O226" s="3"/>
      <c r="P226" s="2"/>
      <c r="Q226" s="2"/>
      <c r="R226" s="2"/>
      <c r="S226" s="2"/>
      <c r="T226" s="2"/>
      <c r="U226" s="2"/>
      <c r="V226" s="2"/>
      <c r="W226" s="2"/>
      <c r="X226" s="2"/>
      <c r="Y226" s="2"/>
      <c r="Z226" s="2"/>
      <c r="AA226" s="2"/>
      <c r="AB226" s="2"/>
      <c r="AC226" s="2"/>
      <c r="AD226" s="2"/>
    </row>
    <row r="227" spans="1:30" ht="13">
      <c r="A227" s="3"/>
      <c r="B227" s="2"/>
      <c r="C227" s="2"/>
      <c r="D227" s="3"/>
      <c r="E227" s="3"/>
      <c r="F227" s="1"/>
      <c r="G227" s="37"/>
      <c r="H227" s="1"/>
      <c r="I227" s="2"/>
      <c r="J227" s="2"/>
      <c r="K227" s="2"/>
      <c r="L227" s="2"/>
      <c r="M227" s="2"/>
      <c r="N227" s="3"/>
      <c r="O227" s="3"/>
      <c r="P227" s="2"/>
      <c r="Q227" s="2"/>
      <c r="R227" s="2"/>
      <c r="S227" s="2"/>
      <c r="T227" s="2"/>
      <c r="U227" s="2"/>
      <c r="V227" s="2"/>
      <c r="W227" s="2"/>
      <c r="X227" s="2"/>
      <c r="Y227" s="2"/>
      <c r="Z227" s="2"/>
      <c r="AA227" s="2"/>
      <c r="AB227" s="2"/>
      <c r="AC227" s="2"/>
      <c r="AD227" s="2"/>
    </row>
    <row r="228" spans="1:30" ht="13">
      <c r="A228" s="3"/>
      <c r="B228" s="2"/>
      <c r="C228" s="2"/>
      <c r="D228" s="3"/>
      <c r="E228" s="3"/>
      <c r="F228" s="1"/>
      <c r="G228" s="37"/>
      <c r="H228" s="1"/>
      <c r="I228" s="2"/>
      <c r="J228" s="2"/>
      <c r="K228" s="2"/>
      <c r="L228" s="2"/>
      <c r="M228" s="2"/>
      <c r="N228" s="3"/>
      <c r="O228" s="3"/>
      <c r="P228" s="2"/>
      <c r="Q228" s="2"/>
      <c r="R228" s="2"/>
      <c r="S228" s="2"/>
      <c r="T228" s="2"/>
      <c r="U228" s="2"/>
      <c r="V228" s="2"/>
      <c r="W228" s="2"/>
      <c r="X228" s="2"/>
      <c r="Y228" s="2"/>
      <c r="Z228" s="2"/>
      <c r="AA228" s="2"/>
      <c r="AB228" s="2"/>
      <c r="AC228" s="2"/>
      <c r="AD228" s="2"/>
    </row>
    <row r="229" spans="1:30" ht="13">
      <c r="A229" s="3"/>
      <c r="B229" s="2"/>
      <c r="C229" s="2"/>
      <c r="D229" s="3"/>
      <c r="E229" s="3"/>
      <c r="F229" s="1"/>
      <c r="G229" s="37"/>
      <c r="H229" s="1"/>
      <c r="I229" s="2"/>
      <c r="J229" s="2"/>
      <c r="K229" s="2"/>
      <c r="L229" s="2"/>
      <c r="M229" s="2"/>
      <c r="N229" s="3"/>
      <c r="O229" s="3"/>
      <c r="P229" s="2"/>
      <c r="Q229" s="2"/>
      <c r="R229" s="2"/>
      <c r="S229" s="2"/>
      <c r="T229" s="2"/>
      <c r="U229" s="2"/>
      <c r="V229" s="2"/>
      <c r="W229" s="2"/>
      <c r="X229" s="2"/>
      <c r="Y229" s="2"/>
      <c r="Z229" s="2"/>
      <c r="AA229" s="2"/>
      <c r="AB229" s="2"/>
      <c r="AC229" s="2"/>
      <c r="AD229" s="2"/>
    </row>
    <row r="230" spans="1:30" ht="13">
      <c r="A230" s="3"/>
      <c r="B230" s="2"/>
      <c r="C230" s="2"/>
      <c r="D230" s="3"/>
      <c r="E230" s="3"/>
      <c r="F230" s="1"/>
      <c r="G230" s="37"/>
      <c r="H230" s="1"/>
      <c r="I230" s="2"/>
      <c r="J230" s="2"/>
      <c r="K230" s="2"/>
      <c r="L230" s="2"/>
      <c r="M230" s="2"/>
      <c r="N230" s="3"/>
      <c r="O230" s="3"/>
      <c r="P230" s="2"/>
      <c r="Q230" s="2"/>
      <c r="R230" s="2"/>
      <c r="S230" s="2"/>
      <c r="T230" s="2"/>
      <c r="U230" s="2"/>
      <c r="V230" s="2"/>
      <c r="W230" s="2"/>
      <c r="X230" s="2"/>
      <c r="Y230" s="2"/>
      <c r="Z230" s="2"/>
      <c r="AA230" s="2"/>
      <c r="AB230" s="2"/>
      <c r="AC230" s="2"/>
      <c r="AD230" s="2"/>
    </row>
    <row r="231" spans="1:30" ht="13">
      <c r="A231" s="3"/>
      <c r="B231" s="2"/>
      <c r="C231" s="2"/>
      <c r="D231" s="3"/>
      <c r="E231" s="3"/>
      <c r="F231" s="1"/>
      <c r="G231" s="37"/>
      <c r="H231" s="1"/>
      <c r="I231" s="2"/>
      <c r="J231" s="2"/>
      <c r="K231" s="2"/>
      <c r="L231" s="2"/>
      <c r="M231" s="2"/>
      <c r="N231" s="3"/>
      <c r="O231" s="3"/>
      <c r="P231" s="2"/>
      <c r="Q231" s="2"/>
      <c r="R231" s="2"/>
      <c r="S231" s="2"/>
      <c r="T231" s="2"/>
      <c r="U231" s="2"/>
      <c r="V231" s="2"/>
      <c r="W231" s="2"/>
      <c r="X231" s="2"/>
      <c r="Y231" s="2"/>
      <c r="Z231" s="2"/>
      <c r="AA231" s="2"/>
      <c r="AB231" s="2"/>
      <c r="AC231" s="2"/>
      <c r="AD231" s="2"/>
    </row>
    <row r="232" spans="1:30" ht="13">
      <c r="A232" s="3"/>
      <c r="B232" s="2"/>
      <c r="C232" s="2"/>
      <c r="D232" s="3"/>
      <c r="E232" s="3"/>
      <c r="F232" s="1"/>
      <c r="G232" s="37"/>
      <c r="H232" s="1"/>
      <c r="I232" s="2"/>
      <c r="J232" s="2"/>
      <c r="K232" s="2"/>
      <c r="L232" s="2"/>
      <c r="M232" s="2"/>
      <c r="N232" s="3"/>
      <c r="O232" s="3"/>
      <c r="P232" s="2"/>
      <c r="Q232" s="2"/>
      <c r="R232" s="2"/>
      <c r="S232" s="2"/>
      <c r="T232" s="2"/>
      <c r="U232" s="2"/>
      <c r="V232" s="2"/>
      <c r="W232" s="2"/>
      <c r="X232" s="2"/>
      <c r="Y232" s="2"/>
      <c r="Z232" s="2"/>
      <c r="AA232" s="2"/>
      <c r="AB232" s="2"/>
      <c r="AC232" s="2"/>
      <c r="AD232" s="2"/>
    </row>
    <row r="233" spans="1:30" ht="13">
      <c r="A233" s="3"/>
      <c r="B233" s="2"/>
      <c r="C233" s="2"/>
      <c r="D233" s="3"/>
      <c r="E233" s="3"/>
      <c r="F233" s="1"/>
      <c r="G233" s="37"/>
      <c r="H233" s="1"/>
      <c r="I233" s="2"/>
      <c r="J233" s="2"/>
      <c r="K233" s="2"/>
      <c r="L233" s="2"/>
      <c r="M233" s="2"/>
      <c r="N233" s="3"/>
      <c r="O233" s="3"/>
      <c r="P233" s="2"/>
      <c r="Q233" s="2"/>
      <c r="R233" s="2"/>
      <c r="S233" s="2"/>
      <c r="T233" s="2"/>
      <c r="U233" s="2"/>
      <c r="V233" s="2"/>
      <c r="W233" s="2"/>
      <c r="X233" s="2"/>
      <c r="Y233" s="2"/>
      <c r="Z233" s="2"/>
      <c r="AA233" s="2"/>
      <c r="AB233" s="2"/>
      <c r="AC233" s="2"/>
      <c r="AD233" s="2"/>
    </row>
    <row r="234" spans="1:30" ht="13">
      <c r="A234" s="3"/>
      <c r="B234" s="2"/>
      <c r="C234" s="2"/>
      <c r="D234" s="3"/>
      <c r="E234" s="3"/>
      <c r="F234" s="1"/>
      <c r="G234" s="37"/>
      <c r="H234" s="1"/>
      <c r="I234" s="2"/>
      <c r="J234" s="2"/>
      <c r="K234" s="2"/>
      <c r="L234" s="2"/>
      <c r="M234" s="2"/>
      <c r="N234" s="3"/>
      <c r="O234" s="3"/>
      <c r="P234" s="2"/>
      <c r="Q234" s="2"/>
      <c r="R234" s="2"/>
      <c r="S234" s="2"/>
      <c r="T234" s="2"/>
      <c r="U234" s="2"/>
      <c r="V234" s="2"/>
      <c r="W234" s="2"/>
      <c r="X234" s="2"/>
      <c r="Y234" s="2"/>
      <c r="Z234" s="2"/>
      <c r="AA234" s="2"/>
      <c r="AB234" s="2"/>
      <c r="AC234" s="2"/>
      <c r="AD234" s="2"/>
    </row>
    <row r="235" spans="1:30" ht="13">
      <c r="A235" s="3"/>
      <c r="B235" s="2"/>
      <c r="C235" s="2"/>
      <c r="D235" s="3"/>
      <c r="E235" s="3"/>
      <c r="F235" s="1"/>
      <c r="G235" s="37"/>
      <c r="H235" s="1"/>
      <c r="I235" s="2"/>
      <c r="J235" s="2"/>
      <c r="K235" s="2"/>
      <c r="L235" s="2"/>
      <c r="M235" s="2"/>
      <c r="N235" s="3"/>
      <c r="O235" s="3"/>
      <c r="P235" s="2"/>
      <c r="Q235" s="2"/>
      <c r="R235" s="2"/>
      <c r="S235" s="2"/>
      <c r="T235" s="2"/>
      <c r="U235" s="2"/>
      <c r="V235" s="2"/>
      <c r="W235" s="2"/>
      <c r="X235" s="2"/>
      <c r="Y235" s="2"/>
      <c r="Z235" s="2"/>
      <c r="AA235" s="2"/>
      <c r="AB235" s="2"/>
      <c r="AC235" s="2"/>
      <c r="AD235" s="2"/>
    </row>
    <row r="236" spans="1:30" ht="13">
      <c r="A236" s="3"/>
      <c r="B236" s="2"/>
      <c r="C236" s="2"/>
      <c r="D236" s="3"/>
      <c r="E236" s="3"/>
      <c r="F236" s="1"/>
      <c r="G236" s="37"/>
      <c r="H236" s="1"/>
      <c r="I236" s="2"/>
      <c r="J236" s="2"/>
      <c r="K236" s="2"/>
      <c r="L236" s="2"/>
      <c r="M236" s="2"/>
      <c r="N236" s="3"/>
      <c r="O236" s="3"/>
      <c r="P236" s="2"/>
      <c r="Q236" s="2"/>
      <c r="R236" s="2"/>
      <c r="S236" s="2"/>
      <c r="T236" s="2"/>
      <c r="U236" s="2"/>
      <c r="V236" s="2"/>
      <c r="W236" s="2"/>
      <c r="X236" s="2"/>
      <c r="Y236" s="2"/>
      <c r="Z236" s="2"/>
      <c r="AA236" s="2"/>
      <c r="AB236" s="2"/>
      <c r="AC236" s="2"/>
      <c r="AD236" s="2"/>
    </row>
    <row r="237" spans="1:30" ht="13">
      <c r="A237" s="3"/>
      <c r="B237" s="2"/>
      <c r="C237" s="2"/>
      <c r="D237" s="3"/>
      <c r="E237" s="3"/>
      <c r="F237" s="1"/>
      <c r="G237" s="37"/>
      <c r="H237" s="1"/>
      <c r="I237" s="2"/>
      <c r="J237" s="2"/>
      <c r="K237" s="2"/>
      <c r="L237" s="2"/>
      <c r="M237" s="2"/>
      <c r="N237" s="3"/>
      <c r="O237" s="3"/>
      <c r="P237" s="2"/>
      <c r="Q237" s="2"/>
      <c r="R237" s="2"/>
      <c r="S237" s="2"/>
      <c r="T237" s="2"/>
      <c r="U237" s="2"/>
      <c r="V237" s="2"/>
      <c r="W237" s="2"/>
      <c r="X237" s="2"/>
      <c r="Y237" s="2"/>
      <c r="Z237" s="2"/>
      <c r="AA237" s="2"/>
      <c r="AB237" s="2"/>
      <c r="AC237" s="2"/>
      <c r="AD237" s="2"/>
    </row>
    <row r="238" spans="1:30" ht="13">
      <c r="A238" s="3"/>
      <c r="B238" s="2"/>
      <c r="C238" s="2"/>
      <c r="D238" s="3"/>
      <c r="E238" s="3"/>
      <c r="F238" s="1"/>
      <c r="G238" s="37"/>
      <c r="H238" s="1"/>
      <c r="I238" s="2"/>
      <c r="J238" s="2"/>
      <c r="K238" s="2"/>
      <c r="L238" s="2"/>
      <c r="M238" s="2"/>
      <c r="N238" s="3"/>
      <c r="O238" s="3"/>
      <c r="P238" s="2"/>
      <c r="Q238" s="2"/>
      <c r="R238" s="2"/>
      <c r="S238" s="2"/>
      <c r="T238" s="2"/>
      <c r="U238" s="2"/>
      <c r="V238" s="2"/>
      <c r="W238" s="2"/>
      <c r="X238" s="2"/>
      <c r="Y238" s="2"/>
      <c r="Z238" s="2"/>
      <c r="AA238" s="2"/>
      <c r="AB238" s="2"/>
      <c r="AC238" s="2"/>
      <c r="AD238" s="2"/>
    </row>
    <row r="239" spans="1:30" ht="13">
      <c r="A239" s="3"/>
      <c r="B239" s="2"/>
      <c r="C239" s="2"/>
      <c r="D239" s="3"/>
      <c r="E239" s="3"/>
      <c r="F239" s="1"/>
      <c r="G239" s="37"/>
      <c r="H239" s="1"/>
      <c r="I239" s="2"/>
      <c r="J239" s="2"/>
      <c r="K239" s="2"/>
      <c r="L239" s="2"/>
      <c r="M239" s="2"/>
      <c r="N239" s="3"/>
      <c r="O239" s="3"/>
      <c r="P239" s="2"/>
      <c r="Q239" s="2"/>
      <c r="R239" s="2"/>
      <c r="S239" s="2"/>
      <c r="T239" s="2"/>
      <c r="U239" s="2"/>
      <c r="V239" s="2"/>
      <c r="W239" s="2"/>
      <c r="X239" s="2"/>
      <c r="Y239" s="2"/>
      <c r="Z239" s="2"/>
      <c r="AA239" s="2"/>
      <c r="AB239" s="2"/>
      <c r="AC239" s="2"/>
      <c r="AD239" s="2"/>
    </row>
    <row r="240" spans="1:30" ht="13">
      <c r="A240" s="3"/>
      <c r="B240" s="2"/>
      <c r="C240" s="2"/>
      <c r="D240" s="3"/>
      <c r="E240" s="3"/>
      <c r="F240" s="1"/>
      <c r="G240" s="37"/>
      <c r="H240" s="1"/>
      <c r="I240" s="2"/>
      <c r="J240" s="2"/>
      <c r="K240" s="2"/>
      <c r="L240" s="2"/>
      <c r="M240" s="2"/>
      <c r="N240" s="3"/>
      <c r="O240" s="3"/>
      <c r="P240" s="2"/>
      <c r="Q240" s="2"/>
      <c r="R240" s="2"/>
      <c r="S240" s="2"/>
      <c r="T240" s="2"/>
      <c r="U240" s="2"/>
      <c r="V240" s="2"/>
      <c r="W240" s="2"/>
      <c r="X240" s="2"/>
      <c r="Y240" s="2"/>
      <c r="Z240" s="2"/>
      <c r="AA240" s="2"/>
      <c r="AB240" s="2"/>
      <c r="AC240" s="2"/>
      <c r="AD240" s="2"/>
    </row>
    <row r="241" spans="1:30" ht="13">
      <c r="A241" s="3"/>
      <c r="B241" s="2"/>
      <c r="C241" s="2"/>
      <c r="D241" s="3"/>
      <c r="E241" s="3"/>
      <c r="F241" s="1"/>
      <c r="G241" s="37"/>
      <c r="H241" s="1"/>
      <c r="I241" s="2"/>
      <c r="J241" s="2"/>
      <c r="K241" s="2"/>
      <c r="L241" s="2"/>
      <c r="M241" s="2"/>
      <c r="N241" s="3"/>
      <c r="O241" s="3"/>
      <c r="P241" s="2"/>
      <c r="Q241" s="2"/>
      <c r="R241" s="2"/>
      <c r="S241" s="2"/>
      <c r="T241" s="2"/>
      <c r="U241" s="2"/>
      <c r="V241" s="2"/>
      <c r="W241" s="2"/>
      <c r="X241" s="2"/>
      <c r="Y241" s="2"/>
      <c r="Z241" s="2"/>
      <c r="AA241" s="2"/>
      <c r="AB241" s="2"/>
      <c r="AC241" s="2"/>
      <c r="AD241" s="2"/>
    </row>
    <row r="242" spans="1:30" ht="13">
      <c r="A242" s="3"/>
      <c r="B242" s="2"/>
      <c r="C242" s="2"/>
      <c r="D242" s="3"/>
      <c r="E242" s="3"/>
      <c r="F242" s="1"/>
      <c r="G242" s="37"/>
      <c r="H242" s="1"/>
      <c r="I242" s="2"/>
      <c r="J242" s="2"/>
      <c r="K242" s="2"/>
      <c r="L242" s="2"/>
      <c r="M242" s="2"/>
      <c r="N242" s="3"/>
      <c r="O242" s="3"/>
      <c r="P242" s="2"/>
      <c r="Q242" s="2"/>
      <c r="R242" s="2"/>
      <c r="S242" s="2"/>
      <c r="T242" s="2"/>
      <c r="U242" s="2"/>
      <c r="V242" s="2"/>
      <c r="W242" s="2"/>
      <c r="X242" s="2"/>
      <c r="Y242" s="2"/>
      <c r="Z242" s="2"/>
      <c r="AA242" s="2"/>
      <c r="AB242" s="2"/>
      <c r="AC242" s="2"/>
      <c r="AD242" s="2"/>
    </row>
    <row r="243" spans="1:30" ht="13">
      <c r="A243" s="3"/>
      <c r="B243" s="2"/>
      <c r="C243" s="2"/>
      <c r="D243" s="3"/>
      <c r="E243" s="3"/>
      <c r="F243" s="1"/>
      <c r="G243" s="37"/>
      <c r="H243" s="1"/>
      <c r="I243" s="2"/>
      <c r="J243" s="2"/>
      <c r="K243" s="2"/>
      <c r="L243" s="2"/>
      <c r="M243" s="2"/>
      <c r="N243" s="3"/>
      <c r="O243" s="3"/>
      <c r="P243" s="2"/>
      <c r="Q243" s="2"/>
      <c r="R243" s="2"/>
      <c r="S243" s="2"/>
      <c r="T243" s="2"/>
      <c r="U243" s="2"/>
      <c r="V243" s="2"/>
      <c r="W243" s="2"/>
      <c r="X243" s="2"/>
      <c r="Y243" s="2"/>
      <c r="Z243" s="2"/>
      <c r="AA243" s="2"/>
      <c r="AB243" s="2"/>
      <c r="AC243" s="2"/>
      <c r="AD243" s="2"/>
    </row>
    <row r="244" spans="1:30" ht="13">
      <c r="A244" s="3"/>
      <c r="B244" s="2"/>
      <c r="C244" s="2"/>
      <c r="D244" s="3"/>
      <c r="E244" s="3"/>
      <c r="F244" s="1"/>
      <c r="G244" s="37"/>
      <c r="H244" s="1"/>
      <c r="I244" s="2"/>
      <c r="J244" s="2"/>
      <c r="K244" s="2"/>
      <c r="L244" s="2"/>
      <c r="M244" s="2"/>
      <c r="N244" s="3"/>
      <c r="O244" s="3"/>
      <c r="P244" s="2"/>
      <c r="Q244" s="2"/>
      <c r="R244" s="2"/>
      <c r="S244" s="2"/>
      <c r="T244" s="2"/>
      <c r="U244" s="2"/>
      <c r="V244" s="2"/>
      <c r="W244" s="2"/>
      <c r="X244" s="2"/>
      <c r="Y244" s="2"/>
      <c r="Z244" s="2"/>
      <c r="AA244" s="2"/>
      <c r="AB244" s="2"/>
      <c r="AC244" s="2"/>
      <c r="AD244" s="2"/>
    </row>
    <row r="245" spans="1:30" ht="13">
      <c r="A245" s="3"/>
      <c r="B245" s="2"/>
      <c r="C245" s="2"/>
      <c r="D245" s="3"/>
      <c r="E245" s="3"/>
      <c r="F245" s="1"/>
      <c r="G245" s="37"/>
      <c r="H245" s="1"/>
      <c r="I245" s="2"/>
      <c r="J245" s="2"/>
      <c r="K245" s="2"/>
      <c r="L245" s="2"/>
      <c r="M245" s="2"/>
      <c r="N245" s="3"/>
      <c r="O245" s="3"/>
      <c r="P245" s="2"/>
      <c r="Q245" s="2"/>
      <c r="R245" s="2"/>
      <c r="S245" s="2"/>
      <c r="T245" s="2"/>
      <c r="U245" s="2"/>
      <c r="V245" s="2"/>
      <c r="W245" s="2"/>
      <c r="X245" s="2"/>
      <c r="Y245" s="2"/>
      <c r="Z245" s="2"/>
      <c r="AA245" s="2"/>
      <c r="AB245" s="2"/>
      <c r="AC245" s="2"/>
      <c r="AD245" s="2"/>
    </row>
    <row r="246" spans="1:30" ht="13">
      <c r="A246" s="3"/>
      <c r="B246" s="2"/>
      <c r="C246" s="2"/>
      <c r="D246" s="3"/>
      <c r="E246" s="3"/>
      <c r="F246" s="1"/>
      <c r="G246" s="37"/>
      <c r="H246" s="1"/>
      <c r="I246" s="2"/>
      <c r="J246" s="2"/>
      <c r="K246" s="2"/>
      <c r="L246" s="2"/>
      <c r="M246" s="2"/>
      <c r="N246" s="3"/>
      <c r="O246" s="3"/>
      <c r="P246" s="2"/>
      <c r="Q246" s="2"/>
      <c r="R246" s="2"/>
      <c r="S246" s="2"/>
      <c r="T246" s="2"/>
      <c r="U246" s="2"/>
      <c r="V246" s="2"/>
      <c r="W246" s="2"/>
      <c r="X246" s="2"/>
      <c r="Y246" s="2"/>
      <c r="Z246" s="2"/>
      <c r="AA246" s="2"/>
      <c r="AB246" s="2"/>
      <c r="AC246" s="2"/>
      <c r="AD246" s="2"/>
    </row>
    <row r="247" spans="1:30" ht="13">
      <c r="A247" s="3"/>
      <c r="B247" s="2"/>
      <c r="C247" s="2"/>
      <c r="D247" s="3"/>
      <c r="E247" s="3"/>
      <c r="F247" s="1"/>
      <c r="G247" s="37"/>
      <c r="H247" s="1"/>
      <c r="I247" s="2"/>
      <c r="J247" s="2"/>
      <c r="K247" s="2"/>
      <c r="L247" s="2"/>
      <c r="M247" s="2"/>
      <c r="N247" s="3"/>
      <c r="O247" s="3"/>
      <c r="P247" s="2"/>
      <c r="Q247" s="2"/>
      <c r="R247" s="2"/>
      <c r="S247" s="2"/>
      <c r="T247" s="2"/>
      <c r="U247" s="2"/>
      <c r="V247" s="2"/>
      <c r="W247" s="2"/>
      <c r="X247" s="2"/>
      <c r="Y247" s="2"/>
      <c r="Z247" s="2"/>
      <c r="AA247" s="2"/>
      <c r="AB247" s="2"/>
      <c r="AC247" s="2"/>
      <c r="AD247" s="2"/>
    </row>
    <row r="248" spans="1:30" ht="13">
      <c r="A248" s="3"/>
      <c r="B248" s="2"/>
      <c r="C248" s="2"/>
      <c r="D248" s="3"/>
      <c r="E248" s="3"/>
      <c r="F248" s="1"/>
      <c r="G248" s="37"/>
      <c r="H248" s="1"/>
      <c r="I248" s="2"/>
      <c r="J248" s="2"/>
      <c r="K248" s="2"/>
      <c r="L248" s="2"/>
      <c r="M248" s="2"/>
      <c r="N248" s="3"/>
      <c r="O248" s="3"/>
      <c r="P248" s="2"/>
      <c r="Q248" s="2"/>
      <c r="R248" s="2"/>
      <c r="S248" s="2"/>
      <c r="T248" s="2"/>
      <c r="U248" s="2"/>
      <c r="V248" s="2"/>
      <c r="W248" s="2"/>
      <c r="X248" s="2"/>
      <c r="Y248" s="2"/>
      <c r="Z248" s="2"/>
      <c r="AA248" s="2"/>
      <c r="AB248" s="2"/>
      <c r="AC248" s="2"/>
      <c r="AD248" s="2"/>
    </row>
    <row r="249" spans="1:30" ht="13">
      <c r="A249" s="3"/>
      <c r="B249" s="2"/>
      <c r="C249" s="2"/>
      <c r="D249" s="3"/>
      <c r="E249" s="3"/>
      <c r="F249" s="1"/>
      <c r="G249" s="37"/>
      <c r="H249" s="1"/>
      <c r="I249" s="2"/>
      <c r="J249" s="2"/>
      <c r="K249" s="2"/>
      <c r="L249" s="2"/>
      <c r="M249" s="2"/>
      <c r="N249" s="3"/>
      <c r="O249" s="3"/>
      <c r="P249" s="2"/>
      <c r="Q249" s="2"/>
      <c r="R249" s="2"/>
      <c r="S249" s="2"/>
      <c r="T249" s="2"/>
      <c r="U249" s="2"/>
      <c r="V249" s="2"/>
      <c r="W249" s="2"/>
      <c r="X249" s="2"/>
      <c r="Y249" s="2"/>
      <c r="Z249" s="2"/>
      <c r="AA249" s="2"/>
      <c r="AB249" s="2"/>
      <c r="AC249" s="2"/>
      <c r="AD249" s="2"/>
    </row>
    <row r="250" spans="1:30" ht="13">
      <c r="A250" s="3"/>
      <c r="B250" s="2"/>
      <c r="C250" s="2"/>
      <c r="D250" s="3"/>
      <c r="E250" s="3"/>
      <c r="F250" s="1"/>
      <c r="G250" s="37"/>
      <c r="H250" s="1"/>
      <c r="I250" s="2"/>
      <c r="J250" s="2"/>
      <c r="K250" s="2"/>
      <c r="L250" s="2"/>
      <c r="M250" s="2"/>
      <c r="N250" s="3"/>
      <c r="O250" s="3"/>
      <c r="P250" s="2"/>
      <c r="Q250" s="2"/>
      <c r="R250" s="2"/>
      <c r="S250" s="2"/>
      <c r="T250" s="2"/>
      <c r="U250" s="2"/>
      <c r="V250" s="2"/>
      <c r="W250" s="2"/>
      <c r="X250" s="2"/>
      <c r="Y250" s="2"/>
      <c r="Z250" s="2"/>
      <c r="AA250" s="2"/>
      <c r="AB250" s="2"/>
      <c r="AC250" s="2"/>
      <c r="AD250" s="2"/>
    </row>
    <row r="251" spans="1:30" ht="13">
      <c r="A251" s="3"/>
      <c r="B251" s="2"/>
      <c r="C251" s="2"/>
      <c r="D251" s="3"/>
      <c r="E251" s="3"/>
      <c r="F251" s="1"/>
      <c r="G251" s="37"/>
      <c r="H251" s="1"/>
      <c r="I251" s="2"/>
      <c r="J251" s="2"/>
      <c r="K251" s="2"/>
      <c r="L251" s="2"/>
      <c r="M251" s="2"/>
      <c r="N251" s="3"/>
      <c r="O251" s="3"/>
      <c r="P251" s="2"/>
      <c r="Q251" s="2"/>
      <c r="R251" s="2"/>
      <c r="S251" s="2"/>
      <c r="T251" s="2"/>
      <c r="U251" s="2"/>
      <c r="V251" s="2"/>
      <c r="W251" s="2"/>
      <c r="X251" s="2"/>
      <c r="Y251" s="2"/>
      <c r="Z251" s="2"/>
      <c r="AA251" s="2"/>
      <c r="AB251" s="2"/>
      <c r="AC251" s="2"/>
      <c r="AD251" s="2"/>
    </row>
    <row r="252" spans="1:30" ht="13">
      <c r="A252" s="3"/>
      <c r="B252" s="2"/>
      <c r="C252" s="2"/>
      <c r="D252" s="3"/>
      <c r="E252" s="3"/>
      <c r="F252" s="1"/>
      <c r="G252" s="37"/>
      <c r="H252" s="1"/>
      <c r="I252" s="2"/>
      <c r="J252" s="2"/>
      <c r="K252" s="2"/>
      <c r="L252" s="2"/>
      <c r="M252" s="2"/>
      <c r="N252" s="3"/>
      <c r="O252" s="3"/>
      <c r="P252" s="2"/>
      <c r="Q252" s="2"/>
      <c r="R252" s="2"/>
      <c r="S252" s="2"/>
      <c r="T252" s="2"/>
      <c r="U252" s="2"/>
      <c r="V252" s="2"/>
      <c r="W252" s="2"/>
      <c r="X252" s="2"/>
      <c r="Y252" s="2"/>
      <c r="Z252" s="2"/>
      <c r="AA252" s="2"/>
      <c r="AB252" s="2"/>
      <c r="AC252" s="2"/>
      <c r="AD252" s="2"/>
    </row>
    <row r="253" spans="1:30" ht="13">
      <c r="A253" s="3"/>
      <c r="B253" s="2"/>
      <c r="C253" s="2"/>
      <c r="D253" s="3"/>
      <c r="E253" s="3"/>
      <c r="F253" s="1"/>
      <c r="G253" s="37"/>
      <c r="H253" s="1"/>
      <c r="I253" s="2"/>
      <c r="J253" s="2"/>
      <c r="K253" s="2"/>
      <c r="L253" s="2"/>
      <c r="M253" s="2"/>
      <c r="N253" s="3"/>
      <c r="O253" s="3"/>
      <c r="P253" s="2"/>
      <c r="Q253" s="2"/>
      <c r="R253" s="2"/>
      <c r="S253" s="2"/>
      <c r="T253" s="2"/>
      <c r="U253" s="2"/>
      <c r="V253" s="2"/>
      <c r="W253" s="2"/>
      <c r="X253" s="2"/>
      <c r="Y253" s="2"/>
      <c r="Z253" s="2"/>
      <c r="AA253" s="2"/>
      <c r="AB253" s="2"/>
      <c r="AC253" s="2"/>
      <c r="AD253" s="2"/>
    </row>
    <row r="254" spans="1:30" ht="13">
      <c r="A254" s="3"/>
      <c r="B254" s="2"/>
      <c r="C254" s="2"/>
      <c r="D254" s="3"/>
      <c r="E254" s="3"/>
      <c r="F254" s="1"/>
      <c r="G254" s="37"/>
      <c r="H254" s="1"/>
      <c r="I254" s="2"/>
      <c r="J254" s="2"/>
      <c r="K254" s="2"/>
      <c r="L254" s="2"/>
      <c r="M254" s="2"/>
      <c r="N254" s="3"/>
      <c r="O254" s="3"/>
      <c r="P254" s="2"/>
      <c r="Q254" s="2"/>
      <c r="R254" s="2"/>
      <c r="S254" s="2"/>
      <c r="T254" s="2"/>
      <c r="U254" s="2"/>
      <c r="V254" s="2"/>
      <c r="W254" s="2"/>
      <c r="X254" s="2"/>
      <c r="Y254" s="2"/>
      <c r="Z254" s="2"/>
      <c r="AA254" s="2"/>
      <c r="AB254" s="2"/>
      <c r="AC254" s="2"/>
      <c r="AD254" s="2"/>
    </row>
    <row r="255" spans="1:30" ht="13">
      <c r="A255" s="3"/>
      <c r="B255" s="2"/>
      <c r="C255" s="2"/>
      <c r="D255" s="3"/>
      <c r="E255" s="3"/>
      <c r="F255" s="1"/>
      <c r="G255" s="37"/>
      <c r="H255" s="1"/>
      <c r="I255" s="2"/>
      <c r="J255" s="2"/>
      <c r="K255" s="2"/>
      <c r="L255" s="2"/>
      <c r="M255" s="2"/>
      <c r="N255" s="3"/>
      <c r="O255" s="3"/>
      <c r="P255" s="2"/>
      <c r="Q255" s="2"/>
      <c r="R255" s="2"/>
      <c r="S255" s="2"/>
      <c r="T255" s="2"/>
      <c r="U255" s="2"/>
      <c r="V255" s="2"/>
      <c r="W255" s="2"/>
      <c r="X255" s="2"/>
      <c r="Y255" s="2"/>
      <c r="Z255" s="2"/>
      <c r="AA255" s="2"/>
      <c r="AB255" s="2"/>
      <c r="AC255" s="2"/>
      <c r="AD255" s="2"/>
    </row>
    <row r="256" spans="1:30" ht="13">
      <c r="A256" s="3"/>
      <c r="B256" s="2"/>
      <c r="C256" s="2"/>
      <c r="D256" s="3"/>
      <c r="E256" s="3"/>
      <c r="F256" s="1"/>
      <c r="G256" s="37"/>
      <c r="H256" s="1"/>
      <c r="I256" s="2"/>
      <c r="J256" s="2"/>
      <c r="K256" s="2"/>
      <c r="L256" s="2"/>
      <c r="M256" s="2"/>
      <c r="N256" s="3"/>
      <c r="O256" s="3"/>
      <c r="P256" s="2"/>
      <c r="Q256" s="2"/>
      <c r="R256" s="2"/>
      <c r="S256" s="2"/>
      <c r="T256" s="2"/>
      <c r="U256" s="2"/>
      <c r="V256" s="2"/>
      <c r="W256" s="2"/>
      <c r="X256" s="2"/>
      <c r="Y256" s="2"/>
      <c r="Z256" s="2"/>
      <c r="AA256" s="2"/>
      <c r="AB256" s="2"/>
      <c r="AC256" s="2"/>
      <c r="AD256" s="2"/>
    </row>
    <row r="257" spans="1:30" ht="13">
      <c r="A257" s="3"/>
      <c r="B257" s="2"/>
      <c r="C257" s="2"/>
      <c r="D257" s="3"/>
      <c r="E257" s="3"/>
      <c r="F257" s="1"/>
      <c r="G257" s="37"/>
      <c r="H257" s="1"/>
      <c r="I257" s="2"/>
      <c r="J257" s="2"/>
      <c r="K257" s="2"/>
      <c r="L257" s="2"/>
      <c r="M257" s="2"/>
      <c r="N257" s="3"/>
      <c r="O257" s="3"/>
      <c r="P257" s="2"/>
      <c r="Q257" s="2"/>
      <c r="R257" s="2"/>
      <c r="S257" s="2"/>
      <c r="T257" s="2"/>
      <c r="U257" s="2"/>
      <c r="V257" s="2"/>
      <c r="W257" s="2"/>
      <c r="X257" s="2"/>
      <c r="Y257" s="2"/>
      <c r="Z257" s="2"/>
      <c r="AA257" s="2"/>
      <c r="AB257" s="2"/>
      <c r="AC257" s="2"/>
      <c r="AD257" s="2"/>
    </row>
    <row r="258" spans="1:30" ht="13">
      <c r="A258" s="3"/>
      <c r="B258" s="2"/>
      <c r="C258" s="2"/>
      <c r="D258" s="3"/>
      <c r="E258" s="3"/>
      <c r="F258" s="1"/>
      <c r="G258" s="37"/>
      <c r="H258" s="1"/>
      <c r="I258" s="2"/>
      <c r="J258" s="2"/>
      <c r="K258" s="2"/>
      <c r="L258" s="2"/>
      <c r="M258" s="2"/>
      <c r="N258" s="3"/>
      <c r="O258" s="3"/>
      <c r="P258" s="2"/>
      <c r="Q258" s="2"/>
      <c r="R258" s="2"/>
      <c r="S258" s="2"/>
      <c r="T258" s="2"/>
      <c r="U258" s="2"/>
      <c r="V258" s="2"/>
      <c r="W258" s="2"/>
      <c r="X258" s="2"/>
      <c r="Y258" s="2"/>
      <c r="Z258" s="2"/>
      <c r="AA258" s="2"/>
      <c r="AB258" s="2"/>
      <c r="AC258" s="2"/>
      <c r="AD258" s="2"/>
    </row>
    <row r="259" spans="1:30" ht="13">
      <c r="A259" s="3"/>
      <c r="B259" s="2"/>
      <c r="C259" s="2"/>
      <c r="D259" s="3"/>
      <c r="E259" s="3"/>
      <c r="F259" s="1"/>
      <c r="G259" s="37"/>
      <c r="H259" s="1"/>
      <c r="I259" s="2"/>
      <c r="J259" s="2"/>
      <c r="K259" s="2"/>
      <c r="L259" s="2"/>
      <c r="M259" s="2"/>
      <c r="N259" s="3"/>
      <c r="O259" s="3"/>
      <c r="P259" s="2"/>
      <c r="Q259" s="2"/>
      <c r="R259" s="2"/>
      <c r="S259" s="2"/>
      <c r="T259" s="2"/>
      <c r="U259" s="2"/>
      <c r="V259" s="2"/>
      <c r="W259" s="2"/>
      <c r="X259" s="2"/>
      <c r="Y259" s="2"/>
      <c r="Z259" s="2"/>
      <c r="AA259" s="2"/>
      <c r="AB259" s="2"/>
      <c r="AC259" s="2"/>
      <c r="AD259" s="2"/>
    </row>
    <row r="260" spans="1:30" ht="13">
      <c r="A260" s="3"/>
      <c r="B260" s="2"/>
      <c r="C260" s="2"/>
      <c r="D260" s="3"/>
      <c r="E260" s="3"/>
      <c r="F260" s="1"/>
      <c r="G260" s="37"/>
      <c r="H260" s="1"/>
      <c r="I260" s="2"/>
      <c r="J260" s="2"/>
      <c r="K260" s="2"/>
      <c r="L260" s="2"/>
      <c r="M260" s="2"/>
      <c r="N260" s="3"/>
      <c r="O260" s="3"/>
      <c r="P260" s="2"/>
      <c r="Q260" s="2"/>
      <c r="R260" s="2"/>
      <c r="S260" s="2"/>
      <c r="T260" s="2"/>
      <c r="U260" s="2"/>
      <c r="V260" s="2"/>
      <c r="W260" s="2"/>
      <c r="X260" s="2"/>
      <c r="Y260" s="2"/>
      <c r="Z260" s="2"/>
      <c r="AA260" s="2"/>
      <c r="AB260" s="2"/>
      <c r="AC260" s="2"/>
      <c r="AD260" s="2"/>
    </row>
    <row r="261" spans="1:30" ht="13">
      <c r="A261" s="3"/>
      <c r="B261" s="2"/>
      <c r="C261" s="2"/>
      <c r="D261" s="3"/>
      <c r="E261" s="3"/>
      <c r="F261" s="1"/>
      <c r="G261" s="37"/>
      <c r="H261" s="1"/>
      <c r="I261" s="2"/>
      <c r="J261" s="2"/>
      <c r="K261" s="2"/>
      <c r="L261" s="2"/>
      <c r="M261" s="2"/>
      <c r="N261" s="3"/>
      <c r="O261" s="3"/>
      <c r="P261" s="2"/>
      <c r="Q261" s="2"/>
      <c r="R261" s="2"/>
      <c r="S261" s="2"/>
      <c r="T261" s="2"/>
      <c r="U261" s="2"/>
      <c r="V261" s="2"/>
      <c r="W261" s="2"/>
      <c r="X261" s="2"/>
      <c r="Y261" s="2"/>
      <c r="Z261" s="2"/>
      <c r="AA261" s="2"/>
      <c r="AB261" s="2"/>
      <c r="AC261" s="2"/>
      <c r="AD261" s="2"/>
    </row>
    <row r="262" spans="1:30" ht="13">
      <c r="A262" s="3"/>
      <c r="B262" s="2"/>
      <c r="C262" s="2"/>
      <c r="D262" s="3"/>
      <c r="E262" s="3"/>
      <c r="F262" s="1"/>
      <c r="G262" s="37"/>
      <c r="H262" s="1"/>
      <c r="I262" s="2"/>
      <c r="J262" s="2"/>
      <c r="K262" s="2"/>
      <c r="L262" s="2"/>
      <c r="M262" s="2"/>
      <c r="N262" s="3"/>
      <c r="O262" s="3"/>
      <c r="P262" s="2"/>
      <c r="Q262" s="2"/>
      <c r="R262" s="2"/>
      <c r="S262" s="2"/>
      <c r="T262" s="2"/>
      <c r="U262" s="2"/>
      <c r="V262" s="2"/>
      <c r="W262" s="2"/>
      <c r="X262" s="2"/>
      <c r="Y262" s="2"/>
      <c r="Z262" s="2"/>
      <c r="AA262" s="2"/>
      <c r="AB262" s="2"/>
      <c r="AC262" s="2"/>
      <c r="AD262" s="2"/>
    </row>
    <row r="263" spans="1:30" ht="13">
      <c r="A263" s="3"/>
      <c r="B263" s="2"/>
      <c r="C263" s="2"/>
      <c r="D263" s="3"/>
      <c r="E263" s="3"/>
      <c r="F263" s="1"/>
      <c r="G263" s="37"/>
      <c r="H263" s="1"/>
      <c r="I263" s="2"/>
      <c r="J263" s="2"/>
      <c r="K263" s="2"/>
      <c r="L263" s="2"/>
      <c r="M263" s="2"/>
      <c r="N263" s="3"/>
      <c r="O263" s="3"/>
      <c r="P263" s="2"/>
      <c r="Q263" s="2"/>
      <c r="R263" s="2"/>
      <c r="S263" s="2"/>
      <c r="T263" s="2"/>
      <c r="U263" s="2"/>
      <c r="V263" s="2"/>
      <c r="W263" s="2"/>
      <c r="X263" s="2"/>
      <c r="Y263" s="2"/>
      <c r="Z263" s="2"/>
      <c r="AA263" s="2"/>
      <c r="AB263" s="2"/>
      <c r="AC263" s="2"/>
      <c r="AD263" s="2"/>
    </row>
    <row r="264" spans="1:30" ht="13">
      <c r="A264" s="3"/>
      <c r="B264" s="2"/>
      <c r="C264" s="2"/>
      <c r="D264" s="3"/>
      <c r="E264" s="3"/>
      <c r="F264" s="1"/>
      <c r="G264" s="37"/>
      <c r="H264" s="1"/>
      <c r="I264" s="2"/>
      <c r="J264" s="2"/>
      <c r="K264" s="2"/>
      <c r="L264" s="2"/>
      <c r="M264" s="2"/>
      <c r="N264" s="3"/>
      <c r="O264" s="3"/>
      <c r="P264" s="2"/>
      <c r="Q264" s="2"/>
      <c r="R264" s="2"/>
      <c r="S264" s="2"/>
      <c r="T264" s="2"/>
      <c r="U264" s="2"/>
      <c r="V264" s="2"/>
      <c r="W264" s="2"/>
      <c r="X264" s="2"/>
      <c r="Y264" s="2"/>
      <c r="Z264" s="2"/>
      <c r="AA264" s="2"/>
      <c r="AB264" s="2"/>
      <c r="AC264" s="2"/>
      <c r="AD264" s="2"/>
    </row>
    <row r="265" spans="1:30" ht="13">
      <c r="A265" s="3"/>
      <c r="B265" s="2"/>
      <c r="C265" s="2"/>
      <c r="D265" s="3"/>
      <c r="E265" s="3"/>
      <c r="F265" s="1"/>
      <c r="G265" s="37"/>
      <c r="H265" s="1"/>
      <c r="I265" s="2"/>
      <c r="J265" s="2"/>
      <c r="K265" s="2"/>
      <c r="L265" s="2"/>
      <c r="M265" s="2"/>
      <c r="N265" s="3"/>
      <c r="O265" s="3"/>
      <c r="P265" s="2"/>
      <c r="Q265" s="2"/>
      <c r="R265" s="2"/>
      <c r="S265" s="2"/>
      <c r="T265" s="2"/>
      <c r="U265" s="2"/>
      <c r="V265" s="2"/>
      <c r="W265" s="2"/>
      <c r="X265" s="2"/>
      <c r="Y265" s="2"/>
      <c r="Z265" s="2"/>
      <c r="AA265" s="2"/>
      <c r="AB265" s="2"/>
      <c r="AC265" s="2"/>
      <c r="AD265" s="2"/>
    </row>
    <row r="266" spans="1:30" ht="13">
      <c r="A266" s="3"/>
      <c r="B266" s="2"/>
      <c r="C266" s="2"/>
      <c r="D266" s="3"/>
      <c r="E266" s="3"/>
      <c r="F266" s="1"/>
      <c r="G266" s="37"/>
      <c r="H266" s="1"/>
      <c r="I266" s="2"/>
      <c r="J266" s="2"/>
      <c r="K266" s="2"/>
      <c r="L266" s="2"/>
      <c r="M266" s="2"/>
      <c r="N266" s="3"/>
      <c r="O266" s="3"/>
      <c r="P266" s="2"/>
      <c r="Q266" s="2"/>
      <c r="R266" s="2"/>
      <c r="S266" s="2"/>
      <c r="T266" s="2"/>
      <c r="U266" s="2"/>
      <c r="V266" s="2"/>
      <c r="W266" s="2"/>
      <c r="X266" s="2"/>
      <c r="Y266" s="2"/>
      <c r="Z266" s="2"/>
      <c r="AA266" s="2"/>
      <c r="AB266" s="2"/>
      <c r="AC266" s="2"/>
      <c r="AD266" s="2"/>
    </row>
    <row r="267" spans="1:30" ht="13">
      <c r="A267" s="3"/>
      <c r="B267" s="2"/>
      <c r="C267" s="2"/>
      <c r="D267" s="3"/>
      <c r="E267" s="3"/>
      <c r="F267" s="1"/>
      <c r="G267" s="37"/>
      <c r="H267" s="1"/>
      <c r="I267" s="2"/>
      <c r="J267" s="2"/>
      <c r="K267" s="2"/>
      <c r="L267" s="2"/>
      <c r="M267" s="2"/>
      <c r="N267" s="3"/>
      <c r="O267" s="3"/>
      <c r="P267" s="2"/>
      <c r="Q267" s="2"/>
      <c r="R267" s="2"/>
      <c r="S267" s="2"/>
      <c r="T267" s="2"/>
      <c r="U267" s="2"/>
      <c r="V267" s="2"/>
      <c r="W267" s="2"/>
      <c r="X267" s="2"/>
      <c r="Y267" s="2"/>
      <c r="Z267" s="2"/>
      <c r="AA267" s="2"/>
      <c r="AB267" s="2"/>
      <c r="AC267" s="2"/>
      <c r="AD267" s="2"/>
    </row>
    <row r="268" spans="1:30" ht="13">
      <c r="A268" s="3"/>
      <c r="B268" s="2"/>
      <c r="C268" s="2"/>
      <c r="D268" s="3"/>
      <c r="E268" s="3"/>
      <c r="F268" s="1"/>
      <c r="G268" s="37"/>
      <c r="H268" s="1"/>
      <c r="I268" s="2"/>
      <c r="J268" s="2"/>
      <c r="K268" s="2"/>
      <c r="L268" s="2"/>
      <c r="M268" s="2"/>
      <c r="N268" s="3"/>
      <c r="O268" s="3"/>
      <c r="P268" s="2"/>
      <c r="Q268" s="2"/>
      <c r="R268" s="2"/>
      <c r="S268" s="2"/>
      <c r="T268" s="2"/>
      <c r="U268" s="2"/>
      <c r="V268" s="2"/>
      <c r="W268" s="2"/>
      <c r="X268" s="2"/>
      <c r="Y268" s="2"/>
      <c r="Z268" s="2"/>
      <c r="AA268" s="2"/>
      <c r="AB268" s="2"/>
      <c r="AC268" s="2"/>
      <c r="AD268" s="2"/>
    </row>
    <row r="269" spans="1:30" ht="13">
      <c r="A269" s="3"/>
      <c r="B269" s="2"/>
      <c r="C269" s="2"/>
      <c r="D269" s="3"/>
      <c r="E269" s="3"/>
      <c r="F269" s="1"/>
      <c r="G269" s="37"/>
      <c r="H269" s="1"/>
      <c r="I269" s="2"/>
      <c r="J269" s="2"/>
      <c r="K269" s="2"/>
      <c r="L269" s="2"/>
      <c r="M269" s="2"/>
      <c r="N269" s="3"/>
      <c r="O269" s="3"/>
      <c r="P269" s="2"/>
      <c r="Q269" s="2"/>
      <c r="R269" s="2"/>
      <c r="S269" s="2"/>
      <c r="T269" s="2"/>
      <c r="U269" s="2"/>
      <c r="V269" s="2"/>
      <c r="W269" s="2"/>
      <c r="X269" s="2"/>
      <c r="Y269" s="2"/>
      <c r="Z269" s="2"/>
      <c r="AA269" s="2"/>
      <c r="AB269" s="2"/>
      <c r="AC269" s="2"/>
      <c r="AD269" s="2"/>
    </row>
    <row r="270" spans="1:30" ht="13">
      <c r="A270" s="3"/>
      <c r="B270" s="2"/>
      <c r="C270" s="2"/>
      <c r="D270" s="3"/>
      <c r="E270" s="3"/>
      <c r="F270" s="1"/>
      <c r="G270" s="37"/>
      <c r="H270" s="1"/>
      <c r="I270" s="2"/>
      <c r="J270" s="2"/>
      <c r="K270" s="2"/>
      <c r="L270" s="2"/>
      <c r="M270" s="2"/>
      <c r="N270" s="3"/>
      <c r="O270" s="3"/>
      <c r="P270" s="2"/>
      <c r="Q270" s="2"/>
      <c r="R270" s="2"/>
      <c r="S270" s="2"/>
      <c r="T270" s="2"/>
      <c r="U270" s="2"/>
      <c r="V270" s="2"/>
      <c r="W270" s="2"/>
      <c r="X270" s="2"/>
      <c r="Y270" s="2"/>
      <c r="Z270" s="2"/>
      <c r="AA270" s="2"/>
      <c r="AB270" s="2"/>
      <c r="AC270" s="2"/>
      <c r="AD270" s="2"/>
    </row>
    <row r="271" spans="1:30" ht="13">
      <c r="A271" s="3"/>
      <c r="B271" s="2"/>
      <c r="C271" s="2"/>
      <c r="D271" s="3"/>
      <c r="E271" s="3"/>
      <c r="F271" s="1"/>
      <c r="G271" s="37"/>
      <c r="H271" s="1"/>
      <c r="I271" s="2"/>
      <c r="J271" s="2"/>
      <c r="K271" s="2"/>
      <c r="L271" s="2"/>
      <c r="M271" s="2"/>
      <c r="N271" s="3"/>
      <c r="O271" s="3"/>
      <c r="P271" s="2"/>
      <c r="Q271" s="2"/>
      <c r="R271" s="2"/>
      <c r="S271" s="2"/>
      <c r="T271" s="2"/>
      <c r="U271" s="2"/>
      <c r="V271" s="2"/>
      <c r="W271" s="2"/>
      <c r="X271" s="2"/>
      <c r="Y271" s="2"/>
      <c r="Z271" s="2"/>
      <c r="AA271" s="2"/>
      <c r="AB271" s="2"/>
      <c r="AC271" s="2"/>
      <c r="AD271" s="2"/>
    </row>
    <row r="272" spans="1:30" ht="13">
      <c r="A272" s="3"/>
      <c r="B272" s="2"/>
      <c r="C272" s="2"/>
      <c r="D272" s="3"/>
      <c r="E272" s="3"/>
      <c r="F272" s="1"/>
      <c r="G272" s="37"/>
      <c r="H272" s="1"/>
      <c r="I272" s="2"/>
      <c r="J272" s="2"/>
      <c r="K272" s="2"/>
      <c r="L272" s="2"/>
      <c r="M272" s="2"/>
      <c r="N272" s="3"/>
      <c r="O272" s="3"/>
      <c r="P272" s="2"/>
      <c r="Q272" s="2"/>
      <c r="R272" s="2"/>
      <c r="S272" s="2"/>
      <c r="T272" s="2"/>
      <c r="U272" s="2"/>
      <c r="V272" s="2"/>
      <c r="W272" s="2"/>
      <c r="X272" s="2"/>
      <c r="Y272" s="2"/>
      <c r="Z272" s="2"/>
      <c r="AA272" s="2"/>
      <c r="AB272" s="2"/>
      <c r="AC272" s="2"/>
      <c r="AD272" s="2"/>
    </row>
    <row r="273" spans="1:30" ht="13">
      <c r="A273" s="3"/>
      <c r="B273" s="2"/>
      <c r="C273" s="2"/>
      <c r="D273" s="3"/>
      <c r="E273" s="3"/>
      <c r="F273" s="1"/>
      <c r="G273" s="37"/>
      <c r="H273" s="1"/>
      <c r="I273" s="2"/>
      <c r="J273" s="2"/>
      <c r="K273" s="2"/>
      <c r="L273" s="2"/>
      <c r="M273" s="2"/>
      <c r="N273" s="3"/>
      <c r="O273" s="3"/>
      <c r="P273" s="2"/>
      <c r="Q273" s="2"/>
      <c r="R273" s="2"/>
      <c r="S273" s="2"/>
      <c r="T273" s="2"/>
      <c r="U273" s="2"/>
      <c r="V273" s="2"/>
      <c r="W273" s="2"/>
      <c r="X273" s="2"/>
      <c r="Y273" s="2"/>
      <c r="Z273" s="2"/>
      <c r="AA273" s="2"/>
      <c r="AB273" s="2"/>
      <c r="AC273" s="2"/>
      <c r="AD273" s="2"/>
    </row>
    <row r="274" spans="1:30" ht="13">
      <c r="A274" s="3"/>
      <c r="B274" s="2"/>
      <c r="C274" s="2"/>
      <c r="D274" s="3"/>
      <c r="E274" s="3"/>
      <c r="F274" s="1"/>
      <c r="G274" s="37"/>
      <c r="H274" s="1"/>
      <c r="I274" s="2"/>
      <c r="J274" s="2"/>
      <c r="K274" s="2"/>
      <c r="L274" s="2"/>
      <c r="M274" s="2"/>
      <c r="N274" s="3"/>
      <c r="O274" s="3"/>
      <c r="P274" s="2"/>
      <c r="Q274" s="2"/>
      <c r="R274" s="2"/>
      <c r="S274" s="2"/>
      <c r="T274" s="2"/>
      <c r="U274" s="2"/>
      <c r="V274" s="2"/>
      <c r="W274" s="2"/>
      <c r="X274" s="2"/>
      <c r="Y274" s="2"/>
      <c r="Z274" s="2"/>
      <c r="AA274" s="2"/>
      <c r="AB274" s="2"/>
      <c r="AC274" s="2"/>
      <c r="AD274" s="2"/>
    </row>
    <row r="275" spans="1:30" ht="13">
      <c r="A275" s="3"/>
      <c r="B275" s="2"/>
      <c r="C275" s="2"/>
      <c r="D275" s="3"/>
      <c r="E275" s="3"/>
      <c r="F275" s="1"/>
      <c r="G275" s="37"/>
      <c r="H275" s="1"/>
      <c r="I275" s="2"/>
      <c r="J275" s="2"/>
      <c r="K275" s="2"/>
      <c r="L275" s="2"/>
      <c r="M275" s="2"/>
      <c r="N275" s="3"/>
      <c r="O275" s="3"/>
      <c r="P275" s="2"/>
      <c r="Q275" s="2"/>
      <c r="R275" s="2"/>
      <c r="S275" s="2"/>
      <c r="T275" s="2"/>
      <c r="U275" s="2"/>
      <c r="V275" s="2"/>
      <c r="W275" s="2"/>
      <c r="X275" s="2"/>
      <c r="Y275" s="2"/>
      <c r="Z275" s="2"/>
      <c r="AA275" s="2"/>
      <c r="AB275" s="2"/>
      <c r="AC275" s="2"/>
      <c r="AD275" s="2"/>
    </row>
    <row r="276" spans="1:30" ht="13">
      <c r="A276" s="3"/>
      <c r="B276" s="2"/>
      <c r="C276" s="2"/>
      <c r="D276" s="3"/>
      <c r="E276" s="3"/>
      <c r="F276" s="1"/>
      <c r="G276" s="37"/>
      <c r="H276" s="1"/>
      <c r="I276" s="2"/>
      <c r="J276" s="2"/>
      <c r="K276" s="2"/>
      <c r="L276" s="2"/>
      <c r="M276" s="2"/>
      <c r="N276" s="3"/>
      <c r="O276" s="3"/>
      <c r="P276" s="2"/>
      <c r="Q276" s="2"/>
      <c r="R276" s="2"/>
      <c r="S276" s="2"/>
      <c r="T276" s="2"/>
      <c r="U276" s="2"/>
      <c r="V276" s="2"/>
      <c r="W276" s="2"/>
      <c r="X276" s="2"/>
      <c r="Y276" s="2"/>
      <c r="Z276" s="2"/>
      <c r="AA276" s="2"/>
      <c r="AB276" s="2"/>
      <c r="AC276" s="2"/>
      <c r="AD276" s="2"/>
    </row>
    <row r="277" spans="1:30" ht="13">
      <c r="A277" s="3"/>
      <c r="B277" s="2"/>
      <c r="C277" s="2"/>
      <c r="D277" s="3"/>
      <c r="E277" s="3"/>
      <c r="F277" s="1"/>
      <c r="G277" s="37"/>
      <c r="H277" s="1"/>
      <c r="I277" s="2"/>
      <c r="J277" s="2"/>
      <c r="K277" s="2"/>
      <c r="L277" s="2"/>
      <c r="M277" s="2"/>
      <c r="N277" s="3"/>
      <c r="O277" s="3"/>
      <c r="P277" s="2"/>
      <c r="Q277" s="2"/>
      <c r="R277" s="2"/>
      <c r="S277" s="2"/>
      <c r="T277" s="2"/>
      <c r="U277" s="2"/>
      <c r="V277" s="2"/>
      <c r="W277" s="2"/>
      <c r="X277" s="2"/>
      <c r="Y277" s="2"/>
      <c r="Z277" s="2"/>
      <c r="AA277" s="2"/>
      <c r="AB277" s="2"/>
      <c r="AC277" s="2"/>
      <c r="AD277" s="2"/>
    </row>
    <row r="278" spans="1:30" ht="13">
      <c r="A278" s="3"/>
      <c r="B278" s="2"/>
      <c r="C278" s="2"/>
      <c r="D278" s="3"/>
      <c r="E278" s="3"/>
      <c r="F278" s="1"/>
      <c r="G278" s="37"/>
      <c r="H278" s="1"/>
      <c r="I278" s="2"/>
      <c r="J278" s="2"/>
      <c r="K278" s="2"/>
      <c r="L278" s="2"/>
      <c r="M278" s="2"/>
      <c r="N278" s="3"/>
      <c r="O278" s="3"/>
      <c r="P278" s="2"/>
      <c r="Q278" s="2"/>
      <c r="R278" s="2"/>
      <c r="S278" s="2"/>
      <c r="T278" s="2"/>
      <c r="U278" s="2"/>
      <c r="V278" s="2"/>
      <c r="W278" s="2"/>
      <c r="X278" s="2"/>
      <c r="Y278" s="2"/>
      <c r="Z278" s="2"/>
      <c r="AA278" s="2"/>
      <c r="AB278" s="2"/>
      <c r="AC278" s="2"/>
      <c r="AD278" s="2"/>
    </row>
    <row r="279" spans="1:30" ht="13">
      <c r="A279" s="3"/>
      <c r="B279" s="2"/>
      <c r="C279" s="2"/>
      <c r="D279" s="3"/>
      <c r="E279" s="3"/>
      <c r="F279" s="1"/>
      <c r="G279" s="37"/>
      <c r="H279" s="1"/>
      <c r="I279" s="2"/>
      <c r="J279" s="2"/>
      <c r="K279" s="2"/>
      <c r="L279" s="2"/>
      <c r="M279" s="2"/>
      <c r="N279" s="3"/>
      <c r="O279" s="3"/>
      <c r="P279" s="2"/>
      <c r="Q279" s="2"/>
      <c r="R279" s="2"/>
      <c r="S279" s="2"/>
      <c r="T279" s="2"/>
      <c r="U279" s="2"/>
      <c r="V279" s="2"/>
      <c r="W279" s="2"/>
      <c r="X279" s="2"/>
      <c r="Y279" s="2"/>
      <c r="Z279" s="2"/>
      <c r="AA279" s="2"/>
      <c r="AB279" s="2"/>
      <c r="AC279" s="2"/>
      <c r="AD279" s="2"/>
    </row>
    <row r="280" spans="1:30" ht="13">
      <c r="A280" s="3"/>
      <c r="B280" s="2"/>
      <c r="C280" s="2"/>
      <c r="D280" s="3"/>
      <c r="E280" s="3"/>
      <c r="F280" s="1"/>
      <c r="G280" s="37"/>
      <c r="H280" s="1"/>
      <c r="I280" s="2"/>
      <c r="J280" s="2"/>
      <c r="K280" s="2"/>
      <c r="L280" s="2"/>
      <c r="M280" s="2"/>
      <c r="N280" s="3"/>
      <c r="O280" s="3"/>
      <c r="P280" s="2"/>
      <c r="Q280" s="2"/>
      <c r="R280" s="2"/>
      <c r="S280" s="2"/>
      <c r="T280" s="2"/>
      <c r="U280" s="2"/>
      <c r="V280" s="2"/>
      <c r="W280" s="2"/>
      <c r="X280" s="2"/>
      <c r="Y280" s="2"/>
      <c r="Z280" s="2"/>
      <c r="AA280" s="2"/>
      <c r="AB280" s="2"/>
      <c r="AC280" s="2"/>
      <c r="AD280" s="2"/>
    </row>
    <row r="281" spans="1:30" ht="13">
      <c r="A281" s="3"/>
      <c r="B281" s="2"/>
      <c r="C281" s="2"/>
      <c r="D281" s="3"/>
      <c r="E281" s="3"/>
      <c r="F281" s="1"/>
      <c r="G281" s="37"/>
      <c r="H281" s="1"/>
      <c r="I281" s="2"/>
      <c r="J281" s="2"/>
      <c r="K281" s="2"/>
      <c r="L281" s="2"/>
      <c r="M281" s="2"/>
      <c r="N281" s="3"/>
      <c r="O281" s="3"/>
      <c r="P281" s="2"/>
      <c r="Q281" s="2"/>
      <c r="R281" s="2"/>
      <c r="S281" s="2"/>
      <c r="T281" s="2"/>
      <c r="U281" s="2"/>
      <c r="V281" s="2"/>
      <c r="W281" s="2"/>
      <c r="X281" s="2"/>
      <c r="Y281" s="2"/>
      <c r="Z281" s="2"/>
      <c r="AA281" s="2"/>
      <c r="AB281" s="2"/>
      <c r="AC281" s="2"/>
      <c r="AD281" s="2"/>
    </row>
    <row r="282" spans="1:30" ht="13">
      <c r="A282" s="3"/>
      <c r="B282" s="2"/>
      <c r="C282" s="2"/>
      <c r="D282" s="3"/>
      <c r="E282" s="3"/>
      <c r="F282" s="1"/>
      <c r="G282" s="37"/>
      <c r="H282" s="1"/>
      <c r="I282" s="2"/>
      <c r="J282" s="2"/>
      <c r="K282" s="2"/>
      <c r="L282" s="2"/>
      <c r="M282" s="2"/>
      <c r="N282" s="3"/>
      <c r="O282" s="3"/>
      <c r="P282" s="2"/>
      <c r="Q282" s="2"/>
      <c r="R282" s="2"/>
      <c r="S282" s="2"/>
      <c r="T282" s="2"/>
      <c r="U282" s="2"/>
      <c r="V282" s="2"/>
      <c r="W282" s="2"/>
      <c r="X282" s="2"/>
      <c r="Y282" s="2"/>
      <c r="Z282" s="2"/>
      <c r="AA282" s="2"/>
      <c r="AB282" s="2"/>
      <c r="AC282" s="2"/>
      <c r="AD282" s="2"/>
    </row>
    <row r="283" spans="1:30" ht="13">
      <c r="A283" s="3"/>
      <c r="B283" s="2"/>
      <c r="C283" s="2"/>
      <c r="D283" s="3"/>
      <c r="E283" s="3"/>
      <c r="F283" s="1"/>
      <c r="G283" s="37"/>
      <c r="H283" s="1"/>
      <c r="I283" s="2"/>
      <c r="J283" s="2"/>
      <c r="K283" s="2"/>
      <c r="L283" s="2"/>
      <c r="M283" s="2"/>
      <c r="N283" s="3"/>
      <c r="O283" s="3"/>
      <c r="P283" s="2"/>
      <c r="Q283" s="2"/>
      <c r="R283" s="2"/>
      <c r="S283" s="2"/>
      <c r="T283" s="2"/>
      <c r="U283" s="2"/>
      <c r="V283" s="2"/>
      <c r="W283" s="2"/>
      <c r="X283" s="2"/>
      <c r="Y283" s="2"/>
      <c r="Z283" s="2"/>
      <c r="AA283" s="2"/>
      <c r="AB283" s="2"/>
      <c r="AC283" s="2"/>
      <c r="AD283" s="2"/>
    </row>
    <row r="284" spans="1:30" ht="13">
      <c r="A284" s="3"/>
      <c r="B284" s="2"/>
      <c r="C284" s="2"/>
      <c r="D284" s="3"/>
      <c r="E284" s="3"/>
      <c r="F284" s="1"/>
      <c r="G284" s="37"/>
      <c r="H284" s="1"/>
      <c r="I284" s="2"/>
      <c r="J284" s="2"/>
      <c r="K284" s="2"/>
      <c r="L284" s="2"/>
      <c r="M284" s="2"/>
      <c r="N284" s="3"/>
      <c r="O284" s="3"/>
      <c r="P284" s="2"/>
      <c r="Q284" s="2"/>
      <c r="R284" s="2"/>
      <c r="S284" s="2"/>
      <c r="T284" s="2"/>
      <c r="U284" s="2"/>
      <c r="V284" s="2"/>
      <c r="W284" s="2"/>
      <c r="X284" s="2"/>
      <c r="Y284" s="2"/>
      <c r="Z284" s="2"/>
      <c r="AA284" s="2"/>
      <c r="AB284" s="2"/>
      <c r="AC284" s="2"/>
      <c r="AD284" s="2"/>
    </row>
    <row r="285" spans="1:30" ht="13">
      <c r="A285" s="3"/>
      <c r="B285" s="2"/>
      <c r="C285" s="2"/>
      <c r="D285" s="3"/>
      <c r="E285" s="3"/>
      <c r="F285" s="1"/>
      <c r="G285" s="37"/>
      <c r="H285" s="1"/>
      <c r="I285" s="2"/>
      <c r="J285" s="2"/>
      <c r="K285" s="2"/>
      <c r="L285" s="2"/>
      <c r="M285" s="2"/>
      <c r="N285" s="3"/>
      <c r="O285" s="3"/>
      <c r="P285" s="2"/>
      <c r="Q285" s="2"/>
      <c r="R285" s="2"/>
      <c r="S285" s="2"/>
      <c r="T285" s="2"/>
      <c r="U285" s="2"/>
      <c r="V285" s="2"/>
      <c r="W285" s="2"/>
      <c r="X285" s="2"/>
      <c r="Y285" s="2"/>
      <c r="Z285" s="2"/>
      <c r="AA285" s="2"/>
      <c r="AB285" s="2"/>
      <c r="AC285" s="2"/>
      <c r="AD285" s="2"/>
    </row>
    <row r="286" spans="1:30" ht="13">
      <c r="A286" s="3"/>
      <c r="B286" s="2"/>
      <c r="C286" s="2"/>
      <c r="D286" s="3"/>
      <c r="E286" s="3"/>
      <c r="F286" s="1"/>
      <c r="G286" s="37"/>
      <c r="H286" s="1"/>
      <c r="I286" s="2"/>
      <c r="J286" s="2"/>
      <c r="K286" s="2"/>
      <c r="L286" s="2"/>
      <c r="M286" s="2"/>
      <c r="N286" s="3"/>
      <c r="O286" s="3"/>
      <c r="P286" s="2"/>
      <c r="Q286" s="2"/>
      <c r="R286" s="2"/>
      <c r="S286" s="2"/>
      <c r="T286" s="2"/>
      <c r="U286" s="2"/>
      <c r="V286" s="2"/>
      <c r="W286" s="2"/>
      <c r="X286" s="2"/>
      <c r="Y286" s="2"/>
      <c r="Z286" s="2"/>
      <c r="AA286" s="2"/>
      <c r="AB286" s="2"/>
      <c r="AC286" s="2"/>
      <c r="AD286" s="2"/>
    </row>
    <row r="287" spans="1:30" ht="13">
      <c r="A287" s="3"/>
      <c r="B287" s="2"/>
      <c r="C287" s="2"/>
      <c r="D287" s="3"/>
      <c r="E287" s="3"/>
      <c r="F287" s="1"/>
      <c r="G287" s="37"/>
      <c r="H287" s="1"/>
      <c r="I287" s="2"/>
      <c r="J287" s="2"/>
      <c r="K287" s="2"/>
      <c r="L287" s="2"/>
      <c r="M287" s="2"/>
      <c r="N287" s="3"/>
      <c r="O287" s="3"/>
      <c r="P287" s="2"/>
      <c r="Q287" s="2"/>
      <c r="R287" s="2"/>
      <c r="S287" s="2"/>
      <c r="T287" s="2"/>
      <c r="U287" s="2"/>
      <c r="V287" s="2"/>
      <c r="W287" s="2"/>
      <c r="X287" s="2"/>
      <c r="Y287" s="2"/>
      <c r="Z287" s="2"/>
      <c r="AA287" s="2"/>
      <c r="AB287" s="2"/>
      <c r="AC287" s="2"/>
      <c r="AD287" s="2"/>
    </row>
    <row r="288" spans="1:30" ht="13">
      <c r="A288" s="3"/>
      <c r="B288" s="2"/>
      <c r="C288" s="2"/>
      <c r="D288" s="3"/>
      <c r="E288" s="3"/>
      <c r="F288" s="1"/>
      <c r="G288" s="37"/>
      <c r="H288" s="1"/>
      <c r="I288" s="2"/>
      <c r="J288" s="2"/>
      <c r="K288" s="2"/>
      <c r="L288" s="2"/>
      <c r="M288" s="2"/>
      <c r="N288" s="3"/>
      <c r="O288" s="3"/>
      <c r="P288" s="2"/>
      <c r="Q288" s="2"/>
      <c r="R288" s="2"/>
      <c r="S288" s="2"/>
      <c r="T288" s="2"/>
      <c r="U288" s="2"/>
      <c r="V288" s="2"/>
      <c r="W288" s="2"/>
      <c r="X288" s="2"/>
      <c r="Y288" s="2"/>
      <c r="Z288" s="2"/>
      <c r="AA288" s="2"/>
      <c r="AB288" s="2"/>
      <c r="AC288" s="2"/>
      <c r="AD288" s="2"/>
    </row>
    <row r="289" spans="1:30" ht="13">
      <c r="A289" s="3"/>
      <c r="B289" s="2"/>
      <c r="C289" s="2"/>
      <c r="D289" s="3"/>
      <c r="E289" s="3"/>
      <c r="F289" s="1"/>
      <c r="G289" s="37"/>
      <c r="H289" s="1"/>
      <c r="I289" s="2"/>
      <c r="J289" s="2"/>
      <c r="K289" s="2"/>
      <c r="L289" s="2"/>
      <c r="M289" s="2"/>
      <c r="N289" s="3"/>
      <c r="O289" s="3"/>
      <c r="P289" s="2"/>
      <c r="Q289" s="2"/>
      <c r="R289" s="2"/>
      <c r="S289" s="2"/>
      <c r="T289" s="2"/>
      <c r="U289" s="2"/>
      <c r="V289" s="2"/>
      <c r="W289" s="2"/>
      <c r="X289" s="2"/>
      <c r="Y289" s="2"/>
      <c r="Z289" s="2"/>
      <c r="AA289" s="2"/>
      <c r="AB289" s="2"/>
      <c r="AC289" s="2"/>
      <c r="AD289" s="2"/>
    </row>
    <row r="290" spans="1:30" ht="13">
      <c r="A290" s="3"/>
      <c r="B290" s="2"/>
      <c r="C290" s="2"/>
      <c r="D290" s="3"/>
      <c r="E290" s="3"/>
      <c r="F290" s="1"/>
      <c r="G290" s="37"/>
      <c r="H290" s="1"/>
      <c r="I290" s="2"/>
      <c r="J290" s="2"/>
      <c r="K290" s="2"/>
      <c r="L290" s="2"/>
      <c r="M290" s="2"/>
      <c r="N290" s="3"/>
      <c r="O290" s="3"/>
      <c r="P290" s="2"/>
      <c r="Q290" s="2"/>
      <c r="R290" s="2"/>
      <c r="S290" s="2"/>
      <c r="T290" s="2"/>
      <c r="U290" s="2"/>
      <c r="V290" s="2"/>
      <c r="W290" s="2"/>
      <c r="X290" s="2"/>
      <c r="Y290" s="2"/>
      <c r="Z290" s="2"/>
      <c r="AA290" s="2"/>
      <c r="AB290" s="2"/>
      <c r="AC290" s="2"/>
      <c r="AD290" s="2"/>
    </row>
    <row r="291" spans="1:30" ht="13">
      <c r="A291" s="3"/>
      <c r="B291" s="2"/>
      <c r="C291" s="2"/>
      <c r="D291" s="3"/>
      <c r="E291" s="3"/>
      <c r="F291" s="1"/>
      <c r="G291" s="37"/>
      <c r="H291" s="1"/>
      <c r="I291" s="2"/>
      <c r="J291" s="2"/>
      <c r="K291" s="2"/>
      <c r="L291" s="2"/>
      <c r="M291" s="2"/>
      <c r="N291" s="3"/>
      <c r="O291" s="3"/>
      <c r="P291" s="2"/>
      <c r="Q291" s="2"/>
      <c r="R291" s="2"/>
      <c r="S291" s="2"/>
      <c r="T291" s="2"/>
      <c r="U291" s="2"/>
      <c r="V291" s="2"/>
      <c r="W291" s="2"/>
      <c r="X291" s="2"/>
      <c r="Y291" s="2"/>
      <c r="Z291" s="2"/>
      <c r="AA291" s="2"/>
      <c r="AB291" s="2"/>
      <c r="AC291" s="2"/>
      <c r="AD291" s="2"/>
    </row>
    <row r="292" spans="1:30" ht="13">
      <c r="A292" s="3"/>
      <c r="B292" s="2"/>
      <c r="C292" s="2"/>
      <c r="D292" s="3"/>
      <c r="E292" s="3"/>
      <c r="F292" s="1"/>
      <c r="G292" s="37"/>
      <c r="H292" s="1"/>
      <c r="I292" s="2"/>
      <c r="J292" s="2"/>
      <c r="K292" s="2"/>
      <c r="L292" s="2"/>
      <c r="M292" s="2"/>
      <c r="N292" s="3"/>
      <c r="O292" s="3"/>
      <c r="P292" s="2"/>
      <c r="Q292" s="2"/>
      <c r="R292" s="2"/>
      <c r="S292" s="2"/>
      <c r="T292" s="2"/>
      <c r="U292" s="2"/>
      <c r="V292" s="2"/>
      <c r="W292" s="2"/>
      <c r="X292" s="2"/>
      <c r="Y292" s="2"/>
      <c r="Z292" s="2"/>
      <c r="AA292" s="2"/>
      <c r="AB292" s="2"/>
      <c r="AC292" s="2"/>
      <c r="AD292" s="2"/>
    </row>
    <row r="293" spans="1:30" ht="13">
      <c r="A293" s="3"/>
      <c r="B293" s="2"/>
      <c r="C293" s="2"/>
      <c r="D293" s="3"/>
      <c r="E293" s="3"/>
      <c r="F293" s="1"/>
      <c r="G293" s="37"/>
      <c r="H293" s="1"/>
      <c r="I293" s="2"/>
      <c r="J293" s="2"/>
      <c r="K293" s="2"/>
      <c r="L293" s="2"/>
      <c r="M293" s="2"/>
      <c r="N293" s="3"/>
      <c r="O293" s="3"/>
      <c r="P293" s="2"/>
      <c r="Q293" s="2"/>
      <c r="R293" s="2"/>
      <c r="S293" s="2"/>
      <c r="T293" s="2"/>
      <c r="U293" s="2"/>
      <c r="V293" s="2"/>
      <c r="W293" s="2"/>
      <c r="X293" s="2"/>
      <c r="Y293" s="2"/>
      <c r="Z293" s="2"/>
      <c r="AA293" s="2"/>
      <c r="AB293" s="2"/>
      <c r="AC293" s="2"/>
      <c r="AD293" s="2"/>
    </row>
    <row r="294" spans="1:30" ht="13">
      <c r="A294" s="3"/>
      <c r="B294" s="2"/>
      <c r="C294" s="2"/>
      <c r="D294" s="3"/>
      <c r="E294" s="3"/>
      <c r="F294" s="1"/>
      <c r="G294" s="37"/>
      <c r="H294" s="1"/>
      <c r="I294" s="2"/>
      <c r="J294" s="2"/>
      <c r="K294" s="2"/>
      <c r="L294" s="2"/>
      <c r="M294" s="2"/>
      <c r="N294" s="3"/>
      <c r="O294" s="3"/>
      <c r="P294" s="2"/>
      <c r="Q294" s="2"/>
      <c r="R294" s="2"/>
      <c r="S294" s="2"/>
      <c r="T294" s="2"/>
      <c r="U294" s="2"/>
      <c r="V294" s="2"/>
      <c r="W294" s="2"/>
      <c r="X294" s="2"/>
      <c r="Y294" s="2"/>
      <c r="Z294" s="2"/>
      <c r="AA294" s="2"/>
      <c r="AB294" s="2"/>
      <c r="AC294" s="2"/>
      <c r="AD294" s="2"/>
    </row>
    <row r="295" spans="1:30" ht="13">
      <c r="A295" s="3"/>
      <c r="B295" s="2"/>
      <c r="C295" s="2"/>
      <c r="D295" s="3"/>
      <c r="E295" s="3"/>
      <c r="F295" s="1"/>
      <c r="G295" s="37"/>
      <c r="H295" s="1"/>
      <c r="I295" s="2"/>
      <c r="J295" s="2"/>
      <c r="K295" s="2"/>
      <c r="L295" s="2"/>
      <c r="M295" s="2"/>
      <c r="N295" s="3"/>
      <c r="O295" s="3"/>
      <c r="P295" s="2"/>
      <c r="Q295" s="2"/>
      <c r="R295" s="2"/>
      <c r="S295" s="2"/>
      <c r="T295" s="2"/>
      <c r="U295" s="2"/>
      <c r="V295" s="2"/>
      <c r="W295" s="2"/>
      <c r="X295" s="2"/>
      <c r="Y295" s="2"/>
      <c r="Z295" s="2"/>
      <c r="AA295" s="2"/>
      <c r="AB295" s="2"/>
      <c r="AC295" s="2"/>
      <c r="AD295" s="2"/>
    </row>
    <row r="296" spans="1:30" ht="13">
      <c r="A296" s="3"/>
      <c r="B296" s="2"/>
      <c r="C296" s="2"/>
      <c r="D296" s="3"/>
      <c r="E296" s="3"/>
      <c r="F296" s="1"/>
      <c r="G296" s="37"/>
      <c r="H296" s="1"/>
      <c r="I296" s="2"/>
      <c r="J296" s="2"/>
      <c r="K296" s="2"/>
      <c r="L296" s="2"/>
      <c r="M296" s="2"/>
      <c r="N296" s="3"/>
      <c r="O296" s="3"/>
      <c r="P296" s="2"/>
      <c r="Q296" s="2"/>
      <c r="R296" s="2"/>
      <c r="S296" s="2"/>
      <c r="T296" s="2"/>
      <c r="U296" s="2"/>
      <c r="V296" s="2"/>
      <c r="W296" s="2"/>
      <c r="X296" s="2"/>
      <c r="Y296" s="2"/>
      <c r="Z296" s="2"/>
      <c r="AA296" s="2"/>
      <c r="AB296" s="2"/>
      <c r="AC296" s="2"/>
      <c r="AD296" s="2"/>
    </row>
    <row r="297" spans="1:30" ht="13">
      <c r="A297" s="3"/>
      <c r="B297" s="2"/>
      <c r="C297" s="2"/>
      <c r="D297" s="3"/>
      <c r="E297" s="3"/>
      <c r="F297" s="1"/>
      <c r="G297" s="37"/>
      <c r="H297" s="1"/>
      <c r="I297" s="2"/>
      <c r="J297" s="2"/>
      <c r="K297" s="2"/>
      <c r="L297" s="2"/>
      <c r="M297" s="2"/>
      <c r="N297" s="3"/>
      <c r="O297" s="3"/>
      <c r="P297" s="2"/>
      <c r="Q297" s="2"/>
      <c r="R297" s="2"/>
      <c r="S297" s="2"/>
      <c r="T297" s="2"/>
      <c r="U297" s="2"/>
      <c r="V297" s="2"/>
      <c r="W297" s="2"/>
      <c r="X297" s="2"/>
      <c r="Y297" s="2"/>
      <c r="Z297" s="2"/>
      <c r="AA297" s="2"/>
      <c r="AB297" s="2"/>
      <c r="AC297" s="2"/>
      <c r="AD297" s="2"/>
    </row>
    <row r="298" spans="1:30" ht="13">
      <c r="A298" s="3"/>
      <c r="B298" s="2"/>
      <c r="C298" s="2"/>
      <c r="D298" s="3"/>
      <c r="E298" s="3"/>
      <c r="F298" s="1"/>
      <c r="G298" s="37"/>
      <c r="H298" s="1"/>
      <c r="I298" s="2"/>
      <c r="J298" s="2"/>
      <c r="K298" s="2"/>
      <c r="L298" s="2"/>
      <c r="M298" s="2"/>
      <c r="N298" s="3"/>
      <c r="O298" s="3"/>
      <c r="P298" s="2"/>
      <c r="Q298" s="2"/>
      <c r="R298" s="2"/>
      <c r="S298" s="2"/>
      <c r="T298" s="2"/>
      <c r="U298" s="2"/>
      <c r="V298" s="2"/>
      <c r="W298" s="2"/>
      <c r="X298" s="2"/>
      <c r="Y298" s="2"/>
      <c r="Z298" s="2"/>
      <c r="AA298" s="2"/>
      <c r="AB298" s="2"/>
      <c r="AC298" s="2"/>
      <c r="AD298" s="2"/>
    </row>
    <row r="299" spans="1:30" ht="13">
      <c r="A299" s="3"/>
      <c r="B299" s="2"/>
      <c r="C299" s="2"/>
      <c r="D299" s="3"/>
      <c r="E299" s="3"/>
      <c r="F299" s="1"/>
      <c r="G299" s="37"/>
      <c r="H299" s="1"/>
      <c r="I299" s="2"/>
      <c r="J299" s="2"/>
      <c r="K299" s="2"/>
      <c r="L299" s="2"/>
      <c r="M299" s="2"/>
      <c r="N299" s="3"/>
      <c r="O299" s="3"/>
      <c r="P299" s="2"/>
      <c r="Q299" s="2"/>
      <c r="R299" s="2"/>
      <c r="S299" s="2"/>
      <c r="T299" s="2"/>
      <c r="U299" s="2"/>
      <c r="V299" s="2"/>
      <c r="W299" s="2"/>
      <c r="X299" s="2"/>
      <c r="Y299" s="2"/>
      <c r="Z299" s="2"/>
      <c r="AA299" s="2"/>
      <c r="AB299" s="2"/>
      <c r="AC299" s="2"/>
      <c r="AD299" s="2"/>
    </row>
    <row r="300" spans="1:30" ht="13">
      <c r="A300" s="3"/>
      <c r="B300" s="2"/>
      <c r="C300" s="2"/>
      <c r="D300" s="3"/>
      <c r="E300" s="3"/>
      <c r="F300" s="1"/>
      <c r="G300" s="37"/>
      <c r="H300" s="1"/>
      <c r="I300" s="2"/>
      <c r="J300" s="2"/>
      <c r="K300" s="2"/>
      <c r="L300" s="2"/>
      <c r="M300" s="2"/>
      <c r="N300" s="3"/>
      <c r="O300" s="3"/>
      <c r="P300" s="2"/>
      <c r="Q300" s="2"/>
      <c r="R300" s="2"/>
      <c r="S300" s="2"/>
      <c r="T300" s="2"/>
      <c r="U300" s="2"/>
      <c r="V300" s="2"/>
      <c r="W300" s="2"/>
      <c r="X300" s="2"/>
      <c r="Y300" s="2"/>
      <c r="Z300" s="2"/>
      <c r="AA300" s="2"/>
      <c r="AB300" s="2"/>
      <c r="AC300" s="2"/>
      <c r="AD300" s="2"/>
    </row>
    <row r="301" spans="1:30" ht="13">
      <c r="A301" s="3"/>
      <c r="B301" s="2"/>
      <c r="C301" s="2"/>
      <c r="D301" s="3"/>
      <c r="E301" s="3"/>
      <c r="F301" s="1"/>
      <c r="G301" s="37"/>
      <c r="H301" s="1"/>
      <c r="I301" s="2"/>
      <c r="J301" s="2"/>
      <c r="K301" s="2"/>
      <c r="L301" s="2"/>
      <c r="M301" s="2"/>
      <c r="N301" s="3"/>
      <c r="O301" s="3"/>
      <c r="P301" s="2"/>
      <c r="Q301" s="2"/>
      <c r="R301" s="2"/>
      <c r="S301" s="2"/>
      <c r="T301" s="2"/>
      <c r="U301" s="2"/>
      <c r="V301" s="2"/>
      <c r="W301" s="2"/>
      <c r="X301" s="2"/>
      <c r="Y301" s="2"/>
      <c r="Z301" s="2"/>
      <c r="AA301" s="2"/>
      <c r="AB301" s="2"/>
      <c r="AC301" s="2"/>
      <c r="AD301" s="2"/>
    </row>
    <row r="302" spans="1:30" ht="13">
      <c r="A302" s="3"/>
      <c r="B302" s="2"/>
      <c r="C302" s="2"/>
      <c r="D302" s="3"/>
      <c r="E302" s="3"/>
      <c r="F302" s="1"/>
      <c r="G302" s="37"/>
      <c r="H302" s="1"/>
      <c r="I302" s="2"/>
      <c r="J302" s="2"/>
      <c r="K302" s="2"/>
      <c r="L302" s="2"/>
      <c r="M302" s="2"/>
      <c r="N302" s="3"/>
      <c r="O302" s="3"/>
      <c r="P302" s="2"/>
      <c r="Q302" s="2"/>
      <c r="R302" s="2"/>
      <c r="S302" s="2"/>
      <c r="T302" s="2"/>
      <c r="U302" s="2"/>
      <c r="V302" s="2"/>
      <c r="W302" s="2"/>
      <c r="X302" s="2"/>
      <c r="Y302" s="2"/>
      <c r="Z302" s="2"/>
      <c r="AA302" s="2"/>
      <c r="AB302" s="2"/>
      <c r="AC302" s="2"/>
      <c r="AD302" s="2"/>
    </row>
    <row r="303" spans="1:30" ht="13">
      <c r="A303" s="3"/>
      <c r="B303" s="2"/>
      <c r="C303" s="2"/>
      <c r="D303" s="3"/>
      <c r="E303" s="3"/>
      <c r="F303" s="1"/>
      <c r="G303" s="37"/>
      <c r="H303" s="1"/>
      <c r="I303" s="2"/>
      <c r="J303" s="2"/>
      <c r="K303" s="2"/>
      <c r="L303" s="2"/>
      <c r="M303" s="2"/>
      <c r="N303" s="3"/>
      <c r="O303" s="3"/>
      <c r="P303" s="2"/>
      <c r="Q303" s="2"/>
      <c r="R303" s="2"/>
      <c r="S303" s="2"/>
      <c r="T303" s="2"/>
      <c r="U303" s="2"/>
      <c r="V303" s="2"/>
      <c r="W303" s="2"/>
      <c r="X303" s="2"/>
      <c r="Y303" s="2"/>
      <c r="Z303" s="2"/>
      <c r="AA303" s="2"/>
      <c r="AB303" s="2"/>
      <c r="AC303" s="2"/>
      <c r="AD303" s="2"/>
    </row>
    <row r="304" spans="1:30" ht="13">
      <c r="A304" s="3"/>
      <c r="B304" s="2"/>
      <c r="C304" s="2"/>
      <c r="D304" s="3"/>
      <c r="E304" s="3"/>
      <c r="F304" s="1"/>
      <c r="G304" s="37"/>
      <c r="H304" s="1"/>
      <c r="I304" s="2"/>
      <c r="J304" s="2"/>
      <c r="K304" s="2"/>
      <c r="L304" s="2"/>
      <c r="M304" s="2"/>
      <c r="N304" s="3"/>
      <c r="O304" s="3"/>
      <c r="P304" s="2"/>
      <c r="Q304" s="2"/>
      <c r="R304" s="2"/>
      <c r="S304" s="2"/>
      <c r="T304" s="2"/>
      <c r="U304" s="2"/>
      <c r="V304" s="2"/>
      <c r="W304" s="2"/>
      <c r="X304" s="2"/>
      <c r="Y304" s="2"/>
      <c r="Z304" s="2"/>
      <c r="AA304" s="2"/>
      <c r="AB304" s="2"/>
      <c r="AC304" s="2"/>
      <c r="AD304" s="2"/>
    </row>
    <row r="305" spans="1:30" ht="13">
      <c r="A305" s="3"/>
      <c r="B305" s="2"/>
      <c r="C305" s="2"/>
      <c r="D305" s="3"/>
      <c r="E305" s="3"/>
      <c r="F305" s="1"/>
      <c r="G305" s="37"/>
      <c r="H305" s="1"/>
      <c r="I305" s="2"/>
      <c r="J305" s="2"/>
      <c r="K305" s="2"/>
      <c r="L305" s="2"/>
      <c r="M305" s="2"/>
      <c r="N305" s="3"/>
      <c r="O305" s="3"/>
      <c r="P305" s="2"/>
      <c r="Q305" s="2"/>
      <c r="R305" s="2"/>
      <c r="S305" s="2"/>
      <c r="T305" s="2"/>
      <c r="U305" s="2"/>
      <c r="V305" s="2"/>
      <c r="W305" s="2"/>
      <c r="X305" s="2"/>
      <c r="Y305" s="2"/>
      <c r="Z305" s="2"/>
      <c r="AA305" s="2"/>
      <c r="AB305" s="2"/>
      <c r="AC305" s="2"/>
      <c r="AD305" s="2"/>
    </row>
    <row r="306" spans="1:30" ht="13">
      <c r="A306" s="3"/>
      <c r="B306" s="2"/>
      <c r="C306" s="2"/>
      <c r="D306" s="3"/>
      <c r="E306" s="3"/>
      <c r="F306" s="1"/>
      <c r="G306" s="37"/>
      <c r="H306" s="1"/>
      <c r="I306" s="2"/>
      <c r="J306" s="2"/>
      <c r="K306" s="2"/>
      <c r="L306" s="2"/>
      <c r="M306" s="2"/>
      <c r="N306" s="3"/>
      <c r="O306" s="3"/>
      <c r="P306" s="2"/>
      <c r="Q306" s="2"/>
      <c r="R306" s="2"/>
      <c r="S306" s="2"/>
      <c r="T306" s="2"/>
      <c r="U306" s="2"/>
      <c r="V306" s="2"/>
      <c r="W306" s="2"/>
      <c r="X306" s="2"/>
      <c r="Y306" s="2"/>
      <c r="Z306" s="2"/>
      <c r="AA306" s="2"/>
      <c r="AB306" s="2"/>
      <c r="AC306" s="2"/>
      <c r="AD306" s="2"/>
    </row>
    <row r="307" spans="1:30" ht="13">
      <c r="A307" s="3"/>
      <c r="B307" s="2"/>
      <c r="C307" s="2"/>
      <c r="D307" s="3"/>
      <c r="E307" s="3"/>
      <c r="F307" s="1"/>
      <c r="G307" s="37"/>
      <c r="H307" s="1"/>
      <c r="I307" s="2"/>
      <c r="J307" s="2"/>
      <c r="K307" s="2"/>
      <c r="L307" s="2"/>
      <c r="M307" s="2"/>
      <c r="N307" s="3"/>
      <c r="O307" s="3"/>
      <c r="P307" s="2"/>
      <c r="Q307" s="2"/>
      <c r="R307" s="2"/>
      <c r="S307" s="2"/>
      <c r="T307" s="2"/>
      <c r="U307" s="2"/>
      <c r="V307" s="2"/>
      <c r="W307" s="2"/>
      <c r="X307" s="2"/>
      <c r="Y307" s="2"/>
      <c r="Z307" s="2"/>
      <c r="AA307" s="2"/>
      <c r="AB307" s="2"/>
      <c r="AC307" s="2"/>
      <c r="AD307" s="2"/>
    </row>
    <row r="308" spans="1:30" ht="13">
      <c r="A308" s="3"/>
      <c r="B308" s="2"/>
      <c r="C308" s="2"/>
      <c r="D308" s="3"/>
      <c r="E308" s="3"/>
      <c r="F308" s="1"/>
      <c r="G308" s="37"/>
      <c r="H308" s="1"/>
      <c r="I308" s="2"/>
      <c r="J308" s="2"/>
      <c r="K308" s="2"/>
      <c r="L308" s="2"/>
      <c r="M308" s="2"/>
      <c r="N308" s="3"/>
      <c r="O308" s="3"/>
      <c r="P308" s="2"/>
      <c r="Q308" s="2"/>
      <c r="R308" s="2"/>
      <c r="S308" s="2"/>
      <c r="T308" s="2"/>
      <c r="U308" s="2"/>
      <c r="V308" s="2"/>
      <c r="W308" s="2"/>
      <c r="X308" s="2"/>
      <c r="Y308" s="2"/>
      <c r="Z308" s="2"/>
      <c r="AA308" s="2"/>
      <c r="AB308" s="2"/>
      <c r="AC308" s="2"/>
      <c r="AD308" s="2"/>
    </row>
    <row r="309" spans="1:30" ht="13">
      <c r="A309" s="3"/>
      <c r="B309" s="2"/>
      <c r="C309" s="2"/>
      <c r="D309" s="3"/>
      <c r="E309" s="3"/>
      <c r="F309" s="1"/>
      <c r="G309" s="37"/>
      <c r="H309" s="1"/>
      <c r="I309" s="2"/>
      <c r="J309" s="2"/>
      <c r="K309" s="2"/>
      <c r="L309" s="2"/>
      <c r="M309" s="2"/>
      <c r="N309" s="3"/>
      <c r="O309" s="3"/>
      <c r="P309" s="2"/>
      <c r="Q309" s="2"/>
      <c r="R309" s="2"/>
      <c r="S309" s="2"/>
      <c r="T309" s="2"/>
      <c r="U309" s="2"/>
      <c r="V309" s="2"/>
      <c r="W309" s="2"/>
      <c r="X309" s="2"/>
      <c r="Y309" s="2"/>
      <c r="Z309" s="2"/>
      <c r="AA309" s="2"/>
      <c r="AB309" s="2"/>
      <c r="AC309" s="2"/>
      <c r="AD309" s="2"/>
    </row>
    <row r="310" spans="1:30" ht="13">
      <c r="A310" s="3"/>
      <c r="B310" s="2"/>
      <c r="C310" s="2"/>
      <c r="D310" s="3"/>
      <c r="E310" s="3"/>
      <c r="F310" s="1"/>
      <c r="G310" s="37"/>
      <c r="H310" s="1"/>
      <c r="I310" s="2"/>
      <c r="J310" s="2"/>
      <c r="K310" s="2"/>
      <c r="L310" s="2"/>
      <c r="M310" s="2"/>
      <c r="N310" s="3"/>
      <c r="O310" s="3"/>
      <c r="P310" s="2"/>
      <c r="Q310" s="2"/>
      <c r="R310" s="2"/>
      <c r="S310" s="2"/>
      <c r="T310" s="2"/>
      <c r="U310" s="2"/>
      <c r="V310" s="2"/>
      <c r="W310" s="2"/>
      <c r="X310" s="2"/>
      <c r="Y310" s="2"/>
      <c r="Z310" s="2"/>
      <c r="AA310" s="2"/>
      <c r="AB310" s="2"/>
      <c r="AC310" s="2"/>
      <c r="AD310" s="2"/>
    </row>
    <row r="311" spans="1:30" ht="13">
      <c r="A311" s="3"/>
      <c r="B311" s="2"/>
      <c r="C311" s="2"/>
      <c r="D311" s="3"/>
      <c r="E311" s="3"/>
      <c r="F311" s="1"/>
      <c r="G311" s="37"/>
      <c r="H311" s="1"/>
      <c r="I311" s="2"/>
      <c r="J311" s="2"/>
      <c r="K311" s="2"/>
      <c r="L311" s="2"/>
      <c r="M311" s="2"/>
      <c r="N311" s="3"/>
      <c r="O311" s="3"/>
      <c r="P311" s="2"/>
      <c r="Q311" s="2"/>
      <c r="R311" s="2"/>
      <c r="S311" s="2"/>
      <c r="T311" s="2"/>
      <c r="U311" s="2"/>
      <c r="V311" s="2"/>
      <c r="W311" s="2"/>
      <c r="X311" s="2"/>
      <c r="Y311" s="2"/>
      <c r="Z311" s="2"/>
      <c r="AA311" s="2"/>
      <c r="AB311" s="2"/>
      <c r="AC311" s="2"/>
      <c r="AD311" s="2"/>
    </row>
    <row r="312" spans="1:30" ht="13">
      <c r="A312" s="3"/>
      <c r="B312" s="2"/>
      <c r="C312" s="2"/>
      <c r="D312" s="3"/>
      <c r="E312" s="3"/>
      <c r="F312" s="1"/>
      <c r="G312" s="37"/>
      <c r="H312" s="1"/>
      <c r="I312" s="2"/>
      <c r="J312" s="2"/>
      <c r="K312" s="2"/>
      <c r="L312" s="2"/>
      <c r="M312" s="2"/>
      <c r="N312" s="3"/>
      <c r="O312" s="3"/>
      <c r="P312" s="2"/>
      <c r="Q312" s="2"/>
      <c r="R312" s="2"/>
      <c r="S312" s="2"/>
      <c r="T312" s="2"/>
      <c r="U312" s="2"/>
      <c r="V312" s="2"/>
      <c r="W312" s="2"/>
      <c r="X312" s="2"/>
      <c r="Y312" s="2"/>
      <c r="Z312" s="2"/>
      <c r="AA312" s="2"/>
      <c r="AB312" s="2"/>
      <c r="AC312" s="2"/>
      <c r="AD312" s="2"/>
    </row>
    <row r="313" spans="1:30" ht="13">
      <c r="A313" s="3"/>
      <c r="B313" s="2"/>
      <c r="C313" s="2"/>
      <c r="D313" s="3"/>
      <c r="E313" s="3"/>
      <c r="F313" s="1"/>
      <c r="G313" s="37"/>
      <c r="H313" s="1"/>
      <c r="I313" s="2"/>
      <c r="J313" s="2"/>
      <c r="K313" s="2"/>
      <c r="L313" s="2"/>
      <c r="M313" s="2"/>
      <c r="N313" s="3"/>
      <c r="O313" s="3"/>
      <c r="P313" s="2"/>
      <c r="Q313" s="2"/>
      <c r="R313" s="2"/>
      <c r="S313" s="2"/>
      <c r="T313" s="2"/>
      <c r="U313" s="2"/>
      <c r="V313" s="2"/>
      <c r="W313" s="2"/>
      <c r="X313" s="2"/>
      <c r="Y313" s="2"/>
      <c r="Z313" s="2"/>
      <c r="AA313" s="2"/>
      <c r="AB313" s="2"/>
      <c r="AC313" s="2"/>
      <c r="AD313" s="2"/>
    </row>
    <row r="314" spans="1:30" ht="13">
      <c r="A314" s="3"/>
      <c r="B314" s="2"/>
      <c r="C314" s="2"/>
      <c r="D314" s="3"/>
      <c r="E314" s="3"/>
      <c r="F314" s="1"/>
      <c r="G314" s="37"/>
      <c r="H314" s="1"/>
      <c r="I314" s="2"/>
      <c r="J314" s="2"/>
      <c r="K314" s="2"/>
      <c r="L314" s="2"/>
      <c r="M314" s="2"/>
      <c r="N314" s="3"/>
      <c r="O314" s="3"/>
      <c r="P314" s="2"/>
      <c r="Q314" s="2"/>
      <c r="R314" s="2"/>
      <c r="S314" s="2"/>
      <c r="T314" s="2"/>
      <c r="U314" s="2"/>
      <c r="V314" s="2"/>
      <c r="W314" s="2"/>
      <c r="X314" s="2"/>
      <c r="Y314" s="2"/>
      <c r="Z314" s="2"/>
      <c r="AA314" s="2"/>
      <c r="AB314" s="2"/>
      <c r="AC314" s="2"/>
      <c r="AD314" s="2"/>
    </row>
    <row r="315" spans="1:30" ht="13">
      <c r="A315" s="3"/>
      <c r="B315" s="2"/>
      <c r="C315" s="2"/>
      <c r="D315" s="3"/>
      <c r="E315" s="3"/>
      <c r="F315" s="1"/>
      <c r="G315" s="37"/>
      <c r="H315" s="1"/>
      <c r="I315" s="2"/>
      <c r="J315" s="2"/>
      <c r="K315" s="2"/>
      <c r="L315" s="2"/>
      <c r="M315" s="2"/>
      <c r="N315" s="3"/>
      <c r="O315" s="3"/>
      <c r="P315" s="2"/>
      <c r="Q315" s="2"/>
      <c r="R315" s="2"/>
      <c r="S315" s="2"/>
      <c r="T315" s="2"/>
      <c r="U315" s="2"/>
      <c r="V315" s="2"/>
      <c r="W315" s="2"/>
      <c r="X315" s="2"/>
      <c r="Y315" s="2"/>
      <c r="Z315" s="2"/>
      <c r="AA315" s="2"/>
      <c r="AB315" s="2"/>
      <c r="AC315" s="2"/>
      <c r="AD315" s="2"/>
    </row>
    <row r="316" spans="1:30" ht="13">
      <c r="A316" s="3"/>
      <c r="B316" s="2"/>
      <c r="C316" s="2"/>
      <c r="D316" s="3"/>
      <c r="E316" s="3"/>
      <c r="F316" s="1"/>
      <c r="G316" s="37"/>
      <c r="H316" s="1"/>
      <c r="I316" s="2"/>
      <c r="J316" s="2"/>
      <c r="K316" s="2"/>
      <c r="L316" s="2"/>
      <c r="M316" s="2"/>
      <c r="N316" s="3"/>
      <c r="O316" s="3"/>
      <c r="P316" s="2"/>
      <c r="Q316" s="2"/>
      <c r="R316" s="2"/>
      <c r="S316" s="2"/>
      <c r="T316" s="2"/>
      <c r="U316" s="2"/>
      <c r="V316" s="2"/>
      <c r="W316" s="2"/>
      <c r="X316" s="2"/>
      <c r="Y316" s="2"/>
      <c r="Z316" s="2"/>
      <c r="AA316" s="2"/>
      <c r="AB316" s="2"/>
      <c r="AC316" s="2"/>
      <c r="AD316" s="2"/>
    </row>
    <row r="317" spans="1:30" ht="13">
      <c r="A317" s="3"/>
      <c r="B317" s="2"/>
      <c r="C317" s="2"/>
      <c r="D317" s="3"/>
      <c r="E317" s="3"/>
      <c r="F317" s="1"/>
      <c r="G317" s="37"/>
      <c r="H317" s="1"/>
      <c r="I317" s="2"/>
      <c r="J317" s="2"/>
      <c r="K317" s="2"/>
      <c r="L317" s="2"/>
      <c r="M317" s="2"/>
      <c r="N317" s="3"/>
      <c r="O317" s="3"/>
      <c r="P317" s="2"/>
      <c r="Q317" s="2"/>
      <c r="R317" s="2"/>
      <c r="S317" s="2"/>
      <c r="T317" s="2"/>
      <c r="U317" s="2"/>
      <c r="V317" s="2"/>
      <c r="W317" s="2"/>
      <c r="X317" s="2"/>
      <c r="Y317" s="2"/>
      <c r="Z317" s="2"/>
      <c r="AA317" s="2"/>
      <c r="AB317" s="2"/>
      <c r="AC317" s="2"/>
      <c r="AD317" s="2"/>
    </row>
    <row r="318" spans="1:30" ht="13">
      <c r="A318" s="3"/>
      <c r="B318" s="2"/>
      <c r="C318" s="2"/>
      <c r="D318" s="3"/>
      <c r="E318" s="3"/>
      <c r="F318" s="1"/>
      <c r="G318" s="37"/>
      <c r="H318" s="1"/>
      <c r="I318" s="2"/>
      <c r="J318" s="2"/>
      <c r="K318" s="2"/>
      <c r="L318" s="2"/>
      <c r="M318" s="2"/>
      <c r="N318" s="3"/>
      <c r="O318" s="3"/>
      <c r="P318" s="2"/>
      <c r="Q318" s="2"/>
      <c r="R318" s="2"/>
      <c r="S318" s="2"/>
      <c r="T318" s="2"/>
      <c r="U318" s="2"/>
      <c r="V318" s="2"/>
      <c r="W318" s="2"/>
      <c r="X318" s="2"/>
      <c r="Y318" s="2"/>
      <c r="Z318" s="2"/>
      <c r="AA318" s="2"/>
      <c r="AB318" s="2"/>
      <c r="AC318" s="2"/>
      <c r="AD318" s="2"/>
    </row>
    <row r="319" spans="1:30" ht="13">
      <c r="A319" s="3"/>
      <c r="B319" s="2"/>
      <c r="C319" s="2"/>
      <c r="D319" s="3"/>
      <c r="E319" s="3"/>
      <c r="F319" s="1"/>
      <c r="G319" s="37"/>
      <c r="H319" s="1"/>
      <c r="I319" s="2"/>
      <c r="J319" s="2"/>
      <c r="K319" s="2"/>
      <c r="L319" s="2"/>
      <c r="M319" s="2"/>
      <c r="N319" s="3"/>
      <c r="O319" s="3"/>
      <c r="P319" s="2"/>
      <c r="Q319" s="2"/>
      <c r="R319" s="2"/>
      <c r="S319" s="2"/>
      <c r="T319" s="2"/>
      <c r="U319" s="2"/>
      <c r="V319" s="2"/>
      <c r="W319" s="2"/>
      <c r="X319" s="2"/>
      <c r="Y319" s="2"/>
      <c r="Z319" s="2"/>
      <c r="AA319" s="2"/>
      <c r="AB319" s="2"/>
      <c r="AC319" s="2"/>
      <c r="AD319" s="2"/>
    </row>
    <row r="320" spans="1:30" ht="13">
      <c r="A320" s="3"/>
      <c r="B320" s="2"/>
      <c r="C320" s="2"/>
      <c r="D320" s="3"/>
      <c r="E320" s="3"/>
      <c r="F320" s="1"/>
      <c r="G320" s="37"/>
      <c r="H320" s="1"/>
      <c r="I320" s="2"/>
      <c r="J320" s="2"/>
      <c r="K320" s="2"/>
      <c r="L320" s="2"/>
      <c r="M320" s="2"/>
      <c r="N320" s="3"/>
      <c r="O320" s="3"/>
      <c r="P320" s="2"/>
      <c r="Q320" s="2"/>
      <c r="R320" s="2"/>
      <c r="S320" s="2"/>
      <c r="T320" s="2"/>
      <c r="U320" s="2"/>
      <c r="V320" s="2"/>
      <c r="W320" s="2"/>
      <c r="X320" s="2"/>
      <c r="Y320" s="2"/>
      <c r="Z320" s="2"/>
      <c r="AA320" s="2"/>
      <c r="AB320" s="2"/>
      <c r="AC320" s="2"/>
      <c r="AD320" s="2"/>
    </row>
    <row r="321" spans="1:30" ht="13">
      <c r="A321" s="3"/>
      <c r="B321" s="2"/>
      <c r="C321" s="2"/>
      <c r="D321" s="3"/>
      <c r="E321" s="3"/>
      <c r="F321" s="1"/>
      <c r="G321" s="37"/>
      <c r="H321" s="1"/>
      <c r="I321" s="2"/>
      <c r="J321" s="2"/>
      <c r="K321" s="2"/>
      <c r="L321" s="2"/>
      <c r="M321" s="2"/>
      <c r="N321" s="3"/>
      <c r="O321" s="3"/>
      <c r="P321" s="2"/>
      <c r="Q321" s="2"/>
      <c r="R321" s="2"/>
      <c r="S321" s="2"/>
      <c r="T321" s="2"/>
      <c r="U321" s="2"/>
      <c r="V321" s="2"/>
      <c r="W321" s="2"/>
      <c r="X321" s="2"/>
      <c r="Y321" s="2"/>
      <c r="Z321" s="2"/>
      <c r="AA321" s="2"/>
      <c r="AB321" s="2"/>
      <c r="AC321" s="2"/>
      <c r="AD321" s="2"/>
    </row>
    <row r="322" spans="1:30" ht="13">
      <c r="A322" s="3"/>
      <c r="B322" s="2"/>
      <c r="C322" s="2"/>
      <c r="D322" s="3"/>
      <c r="E322" s="3"/>
      <c r="F322" s="1"/>
      <c r="G322" s="37"/>
      <c r="H322" s="1"/>
      <c r="I322" s="2"/>
      <c r="J322" s="2"/>
      <c r="K322" s="2"/>
      <c r="L322" s="2"/>
      <c r="M322" s="2"/>
      <c r="N322" s="3"/>
      <c r="O322" s="3"/>
      <c r="P322" s="2"/>
      <c r="Q322" s="2"/>
      <c r="R322" s="2"/>
      <c r="S322" s="2"/>
      <c r="T322" s="2"/>
      <c r="U322" s="2"/>
      <c r="V322" s="2"/>
      <c r="W322" s="2"/>
      <c r="X322" s="2"/>
      <c r="Y322" s="2"/>
      <c r="Z322" s="2"/>
      <c r="AA322" s="2"/>
      <c r="AB322" s="2"/>
      <c r="AC322" s="2"/>
      <c r="AD322" s="2"/>
    </row>
    <row r="323" spans="1:30" ht="13">
      <c r="A323" s="3"/>
      <c r="B323" s="2"/>
      <c r="C323" s="2"/>
      <c r="D323" s="3"/>
      <c r="E323" s="3"/>
      <c r="F323" s="1"/>
      <c r="G323" s="37"/>
      <c r="H323" s="1"/>
      <c r="I323" s="2"/>
      <c r="J323" s="2"/>
      <c r="K323" s="2"/>
      <c r="L323" s="2"/>
      <c r="M323" s="2"/>
      <c r="N323" s="3"/>
      <c r="O323" s="3"/>
      <c r="P323" s="2"/>
      <c r="Q323" s="2"/>
      <c r="R323" s="2"/>
      <c r="S323" s="2"/>
      <c r="T323" s="2"/>
      <c r="U323" s="2"/>
      <c r="V323" s="2"/>
      <c r="W323" s="2"/>
      <c r="X323" s="2"/>
      <c r="Y323" s="2"/>
      <c r="Z323" s="2"/>
      <c r="AA323" s="2"/>
      <c r="AB323" s="2"/>
      <c r="AC323" s="2"/>
      <c r="AD323" s="2"/>
    </row>
    <row r="324" spans="1:30" ht="13">
      <c r="A324" s="3"/>
      <c r="B324" s="2"/>
      <c r="C324" s="2"/>
      <c r="D324" s="3"/>
      <c r="E324" s="3"/>
      <c r="F324" s="1"/>
      <c r="G324" s="37"/>
      <c r="H324" s="1"/>
      <c r="I324" s="2"/>
      <c r="J324" s="2"/>
      <c r="K324" s="2"/>
      <c r="L324" s="2"/>
      <c r="M324" s="2"/>
      <c r="N324" s="3"/>
      <c r="O324" s="3"/>
      <c r="P324" s="2"/>
      <c r="Q324" s="2"/>
      <c r="R324" s="2"/>
      <c r="S324" s="2"/>
      <c r="T324" s="2"/>
      <c r="U324" s="2"/>
      <c r="V324" s="2"/>
      <c r="W324" s="2"/>
      <c r="X324" s="2"/>
      <c r="Y324" s="2"/>
      <c r="Z324" s="2"/>
      <c r="AA324" s="2"/>
      <c r="AB324" s="2"/>
      <c r="AC324" s="2"/>
      <c r="AD324" s="2"/>
    </row>
    <row r="325" spans="1:30" ht="13">
      <c r="A325" s="3"/>
      <c r="B325" s="2"/>
      <c r="C325" s="2"/>
      <c r="D325" s="3"/>
      <c r="E325" s="3"/>
      <c r="F325" s="1"/>
      <c r="G325" s="37"/>
      <c r="H325" s="1"/>
      <c r="I325" s="2"/>
      <c r="J325" s="2"/>
      <c r="K325" s="2"/>
      <c r="L325" s="2"/>
      <c r="M325" s="2"/>
      <c r="N325" s="3"/>
      <c r="O325" s="3"/>
      <c r="P325" s="2"/>
      <c r="Q325" s="2"/>
      <c r="R325" s="2"/>
      <c r="S325" s="2"/>
      <c r="T325" s="2"/>
      <c r="U325" s="2"/>
      <c r="V325" s="2"/>
      <c r="W325" s="2"/>
      <c r="X325" s="2"/>
      <c r="Y325" s="2"/>
      <c r="Z325" s="2"/>
      <c r="AA325" s="2"/>
      <c r="AB325" s="2"/>
      <c r="AC325" s="2"/>
      <c r="AD325" s="2"/>
    </row>
    <row r="326" spans="1:30" ht="13">
      <c r="A326" s="3"/>
      <c r="B326" s="2"/>
      <c r="C326" s="2"/>
      <c r="D326" s="3"/>
      <c r="E326" s="3"/>
      <c r="F326" s="1"/>
      <c r="G326" s="37"/>
      <c r="H326" s="1"/>
      <c r="I326" s="2"/>
      <c r="J326" s="2"/>
      <c r="K326" s="2"/>
      <c r="L326" s="2"/>
      <c r="M326" s="2"/>
      <c r="N326" s="3"/>
      <c r="O326" s="3"/>
      <c r="P326" s="2"/>
      <c r="Q326" s="2"/>
      <c r="R326" s="2"/>
      <c r="S326" s="2"/>
      <c r="T326" s="2"/>
      <c r="U326" s="2"/>
      <c r="V326" s="2"/>
      <c r="W326" s="2"/>
      <c r="X326" s="2"/>
      <c r="Y326" s="2"/>
      <c r="Z326" s="2"/>
      <c r="AA326" s="2"/>
      <c r="AB326" s="2"/>
      <c r="AC326" s="2"/>
      <c r="AD326" s="2"/>
    </row>
    <row r="327" spans="1:30" ht="13">
      <c r="A327" s="3"/>
      <c r="B327" s="2"/>
      <c r="C327" s="2"/>
      <c r="D327" s="3"/>
      <c r="E327" s="3"/>
      <c r="F327" s="1"/>
      <c r="G327" s="37"/>
      <c r="H327" s="1"/>
      <c r="I327" s="2"/>
      <c r="J327" s="2"/>
      <c r="K327" s="2"/>
      <c r="L327" s="2"/>
      <c r="M327" s="2"/>
      <c r="N327" s="3"/>
      <c r="O327" s="3"/>
      <c r="P327" s="2"/>
      <c r="Q327" s="2"/>
      <c r="R327" s="2"/>
      <c r="S327" s="2"/>
      <c r="T327" s="2"/>
      <c r="U327" s="2"/>
      <c r="V327" s="2"/>
      <c r="W327" s="2"/>
      <c r="X327" s="2"/>
      <c r="Y327" s="2"/>
      <c r="Z327" s="2"/>
      <c r="AA327" s="2"/>
      <c r="AB327" s="2"/>
      <c r="AC327" s="2"/>
      <c r="AD327" s="2"/>
    </row>
    <row r="328" spans="1:30" ht="13">
      <c r="A328" s="3"/>
      <c r="B328" s="2"/>
      <c r="C328" s="2"/>
      <c r="D328" s="3"/>
      <c r="E328" s="3"/>
      <c r="F328" s="1"/>
      <c r="G328" s="37"/>
      <c r="H328" s="1"/>
      <c r="I328" s="2"/>
      <c r="J328" s="2"/>
      <c r="K328" s="2"/>
      <c r="L328" s="2"/>
      <c r="M328" s="2"/>
      <c r="N328" s="3"/>
      <c r="O328" s="3"/>
      <c r="P328" s="2"/>
      <c r="Q328" s="2"/>
      <c r="R328" s="2"/>
      <c r="S328" s="2"/>
      <c r="T328" s="2"/>
      <c r="U328" s="2"/>
      <c r="V328" s="2"/>
      <c r="W328" s="2"/>
      <c r="X328" s="2"/>
      <c r="Y328" s="2"/>
      <c r="Z328" s="2"/>
      <c r="AA328" s="2"/>
      <c r="AB328" s="2"/>
      <c r="AC328" s="2"/>
      <c r="AD328" s="2"/>
    </row>
    <row r="329" spans="1:30" ht="13">
      <c r="A329" s="3"/>
      <c r="B329" s="2"/>
      <c r="C329" s="2"/>
      <c r="D329" s="3"/>
      <c r="E329" s="3"/>
      <c r="F329" s="1"/>
      <c r="G329" s="37"/>
      <c r="H329" s="1"/>
      <c r="I329" s="2"/>
      <c r="J329" s="2"/>
      <c r="K329" s="2"/>
      <c r="L329" s="2"/>
      <c r="M329" s="2"/>
      <c r="N329" s="3"/>
      <c r="O329" s="3"/>
      <c r="P329" s="2"/>
      <c r="Q329" s="2"/>
      <c r="R329" s="2"/>
      <c r="S329" s="2"/>
      <c r="T329" s="2"/>
      <c r="U329" s="2"/>
      <c r="V329" s="2"/>
      <c r="W329" s="2"/>
      <c r="X329" s="2"/>
      <c r="Y329" s="2"/>
      <c r="Z329" s="2"/>
      <c r="AA329" s="2"/>
      <c r="AB329" s="2"/>
      <c r="AC329" s="2"/>
      <c r="AD329" s="2"/>
    </row>
    <row r="330" spans="1:30" ht="13">
      <c r="A330" s="3"/>
      <c r="B330" s="2"/>
      <c r="C330" s="2"/>
      <c r="D330" s="3"/>
      <c r="E330" s="3"/>
      <c r="F330" s="1"/>
      <c r="G330" s="37"/>
      <c r="H330" s="1"/>
      <c r="I330" s="2"/>
      <c r="J330" s="2"/>
      <c r="K330" s="2"/>
      <c r="L330" s="2"/>
      <c r="M330" s="2"/>
      <c r="N330" s="3"/>
      <c r="O330" s="3"/>
      <c r="P330" s="2"/>
      <c r="Q330" s="2"/>
      <c r="R330" s="2"/>
      <c r="S330" s="2"/>
      <c r="T330" s="2"/>
      <c r="U330" s="2"/>
      <c r="V330" s="2"/>
      <c r="W330" s="2"/>
      <c r="X330" s="2"/>
      <c r="Y330" s="2"/>
      <c r="Z330" s="2"/>
      <c r="AA330" s="2"/>
      <c r="AB330" s="2"/>
      <c r="AC330" s="2"/>
      <c r="AD330" s="2"/>
    </row>
    <row r="331" spans="1:30" ht="13">
      <c r="A331" s="3"/>
      <c r="B331" s="2"/>
      <c r="C331" s="2"/>
      <c r="D331" s="3"/>
      <c r="E331" s="3"/>
      <c r="F331" s="1"/>
      <c r="G331" s="37"/>
      <c r="H331" s="1"/>
      <c r="I331" s="2"/>
      <c r="J331" s="2"/>
      <c r="K331" s="2"/>
      <c r="L331" s="2"/>
      <c r="M331" s="2"/>
      <c r="N331" s="3"/>
      <c r="O331" s="3"/>
      <c r="P331" s="2"/>
      <c r="Q331" s="2"/>
      <c r="R331" s="2"/>
      <c r="S331" s="2"/>
      <c r="T331" s="2"/>
      <c r="U331" s="2"/>
      <c r="V331" s="2"/>
      <c r="W331" s="2"/>
      <c r="X331" s="2"/>
      <c r="Y331" s="2"/>
      <c r="Z331" s="2"/>
      <c r="AA331" s="2"/>
      <c r="AB331" s="2"/>
      <c r="AC331" s="2"/>
      <c r="AD331" s="2"/>
    </row>
    <row r="332" spans="1:30" ht="13">
      <c r="A332" s="3"/>
      <c r="B332" s="2"/>
      <c r="C332" s="2"/>
      <c r="D332" s="3"/>
      <c r="E332" s="3"/>
      <c r="F332" s="1"/>
      <c r="G332" s="37"/>
      <c r="H332" s="1"/>
      <c r="I332" s="2"/>
      <c r="J332" s="2"/>
      <c r="K332" s="2"/>
      <c r="L332" s="2"/>
      <c r="M332" s="2"/>
      <c r="N332" s="3"/>
      <c r="O332" s="3"/>
      <c r="P332" s="2"/>
      <c r="Q332" s="2"/>
      <c r="R332" s="2"/>
      <c r="S332" s="2"/>
      <c r="T332" s="2"/>
      <c r="U332" s="2"/>
      <c r="V332" s="2"/>
      <c r="W332" s="2"/>
      <c r="X332" s="2"/>
      <c r="Y332" s="2"/>
      <c r="Z332" s="2"/>
      <c r="AA332" s="2"/>
      <c r="AB332" s="2"/>
      <c r="AC332" s="2"/>
      <c r="AD332" s="2"/>
    </row>
    <row r="333" spans="1:30" ht="13">
      <c r="A333" s="3"/>
      <c r="B333" s="2"/>
      <c r="C333" s="2"/>
      <c r="D333" s="3"/>
      <c r="E333" s="3"/>
      <c r="F333" s="1"/>
      <c r="G333" s="37"/>
      <c r="H333" s="1"/>
      <c r="I333" s="2"/>
      <c r="J333" s="2"/>
      <c r="K333" s="2"/>
      <c r="L333" s="2"/>
      <c r="M333" s="2"/>
      <c r="N333" s="3"/>
      <c r="O333" s="3"/>
      <c r="P333" s="2"/>
      <c r="Q333" s="2"/>
      <c r="R333" s="2"/>
      <c r="S333" s="2"/>
      <c r="T333" s="2"/>
      <c r="U333" s="2"/>
      <c r="V333" s="2"/>
      <c r="W333" s="2"/>
      <c r="X333" s="2"/>
      <c r="Y333" s="2"/>
      <c r="Z333" s="2"/>
      <c r="AA333" s="2"/>
      <c r="AB333" s="2"/>
      <c r="AC333" s="2"/>
      <c r="AD333" s="2"/>
    </row>
    <row r="334" spans="1:30" ht="13">
      <c r="A334" s="3"/>
      <c r="B334" s="2"/>
      <c r="C334" s="2"/>
      <c r="D334" s="3"/>
      <c r="E334" s="3"/>
      <c r="F334" s="1"/>
      <c r="G334" s="37"/>
      <c r="H334" s="1"/>
      <c r="I334" s="2"/>
      <c r="J334" s="2"/>
      <c r="K334" s="2"/>
      <c r="L334" s="2"/>
      <c r="M334" s="2"/>
      <c r="N334" s="3"/>
      <c r="O334" s="3"/>
      <c r="P334" s="2"/>
      <c r="Q334" s="2"/>
      <c r="R334" s="2"/>
      <c r="S334" s="2"/>
      <c r="T334" s="2"/>
      <c r="U334" s="2"/>
      <c r="V334" s="2"/>
      <c r="W334" s="2"/>
      <c r="X334" s="2"/>
      <c r="Y334" s="2"/>
      <c r="Z334" s="2"/>
      <c r="AA334" s="2"/>
      <c r="AB334" s="2"/>
      <c r="AC334" s="2"/>
      <c r="AD334" s="2"/>
    </row>
    <row r="335" spans="1:30" ht="13">
      <c r="A335" s="3"/>
      <c r="B335" s="2"/>
      <c r="C335" s="2"/>
      <c r="D335" s="3"/>
      <c r="E335" s="3"/>
      <c r="F335" s="1"/>
      <c r="G335" s="37"/>
      <c r="H335" s="1"/>
      <c r="I335" s="2"/>
      <c r="J335" s="2"/>
      <c r="K335" s="2"/>
      <c r="L335" s="2"/>
      <c r="M335" s="2"/>
      <c r="N335" s="3"/>
      <c r="O335" s="3"/>
      <c r="P335" s="2"/>
      <c r="Q335" s="2"/>
      <c r="R335" s="2"/>
      <c r="S335" s="2"/>
      <c r="T335" s="2"/>
      <c r="U335" s="2"/>
      <c r="V335" s="2"/>
      <c r="W335" s="2"/>
      <c r="X335" s="2"/>
      <c r="Y335" s="2"/>
      <c r="Z335" s="2"/>
      <c r="AA335" s="2"/>
      <c r="AB335" s="2"/>
      <c r="AC335" s="2"/>
      <c r="AD335" s="2"/>
    </row>
    <row r="336" spans="1:30" ht="13">
      <c r="A336" s="3"/>
      <c r="B336" s="2"/>
      <c r="C336" s="2"/>
      <c r="D336" s="3"/>
      <c r="E336" s="3"/>
      <c r="F336" s="1"/>
      <c r="G336" s="37"/>
      <c r="H336" s="1"/>
      <c r="I336" s="2"/>
      <c r="J336" s="2"/>
      <c r="K336" s="2"/>
      <c r="L336" s="2"/>
      <c r="M336" s="2"/>
      <c r="N336" s="3"/>
      <c r="O336" s="3"/>
      <c r="P336" s="2"/>
      <c r="Q336" s="2"/>
      <c r="R336" s="2"/>
      <c r="S336" s="2"/>
      <c r="T336" s="2"/>
      <c r="U336" s="2"/>
      <c r="V336" s="2"/>
      <c r="W336" s="2"/>
      <c r="X336" s="2"/>
      <c r="Y336" s="2"/>
      <c r="Z336" s="2"/>
      <c r="AA336" s="2"/>
      <c r="AB336" s="2"/>
      <c r="AC336" s="2"/>
      <c r="AD336" s="2"/>
    </row>
    <row r="337" spans="1:30" ht="13">
      <c r="A337" s="3"/>
      <c r="B337" s="2"/>
      <c r="C337" s="2"/>
      <c r="D337" s="3"/>
      <c r="E337" s="3"/>
      <c r="F337" s="1"/>
      <c r="G337" s="37"/>
      <c r="H337" s="1"/>
      <c r="I337" s="2"/>
      <c r="J337" s="2"/>
      <c r="K337" s="2"/>
      <c r="L337" s="2"/>
      <c r="M337" s="2"/>
      <c r="N337" s="3"/>
      <c r="O337" s="3"/>
      <c r="P337" s="2"/>
      <c r="Q337" s="2"/>
      <c r="R337" s="2"/>
      <c r="S337" s="2"/>
      <c r="T337" s="2"/>
      <c r="U337" s="2"/>
      <c r="V337" s="2"/>
      <c r="W337" s="2"/>
      <c r="X337" s="2"/>
      <c r="Y337" s="2"/>
      <c r="Z337" s="2"/>
      <c r="AA337" s="2"/>
      <c r="AB337" s="2"/>
      <c r="AC337" s="2"/>
      <c r="AD337" s="2"/>
    </row>
    <row r="338" spans="1:30" ht="13">
      <c r="A338" s="3"/>
      <c r="B338" s="2"/>
      <c r="C338" s="2"/>
      <c r="D338" s="3"/>
      <c r="E338" s="3"/>
      <c r="F338" s="1"/>
      <c r="G338" s="37"/>
      <c r="H338" s="1"/>
      <c r="I338" s="2"/>
      <c r="J338" s="2"/>
      <c r="K338" s="2"/>
      <c r="L338" s="2"/>
      <c r="M338" s="2"/>
      <c r="N338" s="3"/>
      <c r="O338" s="3"/>
      <c r="P338" s="2"/>
      <c r="Q338" s="2"/>
      <c r="R338" s="2"/>
      <c r="S338" s="2"/>
      <c r="T338" s="2"/>
      <c r="U338" s="2"/>
      <c r="V338" s="2"/>
      <c r="W338" s="2"/>
      <c r="X338" s="2"/>
      <c r="Y338" s="2"/>
      <c r="Z338" s="2"/>
      <c r="AA338" s="2"/>
      <c r="AB338" s="2"/>
      <c r="AC338" s="2"/>
      <c r="AD338" s="2"/>
    </row>
    <row r="339" spans="1:30" ht="13">
      <c r="A339" s="3"/>
      <c r="B339" s="2"/>
      <c r="C339" s="2"/>
      <c r="D339" s="3"/>
      <c r="E339" s="3"/>
      <c r="F339" s="1"/>
      <c r="G339" s="37"/>
      <c r="H339" s="1"/>
      <c r="I339" s="2"/>
      <c r="J339" s="2"/>
      <c r="K339" s="2"/>
      <c r="L339" s="2"/>
      <c r="M339" s="2"/>
      <c r="N339" s="3"/>
      <c r="O339" s="3"/>
      <c r="P339" s="2"/>
      <c r="Q339" s="2"/>
      <c r="R339" s="2"/>
      <c r="S339" s="2"/>
      <c r="T339" s="2"/>
      <c r="U339" s="2"/>
      <c r="V339" s="2"/>
      <c r="W339" s="2"/>
      <c r="X339" s="2"/>
      <c r="Y339" s="2"/>
      <c r="Z339" s="2"/>
      <c r="AA339" s="2"/>
      <c r="AB339" s="2"/>
      <c r="AC339" s="2"/>
      <c r="AD339" s="2"/>
    </row>
    <row r="340" spans="1:30" ht="13">
      <c r="A340" s="3"/>
      <c r="B340" s="2"/>
      <c r="C340" s="2"/>
      <c r="D340" s="3"/>
      <c r="E340" s="3"/>
      <c r="F340" s="1"/>
      <c r="G340" s="37"/>
      <c r="H340" s="1"/>
      <c r="I340" s="2"/>
      <c r="J340" s="2"/>
      <c r="K340" s="2"/>
      <c r="L340" s="2"/>
      <c r="M340" s="2"/>
      <c r="N340" s="3"/>
      <c r="O340" s="3"/>
      <c r="P340" s="2"/>
      <c r="Q340" s="2"/>
      <c r="R340" s="2"/>
      <c r="S340" s="2"/>
      <c r="T340" s="2"/>
      <c r="U340" s="2"/>
      <c r="V340" s="2"/>
      <c r="W340" s="2"/>
      <c r="X340" s="2"/>
      <c r="Y340" s="2"/>
      <c r="Z340" s="2"/>
      <c r="AA340" s="2"/>
      <c r="AB340" s="2"/>
      <c r="AC340" s="2"/>
      <c r="AD340" s="2"/>
    </row>
    <row r="341" spans="1:30" ht="13">
      <c r="A341" s="3"/>
      <c r="B341" s="2"/>
      <c r="C341" s="2"/>
      <c r="D341" s="3"/>
      <c r="E341" s="3"/>
      <c r="F341" s="1"/>
      <c r="G341" s="37"/>
      <c r="H341" s="1"/>
      <c r="I341" s="2"/>
      <c r="J341" s="2"/>
      <c r="K341" s="2"/>
      <c r="L341" s="2"/>
      <c r="M341" s="2"/>
      <c r="N341" s="3"/>
      <c r="O341" s="3"/>
      <c r="P341" s="2"/>
      <c r="Q341" s="2"/>
      <c r="R341" s="2"/>
      <c r="S341" s="2"/>
      <c r="T341" s="2"/>
      <c r="U341" s="2"/>
      <c r="V341" s="2"/>
      <c r="W341" s="2"/>
      <c r="X341" s="2"/>
      <c r="Y341" s="2"/>
      <c r="Z341" s="2"/>
      <c r="AA341" s="2"/>
      <c r="AB341" s="2"/>
      <c r="AC341" s="2"/>
      <c r="AD341" s="2"/>
    </row>
    <row r="342" spans="1:30" ht="13">
      <c r="A342" s="3"/>
      <c r="B342" s="2"/>
      <c r="C342" s="2"/>
      <c r="D342" s="3"/>
      <c r="E342" s="3"/>
      <c r="F342" s="1"/>
      <c r="G342" s="37"/>
      <c r="H342" s="1"/>
      <c r="I342" s="2"/>
      <c r="J342" s="2"/>
      <c r="K342" s="2"/>
      <c r="L342" s="2"/>
      <c r="M342" s="2"/>
      <c r="N342" s="3"/>
      <c r="O342" s="3"/>
      <c r="P342" s="2"/>
      <c r="Q342" s="2"/>
      <c r="R342" s="2"/>
      <c r="S342" s="2"/>
      <c r="T342" s="2"/>
      <c r="U342" s="2"/>
      <c r="V342" s="2"/>
      <c r="W342" s="2"/>
      <c r="X342" s="2"/>
      <c r="Y342" s="2"/>
      <c r="Z342" s="2"/>
      <c r="AA342" s="2"/>
      <c r="AB342" s="2"/>
      <c r="AC342" s="2"/>
      <c r="AD342" s="2"/>
    </row>
    <row r="343" spans="1:30" ht="13">
      <c r="A343" s="3"/>
      <c r="B343" s="2"/>
      <c r="C343" s="2"/>
      <c r="D343" s="3"/>
      <c r="E343" s="3"/>
      <c r="F343" s="1"/>
      <c r="G343" s="37"/>
      <c r="H343" s="1"/>
      <c r="I343" s="2"/>
      <c r="J343" s="2"/>
      <c r="K343" s="2"/>
      <c r="L343" s="2"/>
      <c r="M343" s="2"/>
      <c r="N343" s="3"/>
      <c r="O343" s="3"/>
      <c r="P343" s="2"/>
      <c r="Q343" s="2"/>
      <c r="R343" s="2"/>
      <c r="S343" s="2"/>
      <c r="T343" s="2"/>
      <c r="U343" s="2"/>
      <c r="V343" s="2"/>
      <c r="W343" s="2"/>
      <c r="X343" s="2"/>
      <c r="Y343" s="2"/>
      <c r="Z343" s="2"/>
      <c r="AA343" s="2"/>
      <c r="AB343" s="2"/>
      <c r="AC343" s="2"/>
      <c r="AD343" s="2"/>
    </row>
    <row r="344" spans="1:30" ht="13">
      <c r="A344" s="3"/>
      <c r="B344" s="2"/>
      <c r="C344" s="2"/>
      <c r="D344" s="3"/>
      <c r="E344" s="3"/>
      <c r="F344" s="1"/>
      <c r="G344" s="37"/>
      <c r="H344" s="1"/>
      <c r="I344" s="2"/>
      <c r="J344" s="2"/>
      <c r="K344" s="2"/>
      <c r="L344" s="2"/>
      <c r="M344" s="2"/>
      <c r="N344" s="3"/>
      <c r="O344" s="3"/>
      <c r="P344" s="2"/>
      <c r="Q344" s="2"/>
      <c r="R344" s="2"/>
      <c r="S344" s="2"/>
      <c r="T344" s="2"/>
      <c r="U344" s="2"/>
      <c r="V344" s="2"/>
      <c r="W344" s="2"/>
      <c r="X344" s="2"/>
      <c r="Y344" s="2"/>
      <c r="Z344" s="2"/>
      <c r="AA344" s="2"/>
      <c r="AB344" s="2"/>
      <c r="AC344" s="2"/>
      <c r="AD344" s="2"/>
    </row>
    <row r="345" spans="1:30" ht="13">
      <c r="A345" s="3"/>
      <c r="B345" s="2"/>
      <c r="C345" s="2"/>
      <c r="D345" s="3"/>
      <c r="E345" s="3"/>
      <c r="F345" s="1"/>
      <c r="G345" s="37"/>
      <c r="H345" s="1"/>
      <c r="I345" s="2"/>
      <c r="J345" s="2"/>
      <c r="K345" s="2"/>
      <c r="L345" s="2"/>
      <c r="M345" s="2"/>
      <c r="N345" s="3"/>
      <c r="O345" s="3"/>
      <c r="P345" s="2"/>
      <c r="Q345" s="2"/>
      <c r="R345" s="2"/>
      <c r="S345" s="2"/>
      <c r="T345" s="2"/>
      <c r="U345" s="2"/>
      <c r="V345" s="2"/>
      <c r="W345" s="2"/>
      <c r="X345" s="2"/>
      <c r="Y345" s="2"/>
      <c r="Z345" s="2"/>
      <c r="AA345" s="2"/>
      <c r="AB345" s="2"/>
      <c r="AC345" s="2"/>
      <c r="AD345" s="2"/>
    </row>
    <row r="346" spans="1:30" ht="13">
      <c r="A346" s="3"/>
      <c r="B346" s="2"/>
      <c r="C346" s="2"/>
      <c r="D346" s="3"/>
      <c r="E346" s="3"/>
      <c r="F346" s="1"/>
      <c r="G346" s="37"/>
      <c r="H346" s="1"/>
      <c r="I346" s="2"/>
      <c r="J346" s="2"/>
      <c r="K346" s="2"/>
      <c r="L346" s="2"/>
      <c r="M346" s="2"/>
      <c r="N346" s="3"/>
      <c r="O346" s="3"/>
      <c r="P346" s="2"/>
      <c r="Q346" s="2"/>
      <c r="R346" s="2"/>
      <c r="S346" s="2"/>
      <c r="T346" s="2"/>
      <c r="U346" s="2"/>
      <c r="V346" s="2"/>
      <c r="W346" s="2"/>
      <c r="X346" s="2"/>
      <c r="Y346" s="2"/>
      <c r="Z346" s="2"/>
      <c r="AA346" s="2"/>
      <c r="AB346" s="2"/>
      <c r="AC346" s="2"/>
      <c r="AD346" s="2"/>
    </row>
    <row r="347" spans="1:30" ht="13">
      <c r="A347" s="3"/>
      <c r="B347" s="2"/>
      <c r="C347" s="2"/>
      <c r="D347" s="3"/>
      <c r="E347" s="3"/>
      <c r="F347" s="1"/>
      <c r="G347" s="37"/>
      <c r="H347" s="1"/>
      <c r="I347" s="2"/>
      <c r="J347" s="2"/>
      <c r="K347" s="2"/>
      <c r="L347" s="2"/>
      <c r="M347" s="2"/>
      <c r="N347" s="3"/>
      <c r="O347" s="3"/>
      <c r="P347" s="2"/>
      <c r="Q347" s="2"/>
      <c r="R347" s="2"/>
      <c r="S347" s="2"/>
      <c r="T347" s="2"/>
      <c r="U347" s="2"/>
      <c r="V347" s="2"/>
      <c r="W347" s="2"/>
      <c r="X347" s="2"/>
      <c r="Y347" s="2"/>
      <c r="Z347" s="2"/>
      <c r="AA347" s="2"/>
      <c r="AB347" s="2"/>
      <c r="AC347" s="2"/>
      <c r="AD347" s="2"/>
    </row>
    <row r="348" spans="1:30" ht="13">
      <c r="A348" s="3"/>
      <c r="B348" s="2"/>
      <c r="C348" s="2"/>
      <c r="D348" s="3"/>
      <c r="E348" s="3"/>
      <c r="F348" s="1"/>
      <c r="G348" s="37"/>
      <c r="H348" s="1"/>
      <c r="I348" s="2"/>
      <c r="J348" s="2"/>
      <c r="K348" s="2"/>
      <c r="L348" s="2"/>
      <c r="M348" s="2"/>
      <c r="N348" s="3"/>
      <c r="O348" s="3"/>
      <c r="P348" s="2"/>
      <c r="Q348" s="2"/>
      <c r="R348" s="2"/>
      <c r="S348" s="2"/>
      <c r="T348" s="2"/>
      <c r="U348" s="2"/>
      <c r="V348" s="2"/>
      <c r="W348" s="2"/>
      <c r="X348" s="2"/>
      <c r="Y348" s="2"/>
      <c r="Z348" s="2"/>
      <c r="AA348" s="2"/>
      <c r="AB348" s="2"/>
      <c r="AC348" s="2"/>
      <c r="AD348" s="2"/>
    </row>
    <row r="349" spans="1:30" ht="13">
      <c r="A349" s="3"/>
      <c r="B349" s="2"/>
      <c r="C349" s="2"/>
      <c r="D349" s="3"/>
      <c r="E349" s="3"/>
      <c r="F349" s="1"/>
      <c r="G349" s="37"/>
      <c r="H349" s="1"/>
      <c r="I349" s="2"/>
      <c r="J349" s="2"/>
      <c r="K349" s="2"/>
      <c r="L349" s="2"/>
      <c r="M349" s="2"/>
      <c r="N349" s="3"/>
      <c r="O349" s="3"/>
      <c r="P349" s="2"/>
      <c r="Q349" s="2"/>
      <c r="R349" s="2"/>
      <c r="S349" s="2"/>
      <c r="T349" s="2"/>
      <c r="U349" s="2"/>
      <c r="V349" s="2"/>
      <c r="W349" s="2"/>
      <c r="X349" s="2"/>
      <c r="Y349" s="2"/>
      <c r="Z349" s="2"/>
      <c r="AA349" s="2"/>
      <c r="AB349" s="2"/>
      <c r="AC349" s="2"/>
      <c r="AD349" s="2"/>
    </row>
    <row r="350" spans="1:30" ht="13">
      <c r="A350" s="3"/>
      <c r="B350" s="2"/>
      <c r="C350" s="2"/>
      <c r="D350" s="3"/>
      <c r="E350" s="3"/>
      <c r="F350" s="1"/>
      <c r="G350" s="37"/>
      <c r="H350" s="1"/>
      <c r="I350" s="2"/>
      <c r="J350" s="2"/>
      <c r="K350" s="2"/>
      <c r="L350" s="2"/>
      <c r="M350" s="2"/>
      <c r="N350" s="3"/>
      <c r="O350" s="3"/>
      <c r="P350" s="2"/>
      <c r="Q350" s="2"/>
      <c r="R350" s="2"/>
      <c r="S350" s="2"/>
      <c r="T350" s="2"/>
      <c r="U350" s="2"/>
      <c r="V350" s="2"/>
      <c r="W350" s="2"/>
      <c r="X350" s="2"/>
      <c r="Y350" s="2"/>
      <c r="Z350" s="2"/>
      <c r="AA350" s="2"/>
      <c r="AB350" s="2"/>
      <c r="AC350" s="2"/>
      <c r="AD350" s="2"/>
    </row>
    <row r="351" spans="1:30" ht="13">
      <c r="A351" s="3"/>
      <c r="B351" s="2"/>
      <c r="C351" s="2"/>
      <c r="D351" s="3"/>
      <c r="E351" s="3"/>
      <c r="F351" s="1"/>
      <c r="G351" s="37"/>
      <c r="H351" s="1"/>
      <c r="I351" s="2"/>
      <c r="J351" s="2"/>
      <c r="K351" s="2"/>
      <c r="L351" s="2"/>
      <c r="M351" s="2"/>
      <c r="N351" s="3"/>
      <c r="O351" s="3"/>
      <c r="P351" s="2"/>
      <c r="Q351" s="2"/>
      <c r="R351" s="2"/>
      <c r="S351" s="2"/>
      <c r="T351" s="2"/>
      <c r="U351" s="2"/>
      <c r="V351" s="2"/>
      <c r="W351" s="2"/>
      <c r="X351" s="2"/>
      <c r="Y351" s="2"/>
      <c r="Z351" s="2"/>
      <c r="AA351" s="2"/>
      <c r="AB351" s="2"/>
      <c r="AC351" s="2"/>
      <c r="AD351" s="2"/>
    </row>
    <row r="352" spans="1:30" ht="13">
      <c r="A352" s="3"/>
      <c r="B352" s="2"/>
      <c r="C352" s="2"/>
      <c r="D352" s="3"/>
      <c r="E352" s="3"/>
      <c r="F352" s="1"/>
      <c r="G352" s="37"/>
      <c r="H352" s="1"/>
      <c r="I352" s="2"/>
      <c r="J352" s="2"/>
      <c r="K352" s="2"/>
      <c r="L352" s="2"/>
      <c r="M352" s="2"/>
      <c r="N352" s="3"/>
      <c r="O352" s="3"/>
      <c r="P352" s="2"/>
      <c r="Q352" s="2"/>
      <c r="R352" s="2"/>
      <c r="S352" s="2"/>
      <c r="T352" s="2"/>
      <c r="U352" s="2"/>
      <c r="V352" s="2"/>
      <c r="W352" s="2"/>
      <c r="X352" s="2"/>
      <c r="Y352" s="2"/>
      <c r="Z352" s="2"/>
      <c r="AA352" s="2"/>
      <c r="AB352" s="2"/>
      <c r="AC352" s="2"/>
      <c r="AD352" s="2"/>
    </row>
    <row r="353" spans="1:30" ht="13">
      <c r="A353" s="3"/>
      <c r="B353" s="2"/>
      <c r="C353" s="2"/>
      <c r="D353" s="3"/>
      <c r="E353" s="3"/>
      <c r="F353" s="1"/>
      <c r="G353" s="37"/>
      <c r="H353" s="1"/>
      <c r="I353" s="2"/>
      <c r="J353" s="2"/>
      <c r="K353" s="2"/>
      <c r="L353" s="2"/>
      <c r="M353" s="2"/>
      <c r="N353" s="3"/>
      <c r="O353" s="3"/>
      <c r="P353" s="2"/>
      <c r="Q353" s="2"/>
      <c r="R353" s="2"/>
      <c r="S353" s="2"/>
      <c r="T353" s="2"/>
      <c r="U353" s="2"/>
      <c r="V353" s="2"/>
      <c r="W353" s="2"/>
      <c r="X353" s="2"/>
      <c r="Y353" s="2"/>
      <c r="Z353" s="2"/>
      <c r="AA353" s="2"/>
      <c r="AB353" s="2"/>
      <c r="AC353" s="2"/>
      <c r="AD353" s="2"/>
    </row>
    <row r="354" spans="1:30" ht="13">
      <c r="A354" s="3"/>
      <c r="B354" s="2"/>
      <c r="C354" s="2"/>
      <c r="D354" s="3"/>
      <c r="E354" s="3"/>
      <c r="F354" s="1"/>
      <c r="G354" s="37"/>
      <c r="H354" s="1"/>
      <c r="I354" s="2"/>
      <c r="J354" s="2"/>
      <c r="K354" s="2"/>
      <c r="L354" s="2"/>
      <c r="M354" s="2"/>
      <c r="N354" s="3"/>
      <c r="O354" s="3"/>
      <c r="P354" s="2"/>
      <c r="Q354" s="2"/>
      <c r="R354" s="2"/>
      <c r="S354" s="2"/>
      <c r="T354" s="2"/>
      <c r="U354" s="2"/>
      <c r="V354" s="2"/>
      <c r="W354" s="2"/>
      <c r="X354" s="2"/>
      <c r="Y354" s="2"/>
      <c r="Z354" s="2"/>
      <c r="AA354" s="2"/>
      <c r="AB354" s="2"/>
      <c r="AC354" s="2"/>
      <c r="AD354" s="2"/>
    </row>
    <row r="355" spans="1:30" ht="13">
      <c r="A355" s="3"/>
      <c r="B355" s="2"/>
      <c r="C355" s="2"/>
      <c r="D355" s="3"/>
      <c r="E355" s="3"/>
      <c r="F355" s="1"/>
      <c r="G355" s="37"/>
      <c r="H355" s="1"/>
      <c r="I355" s="2"/>
      <c r="J355" s="2"/>
      <c r="K355" s="2"/>
      <c r="L355" s="2"/>
      <c r="M355" s="2"/>
      <c r="N355" s="3"/>
      <c r="O355" s="3"/>
      <c r="P355" s="2"/>
      <c r="Q355" s="2"/>
      <c r="R355" s="2"/>
      <c r="S355" s="2"/>
      <c r="T355" s="2"/>
      <c r="U355" s="2"/>
      <c r="V355" s="2"/>
      <c r="W355" s="2"/>
      <c r="X355" s="2"/>
      <c r="Y355" s="2"/>
      <c r="Z355" s="2"/>
      <c r="AA355" s="2"/>
      <c r="AB355" s="2"/>
      <c r="AC355" s="2"/>
      <c r="AD355" s="2"/>
    </row>
    <row r="356" spans="1:30" ht="13">
      <c r="A356" s="3"/>
      <c r="B356" s="2"/>
      <c r="C356" s="2"/>
      <c r="D356" s="3"/>
      <c r="E356" s="3"/>
      <c r="F356" s="1"/>
      <c r="G356" s="37"/>
      <c r="H356" s="1"/>
      <c r="I356" s="2"/>
      <c r="J356" s="2"/>
      <c r="K356" s="2"/>
      <c r="L356" s="2"/>
      <c r="M356" s="2"/>
      <c r="N356" s="3"/>
      <c r="O356" s="3"/>
      <c r="P356" s="2"/>
      <c r="Q356" s="2"/>
      <c r="R356" s="2"/>
      <c r="S356" s="2"/>
      <c r="T356" s="2"/>
      <c r="U356" s="2"/>
      <c r="V356" s="2"/>
      <c r="W356" s="2"/>
      <c r="X356" s="2"/>
      <c r="Y356" s="2"/>
      <c r="Z356" s="2"/>
      <c r="AA356" s="2"/>
      <c r="AB356" s="2"/>
      <c r="AC356" s="2"/>
      <c r="AD356" s="2"/>
    </row>
    <row r="357" spans="1:30" ht="13">
      <c r="A357" s="3"/>
      <c r="B357" s="2"/>
      <c r="C357" s="2"/>
      <c r="D357" s="3"/>
      <c r="E357" s="3"/>
      <c r="F357" s="1"/>
      <c r="G357" s="37"/>
      <c r="H357" s="1"/>
      <c r="I357" s="2"/>
      <c r="J357" s="2"/>
      <c r="K357" s="2"/>
      <c r="L357" s="2"/>
      <c r="M357" s="2"/>
      <c r="N357" s="3"/>
      <c r="O357" s="3"/>
      <c r="P357" s="2"/>
      <c r="Q357" s="2"/>
      <c r="R357" s="2"/>
      <c r="S357" s="2"/>
      <c r="T357" s="2"/>
      <c r="U357" s="2"/>
      <c r="V357" s="2"/>
      <c r="W357" s="2"/>
      <c r="X357" s="2"/>
      <c r="Y357" s="2"/>
      <c r="Z357" s="2"/>
      <c r="AA357" s="2"/>
      <c r="AB357" s="2"/>
      <c r="AC357" s="2"/>
      <c r="AD357" s="2"/>
    </row>
    <row r="358" spans="1:30" ht="13">
      <c r="A358" s="3"/>
      <c r="B358" s="2"/>
      <c r="C358" s="2"/>
      <c r="D358" s="3"/>
      <c r="E358" s="3"/>
      <c r="F358" s="1"/>
      <c r="G358" s="37"/>
      <c r="H358" s="1"/>
      <c r="I358" s="2"/>
      <c r="J358" s="2"/>
      <c r="K358" s="2"/>
      <c r="L358" s="2"/>
      <c r="M358" s="2"/>
      <c r="N358" s="3"/>
      <c r="O358" s="3"/>
      <c r="P358" s="2"/>
      <c r="Q358" s="2"/>
      <c r="R358" s="2"/>
      <c r="S358" s="2"/>
      <c r="T358" s="2"/>
      <c r="U358" s="2"/>
      <c r="V358" s="2"/>
      <c r="W358" s="2"/>
      <c r="X358" s="2"/>
      <c r="Y358" s="2"/>
      <c r="Z358" s="2"/>
      <c r="AA358" s="2"/>
      <c r="AB358" s="2"/>
      <c r="AC358" s="2"/>
      <c r="AD358" s="2"/>
    </row>
    <row r="359" spans="1:30" ht="13">
      <c r="A359" s="3"/>
      <c r="B359" s="2"/>
      <c r="C359" s="2"/>
      <c r="D359" s="3"/>
      <c r="E359" s="3"/>
      <c r="F359" s="1"/>
      <c r="G359" s="37"/>
      <c r="H359" s="1"/>
      <c r="I359" s="2"/>
      <c r="J359" s="2"/>
      <c r="K359" s="2"/>
      <c r="L359" s="2"/>
      <c r="M359" s="2"/>
      <c r="N359" s="3"/>
      <c r="O359" s="3"/>
      <c r="P359" s="2"/>
      <c r="Q359" s="2"/>
      <c r="R359" s="2"/>
      <c r="S359" s="2"/>
      <c r="T359" s="2"/>
      <c r="U359" s="2"/>
      <c r="V359" s="2"/>
      <c r="W359" s="2"/>
      <c r="X359" s="2"/>
      <c r="Y359" s="2"/>
      <c r="Z359" s="2"/>
      <c r="AA359" s="2"/>
      <c r="AB359" s="2"/>
      <c r="AC359" s="2"/>
      <c r="AD359" s="2"/>
    </row>
    <row r="360" spans="1:30" ht="13">
      <c r="A360" s="3"/>
      <c r="B360" s="2"/>
      <c r="C360" s="2"/>
      <c r="D360" s="3"/>
      <c r="E360" s="3"/>
      <c r="F360" s="1"/>
      <c r="G360" s="37"/>
      <c r="H360" s="1"/>
      <c r="I360" s="2"/>
      <c r="J360" s="2"/>
      <c r="K360" s="2"/>
      <c r="L360" s="2"/>
      <c r="M360" s="2"/>
      <c r="N360" s="3"/>
      <c r="O360" s="3"/>
      <c r="P360" s="2"/>
      <c r="Q360" s="2"/>
      <c r="R360" s="2"/>
      <c r="S360" s="2"/>
      <c r="T360" s="2"/>
      <c r="U360" s="2"/>
      <c r="V360" s="2"/>
      <c r="W360" s="2"/>
      <c r="X360" s="2"/>
      <c r="Y360" s="2"/>
      <c r="Z360" s="2"/>
      <c r="AA360" s="2"/>
      <c r="AB360" s="2"/>
      <c r="AC360" s="2"/>
      <c r="AD360" s="2"/>
    </row>
    <row r="361" spans="1:30" ht="13">
      <c r="A361" s="3"/>
      <c r="B361" s="2"/>
      <c r="C361" s="2"/>
      <c r="D361" s="3"/>
      <c r="E361" s="3"/>
      <c r="F361" s="1"/>
      <c r="G361" s="37"/>
      <c r="H361" s="1"/>
      <c r="I361" s="2"/>
      <c r="J361" s="2"/>
      <c r="K361" s="2"/>
      <c r="L361" s="2"/>
      <c r="M361" s="2"/>
      <c r="N361" s="3"/>
      <c r="O361" s="3"/>
      <c r="P361" s="2"/>
      <c r="Q361" s="2"/>
      <c r="R361" s="2"/>
      <c r="S361" s="2"/>
      <c r="T361" s="2"/>
      <c r="U361" s="2"/>
      <c r="V361" s="2"/>
      <c r="W361" s="2"/>
      <c r="X361" s="2"/>
      <c r="Y361" s="2"/>
      <c r="Z361" s="2"/>
      <c r="AA361" s="2"/>
      <c r="AB361" s="2"/>
      <c r="AC361" s="2"/>
      <c r="AD361" s="2"/>
    </row>
    <row r="362" spans="1:30" ht="13">
      <c r="A362" s="3"/>
      <c r="B362" s="2"/>
      <c r="C362" s="2"/>
      <c r="D362" s="3"/>
      <c r="E362" s="3"/>
      <c r="F362" s="1"/>
      <c r="G362" s="37"/>
      <c r="H362" s="1"/>
      <c r="I362" s="2"/>
      <c r="J362" s="2"/>
      <c r="K362" s="2"/>
      <c r="L362" s="2"/>
      <c r="M362" s="2"/>
      <c r="N362" s="3"/>
      <c r="O362" s="3"/>
      <c r="P362" s="2"/>
      <c r="Q362" s="2"/>
      <c r="R362" s="2"/>
      <c r="S362" s="2"/>
      <c r="T362" s="2"/>
      <c r="U362" s="2"/>
      <c r="V362" s="2"/>
      <c r="W362" s="2"/>
      <c r="X362" s="2"/>
      <c r="Y362" s="2"/>
      <c r="Z362" s="2"/>
      <c r="AA362" s="2"/>
      <c r="AB362" s="2"/>
      <c r="AC362" s="2"/>
      <c r="AD362" s="2"/>
    </row>
    <row r="363" spans="1:30" ht="13">
      <c r="A363" s="3"/>
      <c r="B363" s="2"/>
      <c r="C363" s="2"/>
      <c r="D363" s="3"/>
      <c r="E363" s="3"/>
      <c r="F363" s="1"/>
      <c r="G363" s="37"/>
      <c r="H363" s="1"/>
      <c r="I363" s="2"/>
      <c r="J363" s="2"/>
      <c r="K363" s="2"/>
      <c r="L363" s="2"/>
      <c r="M363" s="2"/>
      <c r="N363" s="3"/>
      <c r="O363" s="3"/>
      <c r="P363" s="2"/>
      <c r="Q363" s="2"/>
      <c r="R363" s="2"/>
      <c r="S363" s="2"/>
      <c r="T363" s="2"/>
      <c r="U363" s="2"/>
      <c r="V363" s="2"/>
      <c r="W363" s="2"/>
      <c r="X363" s="2"/>
      <c r="Y363" s="2"/>
      <c r="Z363" s="2"/>
      <c r="AA363" s="2"/>
      <c r="AB363" s="2"/>
      <c r="AC363" s="2"/>
      <c r="AD363" s="2"/>
    </row>
    <row r="364" spans="1:30" ht="13">
      <c r="A364" s="3"/>
      <c r="B364" s="2"/>
      <c r="C364" s="2"/>
      <c r="D364" s="3"/>
      <c r="E364" s="3"/>
      <c r="F364" s="1"/>
      <c r="G364" s="37"/>
      <c r="H364" s="1"/>
      <c r="I364" s="2"/>
      <c r="J364" s="2"/>
      <c r="K364" s="2"/>
      <c r="L364" s="2"/>
      <c r="M364" s="2"/>
      <c r="N364" s="3"/>
      <c r="O364" s="3"/>
      <c r="P364" s="2"/>
      <c r="Q364" s="2"/>
      <c r="R364" s="2"/>
      <c r="S364" s="2"/>
      <c r="T364" s="2"/>
      <c r="U364" s="2"/>
      <c r="V364" s="2"/>
      <c r="W364" s="2"/>
      <c r="X364" s="2"/>
      <c r="Y364" s="2"/>
      <c r="Z364" s="2"/>
      <c r="AA364" s="2"/>
      <c r="AB364" s="2"/>
      <c r="AC364" s="2"/>
      <c r="AD364" s="2"/>
    </row>
    <row r="365" spans="1:30" ht="13">
      <c r="A365" s="3"/>
      <c r="B365" s="2"/>
      <c r="C365" s="2"/>
      <c r="D365" s="3"/>
      <c r="E365" s="3"/>
      <c r="F365" s="1"/>
      <c r="G365" s="37"/>
      <c r="H365" s="1"/>
      <c r="I365" s="2"/>
      <c r="J365" s="2"/>
      <c r="K365" s="2"/>
      <c r="L365" s="2"/>
      <c r="M365" s="2"/>
      <c r="N365" s="3"/>
      <c r="O365" s="3"/>
      <c r="P365" s="2"/>
      <c r="Q365" s="2"/>
      <c r="R365" s="2"/>
      <c r="S365" s="2"/>
      <c r="T365" s="2"/>
      <c r="U365" s="2"/>
      <c r="V365" s="2"/>
      <c r="W365" s="2"/>
      <c r="X365" s="2"/>
      <c r="Y365" s="2"/>
      <c r="Z365" s="2"/>
      <c r="AA365" s="2"/>
      <c r="AB365" s="2"/>
      <c r="AC365" s="2"/>
      <c r="AD365" s="2"/>
    </row>
    <row r="366" spans="1:30" ht="13">
      <c r="A366" s="3"/>
      <c r="B366" s="2"/>
      <c r="C366" s="2"/>
      <c r="D366" s="3"/>
      <c r="E366" s="3"/>
      <c r="F366" s="1"/>
      <c r="G366" s="37"/>
      <c r="H366" s="1"/>
      <c r="I366" s="2"/>
      <c r="J366" s="2"/>
      <c r="K366" s="2"/>
      <c r="L366" s="2"/>
      <c r="M366" s="2"/>
      <c r="N366" s="3"/>
      <c r="O366" s="3"/>
      <c r="P366" s="2"/>
      <c r="Q366" s="2"/>
      <c r="R366" s="2"/>
      <c r="S366" s="2"/>
      <c r="T366" s="2"/>
      <c r="U366" s="2"/>
      <c r="V366" s="2"/>
      <c r="W366" s="2"/>
      <c r="X366" s="2"/>
      <c r="Y366" s="2"/>
      <c r="Z366" s="2"/>
      <c r="AA366" s="2"/>
      <c r="AB366" s="2"/>
      <c r="AC366" s="2"/>
      <c r="AD366" s="2"/>
    </row>
    <row r="367" spans="1:30" ht="13">
      <c r="A367" s="3"/>
      <c r="B367" s="2"/>
      <c r="C367" s="2"/>
      <c r="D367" s="3"/>
      <c r="E367" s="3"/>
      <c r="F367" s="1"/>
      <c r="G367" s="37"/>
      <c r="H367" s="1"/>
      <c r="I367" s="2"/>
      <c r="J367" s="2"/>
      <c r="K367" s="2"/>
      <c r="L367" s="2"/>
      <c r="M367" s="2"/>
      <c r="N367" s="3"/>
      <c r="O367" s="3"/>
      <c r="P367" s="2"/>
      <c r="Q367" s="2"/>
      <c r="R367" s="2"/>
      <c r="S367" s="2"/>
      <c r="T367" s="2"/>
      <c r="U367" s="2"/>
      <c r="V367" s="2"/>
      <c r="W367" s="2"/>
      <c r="X367" s="2"/>
      <c r="Y367" s="2"/>
      <c r="Z367" s="2"/>
      <c r="AA367" s="2"/>
      <c r="AB367" s="2"/>
      <c r="AC367" s="2"/>
      <c r="AD367" s="2"/>
    </row>
    <row r="368" spans="1:30" ht="13">
      <c r="A368" s="3"/>
      <c r="B368" s="2"/>
      <c r="C368" s="2"/>
      <c r="D368" s="3"/>
      <c r="E368" s="3"/>
      <c r="F368" s="1"/>
      <c r="G368" s="37"/>
      <c r="H368" s="1"/>
      <c r="I368" s="2"/>
      <c r="J368" s="2"/>
      <c r="K368" s="2"/>
      <c r="L368" s="2"/>
      <c r="M368" s="2"/>
      <c r="N368" s="3"/>
      <c r="O368" s="3"/>
      <c r="P368" s="2"/>
      <c r="Q368" s="2"/>
      <c r="R368" s="2"/>
      <c r="S368" s="2"/>
      <c r="T368" s="2"/>
      <c r="U368" s="2"/>
      <c r="V368" s="2"/>
      <c r="W368" s="2"/>
      <c r="X368" s="2"/>
      <c r="Y368" s="2"/>
      <c r="Z368" s="2"/>
      <c r="AA368" s="2"/>
      <c r="AB368" s="2"/>
      <c r="AC368" s="2"/>
      <c r="AD368" s="2"/>
    </row>
    <row r="369" spans="1:30" ht="13">
      <c r="A369" s="3"/>
      <c r="B369" s="2"/>
      <c r="C369" s="2"/>
      <c r="D369" s="3"/>
      <c r="E369" s="3"/>
      <c r="F369" s="1"/>
      <c r="G369" s="37"/>
      <c r="H369" s="1"/>
      <c r="I369" s="2"/>
      <c r="J369" s="2"/>
      <c r="K369" s="2"/>
      <c r="L369" s="2"/>
      <c r="M369" s="2"/>
      <c r="N369" s="3"/>
      <c r="O369" s="3"/>
      <c r="P369" s="2"/>
      <c r="Q369" s="2"/>
      <c r="R369" s="2"/>
      <c r="S369" s="2"/>
      <c r="T369" s="2"/>
      <c r="U369" s="2"/>
      <c r="V369" s="2"/>
      <c r="W369" s="2"/>
      <c r="X369" s="2"/>
      <c r="Y369" s="2"/>
      <c r="Z369" s="2"/>
      <c r="AA369" s="2"/>
      <c r="AB369" s="2"/>
      <c r="AC369" s="2"/>
      <c r="AD369" s="2"/>
    </row>
    <row r="370" spans="1:30" ht="13">
      <c r="A370" s="3"/>
      <c r="B370" s="2"/>
      <c r="C370" s="2"/>
      <c r="D370" s="3"/>
      <c r="E370" s="3"/>
      <c r="F370" s="1"/>
      <c r="G370" s="37"/>
      <c r="H370" s="1"/>
      <c r="I370" s="2"/>
      <c r="J370" s="2"/>
      <c r="K370" s="2"/>
      <c r="L370" s="2"/>
      <c r="M370" s="2"/>
      <c r="N370" s="3"/>
      <c r="O370" s="3"/>
      <c r="P370" s="2"/>
      <c r="Q370" s="2"/>
      <c r="R370" s="2"/>
      <c r="S370" s="2"/>
      <c r="T370" s="2"/>
      <c r="U370" s="2"/>
      <c r="V370" s="2"/>
      <c r="W370" s="2"/>
      <c r="X370" s="2"/>
      <c r="Y370" s="2"/>
      <c r="Z370" s="2"/>
      <c r="AA370" s="2"/>
      <c r="AB370" s="2"/>
      <c r="AC370" s="2"/>
      <c r="AD370" s="2"/>
    </row>
    <row r="371" spans="1:30" ht="13">
      <c r="A371" s="3"/>
      <c r="B371" s="2"/>
      <c r="C371" s="2"/>
      <c r="D371" s="3"/>
      <c r="E371" s="3"/>
      <c r="F371" s="1"/>
      <c r="G371" s="37"/>
      <c r="H371" s="1"/>
      <c r="I371" s="2"/>
      <c r="J371" s="2"/>
      <c r="K371" s="2"/>
      <c r="L371" s="2"/>
      <c r="M371" s="2"/>
      <c r="N371" s="3"/>
      <c r="O371" s="3"/>
      <c r="P371" s="2"/>
      <c r="Q371" s="2"/>
      <c r="R371" s="2"/>
      <c r="S371" s="2"/>
      <c r="T371" s="2"/>
      <c r="U371" s="2"/>
      <c r="V371" s="2"/>
      <c r="W371" s="2"/>
      <c r="X371" s="2"/>
      <c r="Y371" s="2"/>
      <c r="Z371" s="2"/>
      <c r="AA371" s="2"/>
      <c r="AB371" s="2"/>
      <c r="AC371" s="2"/>
      <c r="AD371" s="2"/>
    </row>
    <row r="372" spans="1:30" ht="13">
      <c r="A372" s="3"/>
      <c r="B372" s="2"/>
      <c r="C372" s="2"/>
      <c r="D372" s="3"/>
      <c r="E372" s="3"/>
      <c r="F372" s="1"/>
      <c r="G372" s="37"/>
      <c r="H372" s="1"/>
      <c r="I372" s="2"/>
      <c r="J372" s="2"/>
      <c r="K372" s="2"/>
      <c r="L372" s="2"/>
      <c r="M372" s="2"/>
      <c r="N372" s="3"/>
      <c r="O372" s="3"/>
      <c r="P372" s="2"/>
      <c r="Q372" s="2"/>
      <c r="R372" s="2"/>
      <c r="S372" s="2"/>
      <c r="T372" s="2"/>
      <c r="U372" s="2"/>
      <c r="V372" s="2"/>
      <c r="W372" s="2"/>
      <c r="X372" s="2"/>
      <c r="Y372" s="2"/>
      <c r="Z372" s="2"/>
      <c r="AA372" s="2"/>
      <c r="AB372" s="2"/>
      <c r="AC372" s="2"/>
      <c r="AD372" s="2"/>
    </row>
    <row r="373" spans="1:30" ht="13">
      <c r="A373" s="3"/>
      <c r="B373" s="2"/>
      <c r="C373" s="2"/>
      <c r="D373" s="3"/>
      <c r="E373" s="3"/>
      <c r="F373" s="1"/>
      <c r="G373" s="37"/>
      <c r="H373" s="1"/>
      <c r="I373" s="2"/>
      <c r="J373" s="2"/>
      <c r="K373" s="2"/>
      <c r="L373" s="2"/>
      <c r="M373" s="2"/>
      <c r="N373" s="3"/>
      <c r="O373" s="3"/>
      <c r="P373" s="2"/>
      <c r="Q373" s="2"/>
      <c r="R373" s="2"/>
      <c r="S373" s="2"/>
      <c r="T373" s="2"/>
      <c r="U373" s="2"/>
      <c r="V373" s="2"/>
      <c r="W373" s="2"/>
      <c r="X373" s="2"/>
      <c r="Y373" s="2"/>
      <c r="Z373" s="2"/>
      <c r="AA373" s="2"/>
      <c r="AB373" s="2"/>
      <c r="AC373" s="2"/>
      <c r="AD373" s="2"/>
    </row>
    <row r="374" spans="1:30" ht="13">
      <c r="A374" s="3"/>
      <c r="B374" s="2"/>
      <c r="C374" s="2"/>
      <c r="D374" s="3"/>
      <c r="E374" s="3"/>
      <c r="F374" s="1"/>
      <c r="G374" s="37"/>
      <c r="H374" s="1"/>
      <c r="I374" s="2"/>
      <c r="J374" s="2"/>
      <c r="K374" s="2"/>
      <c r="L374" s="2"/>
      <c r="M374" s="2"/>
      <c r="N374" s="3"/>
      <c r="O374" s="3"/>
      <c r="P374" s="2"/>
      <c r="Q374" s="2"/>
      <c r="R374" s="2"/>
      <c r="S374" s="2"/>
      <c r="T374" s="2"/>
      <c r="U374" s="2"/>
      <c r="V374" s="2"/>
      <c r="W374" s="2"/>
      <c r="X374" s="2"/>
      <c r="Y374" s="2"/>
      <c r="Z374" s="2"/>
      <c r="AA374" s="2"/>
      <c r="AB374" s="2"/>
      <c r="AC374" s="2"/>
      <c r="AD374" s="2"/>
    </row>
    <row r="375" spans="1:30" ht="13">
      <c r="A375" s="3"/>
      <c r="B375" s="2"/>
      <c r="C375" s="2"/>
      <c r="D375" s="3"/>
      <c r="E375" s="3"/>
      <c r="F375" s="1"/>
      <c r="G375" s="37"/>
      <c r="H375" s="1"/>
      <c r="I375" s="2"/>
      <c r="J375" s="2"/>
      <c r="K375" s="2"/>
      <c r="L375" s="2"/>
      <c r="M375" s="2"/>
      <c r="N375" s="3"/>
      <c r="O375" s="3"/>
      <c r="P375" s="2"/>
      <c r="Q375" s="2"/>
      <c r="R375" s="2"/>
      <c r="S375" s="2"/>
      <c r="T375" s="2"/>
      <c r="U375" s="2"/>
      <c r="V375" s="2"/>
      <c r="W375" s="2"/>
      <c r="X375" s="2"/>
      <c r="Y375" s="2"/>
      <c r="Z375" s="2"/>
      <c r="AA375" s="2"/>
      <c r="AB375" s="2"/>
      <c r="AC375" s="2"/>
      <c r="AD375" s="2"/>
    </row>
    <row r="376" spans="1:30" ht="13">
      <c r="A376" s="3"/>
      <c r="B376" s="2"/>
      <c r="C376" s="2"/>
      <c r="D376" s="3"/>
      <c r="E376" s="3"/>
      <c r="F376" s="1"/>
      <c r="G376" s="37"/>
      <c r="H376" s="1"/>
      <c r="I376" s="2"/>
      <c r="J376" s="2"/>
      <c r="K376" s="2"/>
      <c r="L376" s="2"/>
      <c r="M376" s="2"/>
      <c r="N376" s="3"/>
      <c r="O376" s="3"/>
      <c r="P376" s="2"/>
      <c r="Q376" s="2"/>
      <c r="R376" s="2"/>
      <c r="S376" s="2"/>
      <c r="T376" s="2"/>
      <c r="U376" s="2"/>
      <c r="V376" s="2"/>
      <c r="W376" s="2"/>
      <c r="X376" s="2"/>
      <c r="Y376" s="2"/>
      <c r="Z376" s="2"/>
      <c r="AA376" s="2"/>
      <c r="AB376" s="2"/>
      <c r="AC376" s="2"/>
      <c r="AD376" s="2"/>
    </row>
    <row r="377" spans="1:30" ht="13">
      <c r="A377" s="3"/>
      <c r="B377" s="2"/>
      <c r="C377" s="2"/>
      <c r="D377" s="3"/>
      <c r="E377" s="3"/>
      <c r="F377" s="1"/>
      <c r="G377" s="37"/>
      <c r="H377" s="1"/>
      <c r="I377" s="2"/>
      <c r="J377" s="2"/>
      <c r="K377" s="2"/>
      <c r="L377" s="2"/>
      <c r="M377" s="2"/>
      <c r="N377" s="3"/>
      <c r="O377" s="3"/>
      <c r="P377" s="2"/>
      <c r="Q377" s="2"/>
      <c r="R377" s="2"/>
      <c r="S377" s="2"/>
      <c r="T377" s="2"/>
      <c r="U377" s="2"/>
      <c r="V377" s="2"/>
      <c r="W377" s="2"/>
      <c r="X377" s="2"/>
      <c r="Y377" s="2"/>
      <c r="Z377" s="2"/>
      <c r="AA377" s="2"/>
      <c r="AB377" s="2"/>
      <c r="AC377" s="2"/>
      <c r="AD377" s="2"/>
    </row>
    <row r="378" spans="1:30" ht="13">
      <c r="A378" s="3"/>
      <c r="B378" s="2"/>
      <c r="C378" s="2"/>
      <c r="D378" s="3"/>
      <c r="E378" s="3"/>
      <c r="F378" s="1"/>
      <c r="G378" s="37"/>
      <c r="H378" s="1"/>
      <c r="I378" s="2"/>
      <c r="J378" s="2"/>
      <c r="K378" s="2"/>
      <c r="L378" s="2"/>
      <c r="M378" s="2"/>
      <c r="N378" s="3"/>
      <c r="O378" s="3"/>
      <c r="P378" s="2"/>
      <c r="Q378" s="2"/>
      <c r="R378" s="2"/>
      <c r="S378" s="2"/>
      <c r="T378" s="2"/>
      <c r="U378" s="2"/>
      <c r="V378" s="2"/>
      <c r="W378" s="2"/>
      <c r="X378" s="2"/>
      <c r="Y378" s="2"/>
      <c r="Z378" s="2"/>
      <c r="AA378" s="2"/>
      <c r="AB378" s="2"/>
      <c r="AC378" s="2"/>
      <c r="AD378" s="2"/>
    </row>
    <row r="379" spans="1:30" ht="13">
      <c r="A379" s="3"/>
      <c r="B379" s="2"/>
      <c r="C379" s="2"/>
      <c r="D379" s="3"/>
      <c r="E379" s="3"/>
      <c r="F379" s="1"/>
      <c r="G379" s="37"/>
      <c r="H379" s="1"/>
      <c r="I379" s="2"/>
      <c r="J379" s="2"/>
      <c r="K379" s="2"/>
      <c r="L379" s="2"/>
      <c r="M379" s="2"/>
      <c r="N379" s="3"/>
      <c r="O379" s="3"/>
      <c r="P379" s="2"/>
      <c r="Q379" s="2"/>
      <c r="R379" s="2"/>
      <c r="S379" s="2"/>
      <c r="T379" s="2"/>
      <c r="U379" s="2"/>
      <c r="V379" s="2"/>
      <c r="W379" s="2"/>
      <c r="X379" s="2"/>
      <c r="Y379" s="2"/>
      <c r="Z379" s="2"/>
      <c r="AA379" s="2"/>
      <c r="AB379" s="2"/>
      <c r="AC379" s="2"/>
      <c r="AD379" s="2"/>
    </row>
    <row r="380" spans="1:30" ht="13">
      <c r="A380" s="3"/>
      <c r="B380" s="2"/>
      <c r="C380" s="2"/>
      <c r="D380" s="3"/>
      <c r="E380" s="3"/>
      <c r="F380" s="1"/>
      <c r="G380" s="37"/>
      <c r="H380" s="1"/>
      <c r="I380" s="2"/>
      <c r="J380" s="2"/>
      <c r="K380" s="2"/>
      <c r="L380" s="2"/>
      <c r="M380" s="2"/>
      <c r="N380" s="3"/>
      <c r="O380" s="3"/>
      <c r="P380" s="2"/>
      <c r="Q380" s="2"/>
      <c r="R380" s="2"/>
      <c r="S380" s="2"/>
      <c r="T380" s="2"/>
      <c r="U380" s="2"/>
      <c r="V380" s="2"/>
      <c r="W380" s="2"/>
      <c r="X380" s="2"/>
      <c r="Y380" s="2"/>
      <c r="Z380" s="2"/>
      <c r="AA380" s="2"/>
      <c r="AB380" s="2"/>
      <c r="AC380" s="2"/>
      <c r="AD380" s="2"/>
    </row>
    <row r="381" spans="1:30" ht="13">
      <c r="A381" s="3"/>
      <c r="B381" s="2"/>
      <c r="C381" s="2"/>
      <c r="D381" s="3"/>
      <c r="E381" s="3"/>
      <c r="F381" s="1"/>
      <c r="G381" s="37"/>
      <c r="H381" s="1"/>
      <c r="I381" s="2"/>
      <c r="J381" s="2"/>
      <c r="K381" s="2"/>
      <c r="L381" s="2"/>
      <c r="M381" s="2"/>
      <c r="N381" s="3"/>
      <c r="O381" s="3"/>
      <c r="P381" s="2"/>
      <c r="Q381" s="2"/>
      <c r="R381" s="2"/>
      <c r="S381" s="2"/>
      <c r="T381" s="2"/>
      <c r="U381" s="2"/>
      <c r="V381" s="2"/>
      <c r="W381" s="2"/>
      <c r="X381" s="2"/>
      <c r="Y381" s="2"/>
      <c r="Z381" s="2"/>
      <c r="AA381" s="2"/>
      <c r="AB381" s="2"/>
      <c r="AC381" s="2"/>
      <c r="AD381" s="2"/>
    </row>
    <row r="382" spans="1:30" ht="13">
      <c r="A382" s="3"/>
      <c r="B382" s="2"/>
      <c r="C382" s="2"/>
      <c r="D382" s="3"/>
      <c r="E382" s="3"/>
      <c r="F382" s="1"/>
      <c r="G382" s="37"/>
      <c r="H382" s="1"/>
      <c r="I382" s="2"/>
      <c r="J382" s="2"/>
      <c r="K382" s="2"/>
      <c r="L382" s="2"/>
      <c r="M382" s="2"/>
      <c r="N382" s="3"/>
      <c r="O382" s="3"/>
      <c r="P382" s="2"/>
      <c r="Q382" s="2"/>
      <c r="R382" s="2"/>
      <c r="S382" s="2"/>
      <c r="T382" s="2"/>
      <c r="U382" s="2"/>
      <c r="V382" s="2"/>
      <c r="W382" s="2"/>
      <c r="X382" s="2"/>
      <c r="Y382" s="2"/>
      <c r="Z382" s="2"/>
      <c r="AA382" s="2"/>
      <c r="AB382" s="2"/>
      <c r="AC382" s="2"/>
      <c r="AD382" s="2"/>
    </row>
    <row r="383" spans="1:30" ht="13">
      <c r="A383" s="3"/>
      <c r="B383" s="2"/>
      <c r="C383" s="2"/>
      <c r="D383" s="3"/>
      <c r="E383" s="3"/>
      <c r="F383" s="1"/>
      <c r="G383" s="37"/>
      <c r="H383" s="1"/>
      <c r="I383" s="2"/>
      <c r="J383" s="2"/>
      <c r="K383" s="2"/>
      <c r="L383" s="2"/>
      <c r="M383" s="2"/>
      <c r="N383" s="3"/>
      <c r="O383" s="3"/>
      <c r="P383" s="2"/>
      <c r="Q383" s="2"/>
      <c r="R383" s="2"/>
      <c r="S383" s="2"/>
      <c r="T383" s="2"/>
      <c r="U383" s="2"/>
      <c r="V383" s="2"/>
      <c r="W383" s="2"/>
      <c r="X383" s="2"/>
      <c r="Y383" s="2"/>
      <c r="Z383" s="2"/>
      <c r="AA383" s="2"/>
      <c r="AB383" s="2"/>
      <c r="AC383" s="2"/>
      <c r="AD383" s="2"/>
    </row>
    <row r="384" spans="1:30" ht="13">
      <c r="A384" s="3"/>
      <c r="B384" s="2"/>
      <c r="C384" s="2"/>
      <c r="D384" s="3"/>
      <c r="E384" s="3"/>
      <c r="F384" s="1"/>
      <c r="G384" s="37"/>
      <c r="H384" s="1"/>
      <c r="I384" s="2"/>
      <c r="J384" s="2"/>
      <c r="K384" s="2"/>
      <c r="L384" s="2"/>
      <c r="M384" s="2"/>
      <c r="N384" s="3"/>
      <c r="O384" s="3"/>
      <c r="P384" s="2"/>
      <c r="Q384" s="2"/>
      <c r="R384" s="2"/>
      <c r="S384" s="2"/>
      <c r="T384" s="2"/>
      <c r="U384" s="2"/>
      <c r="V384" s="2"/>
      <c r="W384" s="2"/>
      <c r="X384" s="2"/>
      <c r="Y384" s="2"/>
      <c r="Z384" s="2"/>
      <c r="AA384" s="2"/>
      <c r="AB384" s="2"/>
      <c r="AC384" s="2"/>
      <c r="AD384" s="2"/>
    </row>
    <row r="385" spans="1:30" ht="13">
      <c r="A385" s="3"/>
      <c r="B385" s="2"/>
      <c r="C385" s="2"/>
      <c r="D385" s="3"/>
      <c r="E385" s="3"/>
      <c r="F385" s="1"/>
      <c r="G385" s="37"/>
      <c r="H385" s="1"/>
      <c r="I385" s="2"/>
      <c r="J385" s="2"/>
      <c r="K385" s="2"/>
      <c r="L385" s="2"/>
      <c r="M385" s="2"/>
      <c r="N385" s="3"/>
      <c r="O385" s="3"/>
      <c r="P385" s="2"/>
      <c r="Q385" s="2"/>
      <c r="R385" s="2"/>
      <c r="S385" s="2"/>
      <c r="T385" s="2"/>
      <c r="U385" s="2"/>
      <c r="V385" s="2"/>
      <c r="W385" s="2"/>
      <c r="X385" s="2"/>
      <c r="Y385" s="2"/>
      <c r="Z385" s="2"/>
      <c r="AA385" s="2"/>
      <c r="AB385" s="2"/>
      <c r="AC385" s="2"/>
      <c r="AD385" s="2"/>
    </row>
    <row r="386" spans="1:30" ht="13">
      <c r="A386" s="3"/>
      <c r="B386" s="2"/>
      <c r="C386" s="2"/>
      <c r="D386" s="3"/>
      <c r="E386" s="3"/>
      <c r="F386" s="1"/>
      <c r="G386" s="37"/>
      <c r="H386" s="1"/>
      <c r="I386" s="2"/>
      <c r="J386" s="2"/>
      <c r="K386" s="2"/>
      <c r="L386" s="2"/>
      <c r="M386" s="2"/>
      <c r="N386" s="3"/>
      <c r="O386" s="3"/>
      <c r="P386" s="2"/>
      <c r="Q386" s="2"/>
      <c r="R386" s="2"/>
      <c r="S386" s="2"/>
      <c r="T386" s="2"/>
      <c r="U386" s="2"/>
      <c r="V386" s="2"/>
      <c r="W386" s="2"/>
      <c r="X386" s="2"/>
      <c r="Y386" s="2"/>
      <c r="Z386" s="2"/>
      <c r="AA386" s="2"/>
      <c r="AB386" s="2"/>
      <c r="AC386" s="2"/>
      <c r="AD386" s="2"/>
    </row>
    <row r="387" spans="1:30" ht="13">
      <c r="A387" s="3"/>
      <c r="B387" s="2"/>
      <c r="C387" s="2"/>
      <c r="D387" s="3"/>
      <c r="E387" s="3"/>
      <c r="F387" s="1"/>
      <c r="G387" s="37"/>
      <c r="H387" s="1"/>
      <c r="I387" s="2"/>
      <c r="J387" s="2"/>
      <c r="K387" s="2"/>
      <c r="L387" s="2"/>
      <c r="M387" s="2"/>
      <c r="N387" s="3"/>
      <c r="O387" s="3"/>
      <c r="P387" s="2"/>
      <c r="Q387" s="2"/>
      <c r="R387" s="2"/>
      <c r="S387" s="2"/>
      <c r="T387" s="2"/>
      <c r="U387" s="2"/>
      <c r="V387" s="2"/>
      <c r="W387" s="2"/>
      <c r="X387" s="2"/>
      <c r="Y387" s="2"/>
      <c r="Z387" s="2"/>
      <c r="AA387" s="2"/>
      <c r="AB387" s="2"/>
      <c r="AC387" s="2"/>
      <c r="AD387" s="2"/>
    </row>
    <row r="388" spans="1:30" ht="13">
      <c r="A388" s="3"/>
      <c r="B388" s="2"/>
      <c r="C388" s="2"/>
      <c r="D388" s="3"/>
      <c r="E388" s="3"/>
      <c r="F388" s="1"/>
      <c r="G388" s="37"/>
      <c r="H388" s="1"/>
      <c r="I388" s="2"/>
      <c r="J388" s="2"/>
      <c r="K388" s="2"/>
      <c r="L388" s="2"/>
      <c r="M388" s="2"/>
      <c r="N388" s="3"/>
      <c r="O388" s="3"/>
      <c r="P388" s="2"/>
      <c r="Q388" s="2"/>
      <c r="R388" s="2"/>
      <c r="S388" s="2"/>
      <c r="T388" s="2"/>
      <c r="U388" s="2"/>
      <c r="V388" s="2"/>
      <c r="W388" s="2"/>
      <c r="X388" s="2"/>
      <c r="Y388" s="2"/>
      <c r="Z388" s="2"/>
      <c r="AA388" s="2"/>
      <c r="AB388" s="2"/>
      <c r="AC388" s="2"/>
      <c r="AD388" s="2"/>
    </row>
    <row r="389" spans="1:30" ht="13">
      <c r="A389" s="3"/>
      <c r="B389" s="2"/>
      <c r="C389" s="2"/>
      <c r="D389" s="3"/>
      <c r="E389" s="3"/>
      <c r="F389" s="1"/>
      <c r="G389" s="37"/>
      <c r="H389" s="1"/>
      <c r="I389" s="2"/>
      <c r="J389" s="2"/>
      <c r="K389" s="2"/>
      <c r="L389" s="2"/>
      <c r="M389" s="2"/>
      <c r="N389" s="3"/>
      <c r="O389" s="3"/>
      <c r="P389" s="2"/>
      <c r="Q389" s="2"/>
      <c r="R389" s="2"/>
      <c r="S389" s="2"/>
      <c r="T389" s="2"/>
      <c r="U389" s="2"/>
      <c r="V389" s="2"/>
      <c r="W389" s="2"/>
      <c r="X389" s="2"/>
      <c r="Y389" s="2"/>
      <c r="Z389" s="2"/>
      <c r="AA389" s="2"/>
      <c r="AB389" s="2"/>
      <c r="AC389" s="2"/>
      <c r="AD389" s="2"/>
    </row>
    <row r="390" spans="1:30" ht="13">
      <c r="A390" s="3"/>
      <c r="B390" s="2"/>
      <c r="C390" s="2"/>
      <c r="D390" s="3"/>
      <c r="E390" s="3"/>
      <c r="F390" s="1"/>
      <c r="G390" s="37"/>
      <c r="H390" s="1"/>
      <c r="I390" s="2"/>
      <c r="J390" s="2"/>
      <c r="K390" s="2"/>
      <c r="L390" s="2"/>
      <c r="M390" s="2"/>
      <c r="N390" s="3"/>
      <c r="O390" s="3"/>
      <c r="P390" s="2"/>
      <c r="Q390" s="2"/>
      <c r="R390" s="2"/>
      <c r="S390" s="2"/>
      <c r="T390" s="2"/>
      <c r="U390" s="2"/>
      <c r="V390" s="2"/>
      <c r="W390" s="2"/>
      <c r="X390" s="2"/>
      <c r="Y390" s="2"/>
      <c r="Z390" s="2"/>
      <c r="AA390" s="2"/>
      <c r="AB390" s="2"/>
      <c r="AC390" s="2"/>
      <c r="AD390" s="2"/>
    </row>
    <row r="391" spans="1:30" ht="13">
      <c r="A391" s="3"/>
      <c r="B391" s="2"/>
      <c r="C391" s="2"/>
      <c r="D391" s="3"/>
      <c r="E391" s="3"/>
      <c r="F391" s="1"/>
      <c r="G391" s="37"/>
      <c r="H391" s="1"/>
      <c r="I391" s="2"/>
      <c r="J391" s="2"/>
      <c r="K391" s="2"/>
      <c r="L391" s="2"/>
      <c r="M391" s="2"/>
      <c r="N391" s="3"/>
      <c r="O391" s="3"/>
      <c r="P391" s="2"/>
      <c r="Q391" s="2"/>
      <c r="R391" s="2"/>
      <c r="S391" s="2"/>
      <c r="T391" s="2"/>
      <c r="U391" s="2"/>
      <c r="V391" s="2"/>
      <c r="W391" s="2"/>
      <c r="X391" s="2"/>
      <c r="Y391" s="2"/>
      <c r="Z391" s="2"/>
      <c r="AA391" s="2"/>
      <c r="AB391" s="2"/>
      <c r="AC391" s="2"/>
      <c r="AD391" s="2"/>
    </row>
    <row r="392" spans="1:30" ht="13">
      <c r="A392" s="3"/>
      <c r="B392" s="2"/>
      <c r="C392" s="2"/>
      <c r="D392" s="3"/>
      <c r="E392" s="3"/>
      <c r="F392" s="1"/>
      <c r="G392" s="37"/>
      <c r="H392" s="1"/>
      <c r="I392" s="2"/>
      <c r="J392" s="2"/>
      <c r="K392" s="2"/>
      <c r="L392" s="2"/>
      <c r="M392" s="2"/>
      <c r="N392" s="3"/>
      <c r="O392" s="3"/>
      <c r="P392" s="2"/>
      <c r="Q392" s="2"/>
      <c r="R392" s="2"/>
      <c r="S392" s="2"/>
      <c r="T392" s="2"/>
      <c r="U392" s="2"/>
      <c r="V392" s="2"/>
      <c r="W392" s="2"/>
      <c r="X392" s="2"/>
      <c r="Y392" s="2"/>
      <c r="Z392" s="2"/>
      <c r="AA392" s="2"/>
      <c r="AB392" s="2"/>
      <c r="AC392" s="2"/>
      <c r="AD392" s="2"/>
    </row>
    <row r="393" spans="1:30" ht="13">
      <c r="A393" s="3"/>
      <c r="B393" s="2"/>
      <c r="C393" s="2"/>
      <c r="D393" s="3"/>
      <c r="E393" s="3"/>
      <c r="F393" s="1"/>
      <c r="G393" s="37"/>
      <c r="H393" s="1"/>
      <c r="I393" s="2"/>
      <c r="J393" s="2"/>
      <c r="K393" s="2"/>
      <c r="L393" s="2"/>
      <c r="M393" s="2"/>
      <c r="N393" s="3"/>
      <c r="O393" s="3"/>
      <c r="P393" s="2"/>
      <c r="Q393" s="2"/>
      <c r="R393" s="2"/>
      <c r="S393" s="2"/>
      <c r="T393" s="2"/>
      <c r="U393" s="2"/>
      <c r="V393" s="2"/>
      <c r="W393" s="2"/>
      <c r="X393" s="2"/>
      <c r="Y393" s="2"/>
      <c r="Z393" s="2"/>
      <c r="AA393" s="2"/>
      <c r="AB393" s="2"/>
      <c r="AC393" s="2"/>
      <c r="AD393" s="2"/>
    </row>
    <row r="394" spans="1:30" ht="13">
      <c r="A394" s="3"/>
      <c r="B394" s="2"/>
      <c r="C394" s="2"/>
      <c r="D394" s="3"/>
      <c r="E394" s="3"/>
      <c r="F394" s="1"/>
      <c r="G394" s="37"/>
      <c r="H394" s="1"/>
      <c r="I394" s="2"/>
      <c r="J394" s="2"/>
      <c r="K394" s="2"/>
      <c r="L394" s="2"/>
      <c r="M394" s="2"/>
      <c r="N394" s="3"/>
      <c r="O394" s="3"/>
      <c r="P394" s="2"/>
      <c r="Q394" s="2"/>
      <c r="R394" s="2"/>
      <c r="S394" s="2"/>
      <c r="T394" s="2"/>
      <c r="U394" s="2"/>
      <c r="V394" s="2"/>
      <c r="W394" s="2"/>
      <c r="X394" s="2"/>
      <c r="Y394" s="2"/>
      <c r="Z394" s="2"/>
      <c r="AA394" s="2"/>
      <c r="AB394" s="2"/>
      <c r="AC394" s="2"/>
      <c r="AD394" s="2"/>
    </row>
    <row r="395" spans="1:30" ht="13">
      <c r="A395" s="3"/>
      <c r="B395" s="2"/>
      <c r="C395" s="2"/>
      <c r="D395" s="3"/>
      <c r="E395" s="3"/>
      <c r="F395" s="1"/>
      <c r="G395" s="37"/>
      <c r="H395" s="1"/>
      <c r="I395" s="2"/>
      <c r="J395" s="2"/>
      <c r="K395" s="2"/>
      <c r="L395" s="2"/>
      <c r="M395" s="2"/>
      <c r="N395" s="3"/>
      <c r="O395" s="3"/>
      <c r="P395" s="2"/>
      <c r="Q395" s="2"/>
      <c r="R395" s="2"/>
      <c r="S395" s="2"/>
      <c r="T395" s="2"/>
      <c r="U395" s="2"/>
      <c r="V395" s="2"/>
      <c r="W395" s="2"/>
      <c r="X395" s="2"/>
      <c r="Y395" s="2"/>
      <c r="Z395" s="2"/>
      <c r="AA395" s="2"/>
      <c r="AB395" s="2"/>
      <c r="AC395" s="2"/>
      <c r="AD395" s="2"/>
    </row>
    <row r="396" spans="1:30" ht="13">
      <c r="A396" s="3"/>
      <c r="B396" s="2"/>
      <c r="C396" s="2"/>
      <c r="D396" s="3"/>
      <c r="E396" s="3"/>
      <c r="F396" s="1"/>
      <c r="G396" s="37"/>
      <c r="H396" s="1"/>
      <c r="I396" s="2"/>
      <c r="J396" s="2"/>
      <c r="K396" s="2"/>
      <c r="L396" s="2"/>
      <c r="M396" s="2"/>
      <c r="N396" s="3"/>
      <c r="O396" s="3"/>
      <c r="P396" s="2"/>
      <c r="Q396" s="2"/>
      <c r="R396" s="2"/>
      <c r="S396" s="2"/>
      <c r="T396" s="2"/>
      <c r="U396" s="2"/>
      <c r="V396" s="2"/>
      <c r="W396" s="2"/>
      <c r="X396" s="2"/>
      <c r="Y396" s="2"/>
      <c r="Z396" s="2"/>
      <c r="AA396" s="2"/>
      <c r="AB396" s="2"/>
      <c r="AC396" s="2"/>
      <c r="AD396" s="2"/>
    </row>
    <row r="397" spans="1:30" ht="13">
      <c r="A397" s="3"/>
      <c r="B397" s="2"/>
      <c r="C397" s="2"/>
      <c r="D397" s="3"/>
      <c r="E397" s="3"/>
      <c r="F397" s="1"/>
      <c r="G397" s="37"/>
      <c r="H397" s="1"/>
      <c r="I397" s="2"/>
      <c r="J397" s="2"/>
      <c r="K397" s="2"/>
      <c r="L397" s="2"/>
      <c r="M397" s="2"/>
      <c r="N397" s="3"/>
      <c r="O397" s="3"/>
      <c r="P397" s="2"/>
      <c r="Q397" s="2"/>
      <c r="R397" s="2"/>
      <c r="S397" s="2"/>
      <c r="T397" s="2"/>
      <c r="U397" s="2"/>
      <c r="V397" s="2"/>
      <c r="W397" s="2"/>
      <c r="X397" s="2"/>
      <c r="Y397" s="2"/>
      <c r="Z397" s="2"/>
      <c r="AA397" s="2"/>
      <c r="AB397" s="2"/>
      <c r="AC397" s="2"/>
      <c r="AD397" s="2"/>
    </row>
    <row r="398" spans="1:30" ht="13">
      <c r="A398" s="3"/>
      <c r="B398" s="2"/>
      <c r="C398" s="2"/>
      <c r="D398" s="3"/>
      <c r="E398" s="3"/>
      <c r="F398" s="1"/>
      <c r="G398" s="37"/>
      <c r="H398" s="1"/>
      <c r="I398" s="2"/>
      <c r="J398" s="2"/>
      <c r="K398" s="2"/>
      <c r="L398" s="2"/>
      <c r="M398" s="2"/>
      <c r="N398" s="3"/>
      <c r="O398" s="3"/>
      <c r="P398" s="2"/>
      <c r="Q398" s="2"/>
      <c r="R398" s="2"/>
      <c r="S398" s="2"/>
      <c r="T398" s="2"/>
      <c r="U398" s="2"/>
      <c r="V398" s="2"/>
      <c r="W398" s="2"/>
      <c r="X398" s="2"/>
      <c r="Y398" s="2"/>
      <c r="Z398" s="2"/>
      <c r="AA398" s="2"/>
      <c r="AB398" s="2"/>
      <c r="AC398" s="2"/>
      <c r="AD398" s="2"/>
    </row>
    <row r="399" spans="1:30" ht="13">
      <c r="A399" s="3"/>
      <c r="B399" s="2"/>
      <c r="C399" s="2"/>
      <c r="D399" s="3"/>
      <c r="E399" s="3"/>
      <c r="F399" s="1"/>
      <c r="G399" s="37"/>
      <c r="H399" s="1"/>
      <c r="I399" s="2"/>
      <c r="J399" s="2"/>
      <c r="K399" s="2"/>
      <c r="L399" s="2"/>
      <c r="M399" s="2"/>
      <c r="N399" s="3"/>
      <c r="O399" s="3"/>
      <c r="P399" s="2"/>
      <c r="Q399" s="2"/>
      <c r="R399" s="2"/>
      <c r="S399" s="2"/>
      <c r="T399" s="2"/>
      <c r="U399" s="2"/>
      <c r="V399" s="2"/>
      <c r="W399" s="2"/>
      <c r="X399" s="2"/>
      <c r="Y399" s="2"/>
      <c r="Z399" s="2"/>
      <c r="AA399" s="2"/>
      <c r="AB399" s="2"/>
      <c r="AC399" s="2"/>
      <c r="AD399" s="2"/>
    </row>
    <row r="400" spans="1:30" ht="13">
      <c r="A400" s="3"/>
      <c r="B400" s="2"/>
      <c r="C400" s="2"/>
      <c r="D400" s="3"/>
      <c r="E400" s="3"/>
      <c r="F400" s="1"/>
      <c r="G400" s="37"/>
      <c r="H400" s="1"/>
      <c r="I400" s="2"/>
      <c r="J400" s="2"/>
      <c r="K400" s="2"/>
      <c r="L400" s="2"/>
      <c r="M400" s="2"/>
      <c r="N400" s="3"/>
      <c r="O400" s="3"/>
      <c r="P400" s="2"/>
      <c r="Q400" s="2"/>
      <c r="R400" s="2"/>
      <c r="S400" s="2"/>
      <c r="T400" s="2"/>
      <c r="U400" s="2"/>
      <c r="V400" s="2"/>
      <c r="W400" s="2"/>
      <c r="X400" s="2"/>
      <c r="Y400" s="2"/>
      <c r="Z400" s="2"/>
      <c r="AA400" s="2"/>
      <c r="AB400" s="2"/>
      <c r="AC400" s="2"/>
      <c r="AD400" s="2"/>
    </row>
    <row r="401" spans="1:30" ht="13">
      <c r="A401" s="3"/>
      <c r="B401" s="2"/>
      <c r="C401" s="2"/>
      <c r="D401" s="3"/>
      <c r="E401" s="3"/>
      <c r="F401" s="1"/>
      <c r="G401" s="37"/>
      <c r="H401" s="1"/>
      <c r="I401" s="2"/>
      <c r="J401" s="2"/>
      <c r="K401" s="2"/>
      <c r="L401" s="2"/>
      <c r="M401" s="2"/>
      <c r="N401" s="3"/>
      <c r="O401" s="3"/>
      <c r="P401" s="2"/>
      <c r="Q401" s="2"/>
      <c r="R401" s="2"/>
      <c r="S401" s="2"/>
      <c r="T401" s="2"/>
      <c r="U401" s="2"/>
      <c r="V401" s="2"/>
      <c r="W401" s="2"/>
      <c r="X401" s="2"/>
      <c r="Y401" s="2"/>
      <c r="Z401" s="2"/>
      <c r="AA401" s="2"/>
      <c r="AB401" s="2"/>
      <c r="AC401" s="2"/>
      <c r="AD401" s="2"/>
    </row>
    <row r="402" spans="1:30" ht="13">
      <c r="A402" s="3"/>
      <c r="B402" s="2"/>
      <c r="C402" s="2"/>
      <c r="D402" s="3"/>
      <c r="E402" s="3"/>
      <c r="F402" s="1"/>
      <c r="G402" s="37"/>
      <c r="H402" s="1"/>
      <c r="I402" s="2"/>
      <c r="J402" s="2"/>
      <c r="K402" s="2"/>
      <c r="L402" s="2"/>
      <c r="M402" s="2"/>
      <c r="N402" s="3"/>
      <c r="O402" s="3"/>
      <c r="P402" s="2"/>
      <c r="Q402" s="2"/>
      <c r="R402" s="2"/>
      <c r="S402" s="2"/>
      <c r="T402" s="2"/>
      <c r="U402" s="2"/>
      <c r="V402" s="2"/>
      <c r="W402" s="2"/>
      <c r="X402" s="2"/>
      <c r="Y402" s="2"/>
      <c r="Z402" s="2"/>
      <c r="AA402" s="2"/>
      <c r="AB402" s="2"/>
      <c r="AC402" s="2"/>
      <c r="AD402" s="2"/>
    </row>
    <row r="403" spans="1:30" ht="13">
      <c r="A403" s="3"/>
      <c r="B403" s="2"/>
      <c r="C403" s="2"/>
      <c r="D403" s="3"/>
      <c r="E403" s="3"/>
      <c r="F403" s="1"/>
      <c r="G403" s="37"/>
      <c r="H403" s="1"/>
      <c r="I403" s="2"/>
      <c r="J403" s="2"/>
      <c r="K403" s="2"/>
      <c r="L403" s="2"/>
      <c r="M403" s="2"/>
      <c r="N403" s="3"/>
      <c r="O403" s="3"/>
      <c r="P403" s="2"/>
      <c r="Q403" s="2"/>
      <c r="R403" s="2"/>
      <c r="S403" s="2"/>
      <c r="T403" s="2"/>
      <c r="U403" s="2"/>
      <c r="V403" s="2"/>
      <c r="W403" s="2"/>
      <c r="X403" s="2"/>
      <c r="Y403" s="2"/>
      <c r="Z403" s="2"/>
      <c r="AA403" s="2"/>
      <c r="AB403" s="2"/>
      <c r="AC403" s="2"/>
      <c r="AD403" s="2"/>
    </row>
    <row r="404" spans="1:30" ht="13">
      <c r="A404" s="3"/>
      <c r="B404" s="2"/>
      <c r="C404" s="2"/>
      <c r="D404" s="3"/>
      <c r="E404" s="3"/>
      <c r="F404" s="1"/>
      <c r="G404" s="37"/>
      <c r="H404" s="1"/>
      <c r="I404" s="2"/>
      <c r="J404" s="2"/>
      <c r="K404" s="2"/>
      <c r="L404" s="2"/>
      <c r="M404" s="2"/>
      <c r="N404" s="3"/>
      <c r="O404" s="3"/>
      <c r="P404" s="2"/>
      <c r="Q404" s="2"/>
      <c r="R404" s="2"/>
      <c r="S404" s="2"/>
      <c r="T404" s="2"/>
      <c r="U404" s="2"/>
      <c r="V404" s="2"/>
      <c r="W404" s="2"/>
      <c r="X404" s="2"/>
      <c r="Y404" s="2"/>
      <c r="Z404" s="2"/>
      <c r="AA404" s="2"/>
      <c r="AB404" s="2"/>
      <c r="AC404" s="2"/>
      <c r="AD404" s="2"/>
    </row>
    <row r="405" spans="1:30" ht="13">
      <c r="A405" s="3"/>
      <c r="B405" s="2"/>
      <c r="C405" s="2"/>
      <c r="D405" s="3"/>
      <c r="E405" s="3"/>
      <c r="F405" s="1"/>
      <c r="G405" s="37"/>
      <c r="H405" s="1"/>
      <c r="I405" s="2"/>
      <c r="J405" s="2"/>
      <c r="K405" s="2"/>
      <c r="L405" s="2"/>
      <c r="M405" s="2"/>
      <c r="N405" s="3"/>
      <c r="O405" s="3"/>
      <c r="P405" s="2"/>
      <c r="Q405" s="2"/>
      <c r="R405" s="2"/>
      <c r="S405" s="2"/>
      <c r="T405" s="2"/>
      <c r="U405" s="2"/>
      <c r="V405" s="2"/>
      <c r="W405" s="2"/>
      <c r="X405" s="2"/>
      <c r="Y405" s="2"/>
      <c r="Z405" s="2"/>
      <c r="AA405" s="2"/>
      <c r="AB405" s="2"/>
      <c r="AC405" s="2"/>
      <c r="AD405" s="2"/>
    </row>
    <row r="406" spans="1:30" ht="13">
      <c r="A406" s="3"/>
      <c r="B406" s="2"/>
      <c r="C406" s="2"/>
      <c r="D406" s="3"/>
      <c r="E406" s="3"/>
      <c r="F406" s="1"/>
      <c r="G406" s="37"/>
      <c r="H406" s="1"/>
      <c r="I406" s="2"/>
      <c r="J406" s="2"/>
      <c r="K406" s="2"/>
      <c r="L406" s="2"/>
      <c r="M406" s="2"/>
      <c r="N406" s="3"/>
      <c r="O406" s="3"/>
      <c r="P406" s="2"/>
      <c r="Q406" s="2"/>
      <c r="R406" s="2"/>
      <c r="S406" s="2"/>
      <c r="T406" s="2"/>
      <c r="U406" s="2"/>
      <c r="V406" s="2"/>
      <c r="W406" s="2"/>
      <c r="X406" s="2"/>
      <c r="Y406" s="2"/>
      <c r="Z406" s="2"/>
      <c r="AA406" s="2"/>
      <c r="AB406" s="2"/>
      <c r="AC406" s="2"/>
      <c r="AD406" s="2"/>
    </row>
    <row r="407" spans="1:30" ht="13">
      <c r="A407" s="3"/>
      <c r="B407" s="2"/>
      <c r="C407" s="2"/>
      <c r="D407" s="3"/>
      <c r="E407" s="3"/>
      <c r="F407" s="1"/>
      <c r="G407" s="37"/>
      <c r="H407" s="1"/>
      <c r="I407" s="2"/>
      <c r="J407" s="2"/>
      <c r="K407" s="2"/>
      <c r="L407" s="2"/>
      <c r="M407" s="2"/>
      <c r="N407" s="3"/>
      <c r="O407" s="3"/>
      <c r="P407" s="2"/>
      <c r="Q407" s="2"/>
      <c r="R407" s="2"/>
      <c r="S407" s="2"/>
      <c r="T407" s="2"/>
      <c r="U407" s="2"/>
      <c r="V407" s="2"/>
      <c r="W407" s="2"/>
      <c r="X407" s="2"/>
      <c r="Y407" s="2"/>
      <c r="Z407" s="2"/>
      <c r="AA407" s="2"/>
      <c r="AB407" s="2"/>
      <c r="AC407" s="2"/>
      <c r="AD407" s="2"/>
    </row>
    <row r="408" spans="1:30" ht="13">
      <c r="A408" s="3"/>
      <c r="B408" s="2"/>
      <c r="C408" s="2"/>
      <c r="D408" s="3"/>
      <c r="E408" s="3"/>
      <c r="F408" s="1"/>
      <c r="G408" s="37"/>
      <c r="H408" s="1"/>
      <c r="I408" s="2"/>
      <c r="J408" s="2"/>
      <c r="K408" s="2"/>
      <c r="L408" s="2"/>
      <c r="M408" s="2"/>
      <c r="N408" s="3"/>
      <c r="O408" s="3"/>
      <c r="P408" s="2"/>
      <c r="Q408" s="2"/>
      <c r="R408" s="2"/>
      <c r="S408" s="2"/>
      <c r="T408" s="2"/>
      <c r="U408" s="2"/>
      <c r="V408" s="2"/>
      <c r="W408" s="2"/>
      <c r="X408" s="2"/>
      <c r="Y408" s="2"/>
      <c r="Z408" s="2"/>
      <c r="AA408" s="2"/>
      <c r="AB408" s="2"/>
      <c r="AC408" s="2"/>
      <c r="AD408" s="2"/>
    </row>
    <row r="409" spans="1:30" ht="13">
      <c r="A409" s="3"/>
      <c r="B409" s="2"/>
      <c r="C409" s="2"/>
      <c r="D409" s="3"/>
      <c r="E409" s="3"/>
      <c r="F409" s="1"/>
      <c r="G409" s="37"/>
      <c r="H409" s="1"/>
      <c r="I409" s="2"/>
      <c r="J409" s="2"/>
      <c r="K409" s="2"/>
      <c r="L409" s="2"/>
      <c r="M409" s="2"/>
      <c r="N409" s="3"/>
      <c r="O409" s="3"/>
      <c r="P409" s="2"/>
      <c r="Q409" s="2"/>
      <c r="R409" s="2"/>
      <c r="S409" s="2"/>
      <c r="T409" s="2"/>
      <c r="U409" s="2"/>
      <c r="V409" s="2"/>
      <c r="W409" s="2"/>
      <c r="X409" s="2"/>
      <c r="Y409" s="2"/>
      <c r="Z409" s="2"/>
      <c r="AA409" s="2"/>
      <c r="AB409" s="2"/>
      <c r="AC409" s="2"/>
      <c r="AD409" s="2"/>
    </row>
    <row r="410" spans="1:30" ht="13">
      <c r="A410" s="3"/>
      <c r="B410" s="2"/>
      <c r="C410" s="2"/>
      <c r="D410" s="3"/>
      <c r="E410" s="3"/>
      <c r="F410" s="1"/>
      <c r="G410" s="37"/>
      <c r="H410" s="1"/>
      <c r="I410" s="2"/>
      <c r="J410" s="2"/>
      <c r="K410" s="2"/>
      <c r="L410" s="2"/>
      <c r="M410" s="2"/>
      <c r="N410" s="3"/>
      <c r="O410" s="3"/>
      <c r="P410" s="2"/>
      <c r="Q410" s="2"/>
      <c r="R410" s="2"/>
      <c r="S410" s="2"/>
      <c r="T410" s="2"/>
      <c r="U410" s="2"/>
      <c r="V410" s="2"/>
      <c r="W410" s="2"/>
      <c r="X410" s="2"/>
      <c r="Y410" s="2"/>
      <c r="Z410" s="2"/>
      <c r="AA410" s="2"/>
      <c r="AB410" s="2"/>
      <c r="AC410" s="2"/>
      <c r="AD410" s="2"/>
    </row>
    <row r="411" spans="1:30" ht="13">
      <c r="A411" s="3"/>
      <c r="B411" s="2"/>
      <c r="C411" s="2"/>
      <c r="D411" s="3"/>
      <c r="E411" s="3"/>
      <c r="F411" s="1"/>
      <c r="G411" s="37"/>
      <c r="H411" s="1"/>
      <c r="I411" s="2"/>
      <c r="J411" s="2"/>
      <c r="K411" s="2"/>
      <c r="L411" s="2"/>
      <c r="M411" s="2"/>
      <c r="N411" s="3"/>
      <c r="O411" s="3"/>
      <c r="P411" s="2"/>
      <c r="Q411" s="2"/>
      <c r="R411" s="2"/>
      <c r="S411" s="2"/>
      <c r="T411" s="2"/>
      <c r="U411" s="2"/>
      <c r="V411" s="2"/>
      <c r="W411" s="2"/>
      <c r="X411" s="2"/>
      <c r="Y411" s="2"/>
      <c r="Z411" s="2"/>
      <c r="AA411" s="2"/>
      <c r="AB411" s="2"/>
      <c r="AC411" s="2"/>
      <c r="AD411" s="2"/>
    </row>
    <row r="412" spans="1:30" ht="13">
      <c r="A412" s="3"/>
      <c r="B412" s="2"/>
      <c r="C412" s="2"/>
      <c r="D412" s="3"/>
      <c r="E412" s="3"/>
      <c r="F412" s="1"/>
      <c r="G412" s="37"/>
      <c r="H412" s="1"/>
      <c r="I412" s="2"/>
      <c r="J412" s="2"/>
      <c r="K412" s="2"/>
      <c r="L412" s="2"/>
      <c r="M412" s="2"/>
      <c r="N412" s="3"/>
      <c r="O412" s="3"/>
      <c r="P412" s="2"/>
      <c r="Q412" s="2"/>
      <c r="R412" s="2"/>
      <c r="S412" s="2"/>
      <c r="T412" s="2"/>
      <c r="U412" s="2"/>
      <c r="V412" s="2"/>
      <c r="W412" s="2"/>
      <c r="X412" s="2"/>
      <c r="Y412" s="2"/>
      <c r="Z412" s="2"/>
      <c r="AA412" s="2"/>
      <c r="AB412" s="2"/>
      <c r="AC412" s="2"/>
      <c r="AD412" s="2"/>
    </row>
    <row r="413" spans="1:30" ht="13">
      <c r="A413" s="3"/>
      <c r="B413" s="2"/>
      <c r="C413" s="2"/>
      <c r="D413" s="3"/>
      <c r="E413" s="3"/>
      <c r="F413" s="1"/>
      <c r="G413" s="37"/>
      <c r="H413" s="1"/>
      <c r="I413" s="2"/>
      <c r="J413" s="2"/>
      <c r="K413" s="2"/>
      <c r="L413" s="2"/>
      <c r="M413" s="2"/>
      <c r="N413" s="3"/>
      <c r="O413" s="3"/>
      <c r="P413" s="2"/>
      <c r="Q413" s="2"/>
      <c r="R413" s="2"/>
      <c r="S413" s="2"/>
      <c r="T413" s="2"/>
      <c r="U413" s="2"/>
      <c r="V413" s="2"/>
      <c r="W413" s="2"/>
      <c r="X413" s="2"/>
      <c r="Y413" s="2"/>
      <c r="Z413" s="2"/>
      <c r="AA413" s="2"/>
      <c r="AB413" s="2"/>
      <c r="AC413" s="2"/>
      <c r="AD413" s="2"/>
    </row>
    <row r="414" spans="1:30" ht="13">
      <c r="A414" s="3"/>
      <c r="B414" s="2"/>
      <c r="C414" s="2"/>
      <c r="D414" s="3"/>
      <c r="E414" s="3"/>
      <c r="F414" s="1"/>
      <c r="G414" s="37"/>
      <c r="H414" s="1"/>
      <c r="I414" s="2"/>
      <c r="J414" s="2"/>
      <c r="K414" s="2"/>
      <c r="L414" s="2"/>
      <c r="M414" s="2"/>
      <c r="N414" s="3"/>
      <c r="O414" s="3"/>
      <c r="P414" s="2"/>
      <c r="Q414" s="2"/>
      <c r="R414" s="2"/>
      <c r="S414" s="2"/>
      <c r="T414" s="2"/>
      <c r="U414" s="2"/>
      <c r="V414" s="2"/>
      <c r="W414" s="2"/>
      <c r="X414" s="2"/>
      <c r="Y414" s="2"/>
      <c r="Z414" s="2"/>
      <c r="AA414" s="2"/>
      <c r="AB414" s="2"/>
      <c r="AC414" s="2"/>
      <c r="AD414" s="2"/>
    </row>
    <row r="415" spans="1:30" ht="13">
      <c r="A415" s="3"/>
      <c r="B415" s="2"/>
      <c r="C415" s="2"/>
      <c r="D415" s="3"/>
      <c r="E415" s="3"/>
      <c r="F415" s="1"/>
      <c r="G415" s="37"/>
      <c r="H415" s="1"/>
      <c r="I415" s="2"/>
      <c r="J415" s="2"/>
      <c r="K415" s="2"/>
      <c r="L415" s="2"/>
      <c r="M415" s="2"/>
      <c r="N415" s="3"/>
      <c r="O415" s="3"/>
      <c r="P415" s="2"/>
      <c r="Q415" s="2"/>
      <c r="R415" s="2"/>
      <c r="S415" s="2"/>
      <c r="T415" s="2"/>
      <c r="U415" s="2"/>
      <c r="V415" s="2"/>
      <c r="W415" s="2"/>
      <c r="X415" s="2"/>
      <c r="Y415" s="2"/>
      <c r="Z415" s="2"/>
      <c r="AA415" s="2"/>
      <c r="AB415" s="2"/>
      <c r="AC415" s="2"/>
      <c r="AD415" s="2"/>
    </row>
    <row r="416" spans="1:30" ht="13">
      <c r="A416" s="3"/>
      <c r="B416" s="2"/>
      <c r="C416" s="2"/>
      <c r="D416" s="3"/>
      <c r="E416" s="3"/>
      <c r="F416" s="1"/>
      <c r="G416" s="37"/>
      <c r="H416" s="1"/>
      <c r="I416" s="2"/>
      <c r="J416" s="2"/>
      <c r="K416" s="2"/>
      <c r="L416" s="2"/>
      <c r="M416" s="2"/>
      <c r="N416" s="3"/>
      <c r="O416" s="3"/>
      <c r="P416" s="2"/>
      <c r="Q416" s="2"/>
      <c r="R416" s="2"/>
      <c r="S416" s="2"/>
      <c r="T416" s="2"/>
      <c r="U416" s="2"/>
      <c r="V416" s="2"/>
      <c r="W416" s="2"/>
      <c r="X416" s="2"/>
      <c r="Y416" s="2"/>
      <c r="Z416" s="2"/>
      <c r="AA416" s="2"/>
      <c r="AB416" s="2"/>
      <c r="AC416" s="2"/>
      <c r="AD416" s="2"/>
    </row>
    <row r="417" spans="1:30" ht="13">
      <c r="A417" s="3"/>
      <c r="B417" s="2"/>
      <c r="C417" s="2"/>
      <c r="D417" s="3"/>
      <c r="E417" s="3"/>
      <c r="F417" s="1"/>
      <c r="G417" s="37"/>
      <c r="H417" s="1"/>
      <c r="I417" s="2"/>
      <c r="J417" s="2"/>
      <c r="K417" s="2"/>
      <c r="L417" s="2"/>
      <c r="M417" s="2"/>
      <c r="N417" s="3"/>
      <c r="O417" s="3"/>
      <c r="P417" s="2"/>
      <c r="Q417" s="2"/>
      <c r="R417" s="2"/>
      <c r="S417" s="2"/>
      <c r="T417" s="2"/>
      <c r="U417" s="2"/>
      <c r="V417" s="2"/>
      <c r="W417" s="2"/>
      <c r="X417" s="2"/>
      <c r="Y417" s="2"/>
      <c r="Z417" s="2"/>
      <c r="AA417" s="2"/>
      <c r="AB417" s="2"/>
      <c r="AC417" s="2"/>
      <c r="AD417" s="2"/>
    </row>
    <row r="418" spans="1:30" ht="13">
      <c r="A418" s="3"/>
      <c r="B418" s="2"/>
      <c r="C418" s="2"/>
      <c r="D418" s="3"/>
      <c r="E418" s="3"/>
      <c r="F418" s="1"/>
      <c r="G418" s="37"/>
      <c r="H418" s="1"/>
      <c r="I418" s="2"/>
      <c r="J418" s="2"/>
      <c r="K418" s="2"/>
      <c r="L418" s="2"/>
      <c r="M418" s="2"/>
      <c r="N418" s="3"/>
      <c r="O418" s="3"/>
      <c r="P418" s="2"/>
      <c r="Q418" s="2"/>
      <c r="R418" s="2"/>
      <c r="S418" s="2"/>
      <c r="T418" s="2"/>
      <c r="U418" s="2"/>
      <c r="V418" s="2"/>
      <c r="W418" s="2"/>
      <c r="X418" s="2"/>
      <c r="Y418" s="2"/>
      <c r="Z418" s="2"/>
      <c r="AA418" s="2"/>
      <c r="AB418" s="2"/>
      <c r="AC418" s="2"/>
      <c r="AD418" s="2"/>
    </row>
    <row r="419" spans="1:30" ht="13">
      <c r="A419" s="3"/>
      <c r="B419" s="2"/>
      <c r="C419" s="2"/>
      <c r="D419" s="3"/>
      <c r="E419" s="3"/>
      <c r="F419" s="1"/>
      <c r="G419" s="37"/>
      <c r="H419" s="1"/>
      <c r="I419" s="2"/>
      <c r="J419" s="2"/>
      <c r="K419" s="2"/>
      <c r="L419" s="2"/>
      <c r="M419" s="2"/>
      <c r="N419" s="3"/>
      <c r="O419" s="3"/>
      <c r="P419" s="2"/>
      <c r="Q419" s="2"/>
      <c r="R419" s="2"/>
      <c r="S419" s="2"/>
      <c r="T419" s="2"/>
      <c r="U419" s="2"/>
      <c r="V419" s="2"/>
      <c r="W419" s="2"/>
      <c r="X419" s="2"/>
      <c r="Y419" s="2"/>
      <c r="Z419" s="2"/>
      <c r="AA419" s="2"/>
      <c r="AB419" s="2"/>
      <c r="AC419" s="2"/>
      <c r="AD419" s="2"/>
    </row>
    <row r="420" spans="1:30" ht="13">
      <c r="A420" s="3"/>
      <c r="B420" s="2"/>
      <c r="C420" s="2"/>
      <c r="D420" s="3"/>
      <c r="E420" s="3"/>
      <c r="F420" s="1"/>
      <c r="G420" s="37"/>
      <c r="H420" s="1"/>
      <c r="I420" s="2"/>
      <c r="J420" s="2"/>
      <c r="K420" s="2"/>
      <c r="L420" s="2"/>
      <c r="M420" s="2"/>
      <c r="N420" s="3"/>
      <c r="O420" s="3"/>
      <c r="P420" s="2"/>
      <c r="Q420" s="2"/>
      <c r="R420" s="2"/>
      <c r="S420" s="2"/>
      <c r="T420" s="2"/>
      <c r="U420" s="2"/>
      <c r="V420" s="2"/>
      <c r="W420" s="2"/>
      <c r="X420" s="2"/>
      <c r="Y420" s="2"/>
      <c r="Z420" s="2"/>
      <c r="AA420" s="2"/>
      <c r="AB420" s="2"/>
      <c r="AC420" s="2"/>
      <c r="AD420" s="2"/>
    </row>
    <row r="421" spans="1:30" ht="13">
      <c r="A421" s="3"/>
      <c r="B421" s="2"/>
      <c r="C421" s="2"/>
      <c r="D421" s="3"/>
      <c r="E421" s="3"/>
      <c r="F421" s="1"/>
      <c r="G421" s="37"/>
      <c r="H421" s="1"/>
      <c r="I421" s="2"/>
      <c r="J421" s="2"/>
      <c r="K421" s="2"/>
      <c r="L421" s="2"/>
      <c r="M421" s="2"/>
      <c r="N421" s="3"/>
      <c r="O421" s="3"/>
      <c r="P421" s="2"/>
      <c r="Q421" s="2"/>
      <c r="R421" s="2"/>
      <c r="S421" s="2"/>
      <c r="T421" s="2"/>
      <c r="U421" s="2"/>
      <c r="V421" s="2"/>
      <c r="W421" s="2"/>
      <c r="X421" s="2"/>
      <c r="Y421" s="2"/>
      <c r="Z421" s="2"/>
      <c r="AA421" s="2"/>
      <c r="AB421" s="2"/>
      <c r="AC421" s="2"/>
      <c r="AD421" s="2"/>
    </row>
    <row r="422" spans="1:30" ht="13">
      <c r="A422" s="3"/>
      <c r="B422" s="2"/>
      <c r="C422" s="2"/>
      <c r="D422" s="3"/>
      <c r="E422" s="3"/>
      <c r="F422" s="1"/>
      <c r="G422" s="37"/>
      <c r="H422" s="1"/>
      <c r="I422" s="2"/>
      <c r="J422" s="2"/>
      <c r="K422" s="2"/>
      <c r="L422" s="2"/>
      <c r="M422" s="2"/>
      <c r="N422" s="3"/>
      <c r="O422" s="3"/>
      <c r="P422" s="2"/>
      <c r="Q422" s="2"/>
      <c r="R422" s="2"/>
      <c r="S422" s="2"/>
      <c r="T422" s="2"/>
      <c r="U422" s="2"/>
      <c r="V422" s="2"/>
      <c r="W422" s="2"/>
      <c r="X422" s="2"/>
      <c r="Y422" s="2"/>
      <c r="Z422" s="2"/>
      <c r="AA422" s="2"/>
      <c r="AB422" s="2"/>
      <c r="AC422" s="2"/>
      <c r="AD422" s="2"/>
    </row>
    <row r="423" spans="1:30" ht="13">
      <c r="A423" s="3"/>
      <c r="B423" s="2"/>
      <c r="C423" s="2"/>
      <c r="D423" s="3"/>
      <c r="E423" s="3"/>
      <c r="F423" s="1"/>
      <c r="G423" s="37"/>
      <c r="H423" s="1"/>
      <c r="I423" s="2"/>
      <c r="J423" s="2"/>
      <c r="K423" s="2"/>
      <c r="L423" s="2"/>
      <c r="M423" s="2"/>
      <c r="N423" s="3"/>
      <c r="O423" s="3"/>
      <c r="P423" s="2"/>
      <c r="Q423" s="2"/>
      <c r="R423" s="2"/>
      <c r="S423" s="2"/>
      <c r="T423" s="2"/>
      <c r="U423" s="2"/>
      <c r="V423" s="2"/>
      <c r="W423" s="2"/>
      <c r="X423" s="2"/>
      <c r="Y423" s="2"/>
      <c r="Z423" s="2"/>
      <c r="AA423" s="2"/>
      <c r="AB423" s="2"/>
      <c r="AC423" s="2"/>
      <c r="AD423" s="2"/>
    </row>
    <row r="424" spans="1:30" ht="13">
      <c r="A424" s="3"/>
      <c r="B424" s="2"/>
      <c r="C424" s="2"/>
      <c r="D424" s="3"/>
      <c r="E424" s="3"/>
      <c r="F424" s="1"/>
      <c r="G424" s="37"/>
      <c r="H424" s="1"/>
      <c r="I424" s="2"/>
      <c r="J424" s="2"/>
      <c r="K424" s="2"/>
      <c r="L424" s="2"/>
      <c r="M424" s="2"/>
      <c r="N424" s="3"/>
      <c r="O424" s="3"/>
      <c r="P424" s="2"/>
      <c r="Q424" s="2"/>
      <c r="R424" s="2"/>
      <c r="S424" s="2"/>
      <c r="T424" s="2"/>
      <c r="U424" s="2"/>
      <c r="V424" s="2"/>
      <c r="W424" s="2"/>
      <c r="X424" s="2"/>
      <c r="Y424" s="2"/>
      <c r="Z424" s="2"/>
      <c r="AA424" s="2"/>
      <c r="AB424" s="2"/>
      <c r="AC424" s="2"/>
      <c r="AD424" s="2"/>
    </row>
    <row r="425" spans="1:30" ht="13">
      <c r="A425" s="3"/>
      <c r="B425" s="2"/>
      <c r="C425" s="2"/>
      <c r="D425" s="3"/>
      <c r="E425" s="3"/>
      <c r="F425" s="1"/>
      <c r="G425" s="37"/>
      <c r="H425" s="1"/>
      <c r="I425" s="2"/>
      <c r="J425" s="2"/>
      <c r="K425" s="2"/>
      <c r="L425" s="2"/>
      <c r="M425" s="2"/>
      <c r="N425" s="3"/>
      <c r="O425" s="3"/>
      <c r="P425" s="2"/>
      <c r="Q425" s="2"/>
      <c r="R425" s="2"/>
      <c r="S425" s="2"/>
      <c r="T425" s="2"/>
      <c r="U425" s="2"/>
      <c r="V425" s="2"/>
      <c r="W425" s="2"/>
      <c r="X425" s="2"/>
      <c r="Y425" s="2"/>
      <c r="Z425" s="2"/>
      <c r="AA425" s="2"/>
      <c r="AB425" s="2"/>
      <c r="AC425" s="2"/>
      <c r="AD425" s="2"/>
    </row>
    <row r="426" spans="1:30" ht="13">
      <c r="A426" s="3"/>
      <c r="B426" s="2"/>
      <c r="C426" s="2"/>
      <c r="D426" s="3"/>
      <c r="E426" s="3"/>
      <c r="F426" s="1"/>
      <c r="G426" s="37"/>
      <c r="H426" s="1"/>
      <c r="I426" s="2"/>
      <c r="J426" s="2"/>
      <c r="K426" s="2"/>
      <c r="L426" s="2"/>
      <c r="M426" s="2"/>
      <c r="N426" s="3"/>
      <c r="O426" s="3"/>
      <c r="P426" s="2"/>
      <c r="Q426" s="2"/>
      <c r="R426" s="2"/>
      <c r="S426" s="2"/>
      <c r="T426" s="2"/>
      <c r="U426" s="2"/>
      <c r="V426" s="2"/>
      <c r="W426" s="2"/>
      <c r="X426" s="2"/>
      <c r="Y426" s="2"/>
      <c r="Z426" s="2"/>
      <c r="AA426" s="2"/>
      <c r="AB426" s="2"/>
      <c r="AC426" s="2"/>
      <c r="AD426" s="2"/>
    </row>
    <row r="427" spans="1:30" ht="13">
      <c r="A427" s="3"/>
      <c r="B427" s="2"/>
      <c r="C427" s="2"/>
      <c r="D427" s="3"/>
      <c r="E427" s="3"/>
      <c r="F427" s="1"/>
      <c r="G427" s="37"/>
      <c r="H427" s="1"/>
      <c r="I427" s="2"/>
      <c r="J427" s="2"/>
      <c r="K427" s="2"/>
      <c r="L427" s="2"/>
      <c r="M427" s="2"/>
      <c r="N427" s="3"/>
      <c r="O427" s="3"/>
      <c r="P427" s="2"/>
      <c r="Q427" s="2"/>
      <c r="R427" s="2"/>
      <c r="S427" s="2"/>
      <c r="T427" s="2"/>
      <c r="U427" s="2"/>
      <c r="V427" s="2"/>
      <c r="W427" s="2"/>
      <c r="X427" s="2"/>
      <c r="Y427" s="2"/>
      <c r="Z427" s="2"/>
      <c r="AA427" s="2"/>
      <c r="AB427" s="2"/>
      <c r="AC427" s="2"/>
      <c r="AD427" s="2"/>
    </row>
    <row r="428" spans="1:30" ht="13">
      <c r="A428" s="3"/>
      <c r="B428" s="2"/>
      <c r="C428" s="2"/>
      <c r="D428" s="3"/>
      <c r="E428" s="3"/>
      <c r="F428" s="1"/>
      <c r="G428" s="37"/>
      <c r="H428" s="1"/>
      <c r="I428" s="2"/>
      <c r="J428" s="2"/>
      <c r="K428" s="2"/>
      <c r="L428" s="2"/>
      <c r="M428" s="2"/>
      <c r="N428" s="3"/>
      <c r="O428" s="3"/>
      <c r="P428" s="2"/>
      <c r="Q428" s="2"/>
      <c r="R428" s="2"/>
      <c r="S428" s="2"/>
      <c r="T428" s="2"/>
      <c r="U428" s="2"/>
      <c r="V428" s="2"/>
      <c r="W428" s="2"/>
      <c r="X428" s="2"/>
      <c r="Y428" s="2"/>
      <c r="Z428" s="2"/>
      <c r="AA428" s="2"/>
      <c r="AB428" s="2"/>
      <c r="AC428" s="2"/>
      <c r="AD428" s="2"/>
    </row>
    <row r="429" spans="1:30" ht="13">
      <c r="A429" s="3"/>
      <c r="B429" s="2"/>
      <c r="C429" s="2"/>
      <c r="D429" s="3"/>
      <c r="E429" s="3"/>
      <c r="F429" s="1"/>
      <c r="G429" s="37"/>
      <c r="H429" s="1"/>
      <c r="I429" s="2"/>
      <c r="J429" s="2"/>
      <c r="K429" s="2"/>
      <c r="L429" s="2"/>
      <c r="M429" s="2"/>
      <c r="N429" s="3"/>
      <c r="O429" s="3"/>
      <c r="P429" s="2"/>
      <c r="Q429" s="2"/>
      <c r="R429" s="2"/>
      <c r="S429" s="2"/>
      <c r="T429" s="2"/>
      <c r="U429" s="2"/>
      <c r="V429" s="2"/>
      <c r="W429" s="2"/>
      <c r="X429" s="2"/>
      <c r="Y429" s="2"/>
      <c r="Z429" s="2"/>
      <c r="AA429" s="2"/>
      <c r="AB429" s="2"/>
      <c r="AC429" s="2"/>
      <c r="AD429" s="2"/>
    </row>
    <row r="430" spans="1:30" ht="13">
      <c r="A430" s="3"/>
      <c r="B430" s="2"/>
      <c r="C430" s="2"/>
      <c r="D430" s="3"/>
      <c r="E430" s="3"/>
      <c r="F430" s="1"/>
      <c r="G430" s="37"/>
      <c r="H430" s="1"/>
      <c r="I430" s="2"/>
      <c r="J430" s="2"/>
      <c r="K430" s="2"/>
      <c r="L430" s="2"/>
      <c r="M430" s="2"/>
      <c r="N430" s="3"/>
      <c r="O430" s="3"/>
      <c r="P430" s="2"/>
      <c r="Q430" s="2"/>
      <c r="R430" s="2"/>
      <c r="S430" s="2"/>
      <c r="T430" s="2"/>
      <c r="U430" s="2"/>
      <c r="V430" s="2"/>
      <c r="W430" s="2"/>
      <c r="X430" s="2"/>
      <c r="Y430" s="2"/>
      <c r="Z430" s="2"/>
      <c r="AA430" s="2"/>
      <c r="AB430" s="2"/>
      <c r="AC430" s="2"/>
      <c r="AD430" s="2"/>
    </row>
    <row r="431" spans="1:30" ht="13">
      <c r="A431" s="3"/>
      <c r="B431" s="2"/>
      <c r="C431" s="2"/>
      <c r="D431" s="3"/>
      <c r="E431" s="3"/>
      <c r="F431" s="1"/>
      <c r="G431" s="37"/>
      <c r="H431" s="1"/>
      <c r="I431" s="2"/>
      <c r="J431" s="2"/>
      <c r="K431" s="2"/>
      <c r="L431" s="2"/>
      <c r="M431" s="2"/>
      <c r="N431" s="3"/>
      <c r="O431" s="3"/>
      <c r="P431" s="2"/>
      <c r="Q431" s="2"/>
      <c r="R431" s="2"/>
      <c r="S431" s="2"/>
      <c r="T431" s="2"/>
      <c r="U431" s="2"/>
      <c r="V431" s="2"/>
      <c r="W431" s="2"/>
      <c r="X431" s="2"/>
      <c r="Y431" s="2"/>
      <c r="Z431" s="2"/>
      <c r="AA431" s="2"/>
      <c r="AB431" s="2"/>
      <c r="AC431" s="2"/>
      <c r="AD431" s="2"/>
    </row>
    <row r="432" spans="1:30" ht="13">
      <c r="A432" s="3"/>
      <c r="B432" s="2"/>
      <c r="C432" s="2"/>
      <c r="D432" s="3"/>
      <c r="E432" s="3"/>
      <c r="F432" s="1"/>
      <c r="G432" s="37"/>
      <c r="H432" s="1"/>
      <c r="I432" s="2"/>
      <c r="J432" s="2"/>
      <c r="K432" s="2"/>
      <c r="L432" s="2"/>
      <c r="M432" s="2"/>
      <c r="N432" s="3"/>
      <c r="O432" s="3"/>
      <c r="P432" s="2"/>
      <c r="Q432" s="2"/>
      <c r="R432" s="2"/>
      <c r="S432" s="2"/>
      <c r="T432" s="2"/>
      <c r="U432" s="2"/>
      <c r="V432" s="2"/>
      <c r="W432" s="2"/>
      <c r="X432" s="2"/>
      <c r="Y432" s="2"/>
      <c r="Z432" s="2"/>
      <c r="AA432" s="2"/>
      <c r="AB432" s="2"/>
      <c r="AC432" s="2"/>
      <c r="AD432" s="2"/>
    </row>
    <row r="433" spans="1:30" ht="13">
      <c r="A433" s="3"/>
      <c r="B433" s="2"/>
      <c r="C433" s="2"/>
      <c r="D433" s="3"/>
      <c r="E433" s="3"/>
      <c r="F433" s="1"/>
      <c r="G433" s="37"/>
      <c r="H433" s="1"/>
      <c r="I433" s="2"/>
      <c r="J433" s="2"/>
      <c r="K433" s="2"/>
      <c r="L433" s="2"/>
      <c r="M433" s="2"/>
      <c r="N433" s="3"/>
      <c r="O433" s="3"/>
      <c r="P433" s="2"/>
      <c r="Q433" s="2"/>
      <c r="R433" s="2"/>
      <c r="S433" s="2"/>
      <c r="T433" s="2"/>
      <c r="U433" s="2"/>
      <c r="V433" s="2"/>
      <c r="W433" s="2"/>
      <c r="X433" s="2"/>
      <c r="Y433" s="2"/>
      <c r="Z433" s="2"/>
      <c r="AA433" s="2"/>
      <c r="AB433" s="2"/>
      <c r="AC433" s="2"/>
      <c r="AD433" s="2"/>
    </row>
    <row r="434" spans="1:30" ht="13">
      <c r="A434" s="3"/>
      <c r="B434" s="2"/>
      <c r="C434" s="2"/>
      <c r="D434" s="3"/>
      <c r="E434" s="3"/>
      <c r="F434" s="1"/>
      <c r="G434" s="37"/>
      <c r="H434" s="1"/>
      <c r="I434" s="2"/>
      <c r="J434" s="2"/>
      <c r="K434" s="2"/>
      <c r="L434" s="2"/>
      <c r="M434" s="2"/>
      <c r="N434" s="3"/>
      <c r="O434" s="3"/>
      <c r="P434" s="2"/>
      <c r="Q434" s="2"/>
      <c r="R434" s="2"/>
      <c r="S434" s="2"/>
      <c r="T434" s="2"/>
      <c r="U434" s="2"/>
      <c r="V434" s="2"/>
      <c r="W434" s="2"/>
      <c r="X434" s="2"/>
      <c r="Y434" s="2"/>
      <c r="Z434" s="2"/>
      <c r="AA434" s="2"/>
      <c r="AB434" s="2"/>
      <c r="AC434" s="2"/>
      <c r="AD434" s="2"/>
    </row>
    <row r="435" spans="1:30" ht="13">
      <c r="A435" s="3"/>
      <c r="B435" s="2"/>
      <c r="C435" s="2"/>
      <c r="D435" s="3"/>
      <c r="E435" s="3"/>
      <c r="F435" s="1"/>
      <c r="G435" s="37"/>
      <c r="H435" s="1"/>
      <c r="I435" s="2"/>
      <c r="J435" s="2"/>
      <c r="K435" s="2"/>
      <c r="L435" s="2"/>
      <c r="M435" s="2"/>
      <c r="N435" s="3"/>
      <c r="O435" s="3"/>
      <c r="P435" s="2"/>
      <c r="Q435" s="2"/>
      <c r="R435" s="2"/>
      <c r="S435" s="2"/>
      <c r="T435" s="2"/>
      <c r="U435" s="2"/>
      <c r="V435" s="2"/>
      <c r="W435" s="2"/>
      <c r="X435" s="2"/>
      <c r="Y435" s="2"/>
      <c r="Z435" s="2"/>
      <c r="AA435" s="2"/>
      <c r="AB435" s="2"/>
      <c r="AC435" s="2"/>
      <c r="AD435" s="2"/>
    </row>
    <row r="436" spans="1:30" ht="13">
      <c r="A436" s="3"/>
      <c r="B436" s="2"/>
      <c r="C436" s="2"/>
      <c r="D436" s="3"/>
      <c r="E436" s="3"/>
      <c r="F436" s="1"/>
      <c r="G436" s="37"/>
      <c r="H436" s="1"/>
      <c r="I436" s="2"/>
      <c r="J436" s="2"/>
      <c r="K436" s="2"/>
      <c r="L436" s="2"/>
      <c r="M436" s="2"/>
      <c r="N436" s="3"/>
      <c r="O436" s="3"/>
      <c r="P436" s="2"/>
      <c r="Q436" s="2"/>
      <c r="R436" s="2"/>
      <c r="S436" s="2"/>
      <c r="T436" s="2"/>
      <c r="U436" s="2"/>
      <c r="V436" s="2"/>
      <c r="W436" s="2"/>
      <c r="X436" s="2"/>
      <c r="Y436" s="2"/>
      <c r="Z436" s="2"/>
      <c r="AA436" s="2"/>
      <c r="AB436" s="2"/>
      <c r="AC436" s="2"/>
      <c r="AD436" s="2"/>
    </row>
    <row r="437" spans="1:30" ht="13">
      <c r="A437" s="3"/>
      <c r="B437" s="2"/>
      <c r="C437" s="2"/>
      <c r="D437" s="3"/>
      <c r="E437" s="3"/>
      <c r="F437" s="1"/>
      <c r="G437" s="37"/>
      <c r="H437" s="1"/>
      <c r="I437" s="2"/>
      <c r="J437" s="2"/>
      <c r="K437" s="2"/>
      <c r="L437" s="2"/>
      <c r="M437" s="2"/>
      <c r="N437" s="3"/>
      <c r="O437" s="3"/>
      <c r="P437" s="2"/>
      <c r="Q437" s="2"/>
      <c r="R437" s="2"/>
      <c r="S437" s="2"/>
      <c r="T437" s="2"/>
      <c r="U437" s="2"/>
      <c r="V437" s="2"/>
      <c r="W437" s="2"/>
      <c r="X437" s="2"/>
      <c r="Y437" s="2"/>
      <c r="Z437" s="2"/>
      <c r="AA437" s="2"/>
      <c r="AB437" s="2"/>
      <c r="AC437" s="2"/>
      <c r="AD437" s="2"/>
    </row>
    <row r="438" spans="1:30" ht="13">
      <c r="A438" s="3"/>
      <c r="B438" s="2"/>
      <c r="C438" s="2"/>
      <c r="D438" s="3"/>
      <c r="E438" s="3"/>
      <c r="F438" s="1"/>
      <c r="G438" s="37"/>
      <c r="H438" s="1"/>
      <c r="I438" s="2"/>
      <c r="J438" s="2"/>
      <c r="K438" s="2"/>
      <c r="L438" s="2"/>
      <c r="M438" s="2"/>
      <c r="N438" s="3"/>
      <c r="O438" s="3"/>
      <c r="P438" s="2"/>
      <c r="Q438" s="2"/>
      <c r="R438" s="2"/>
      <c r="S438" s="2"/>
      <c r="T438" s="2"/>
      <c r="U438" s="2"/>
      <c r="V438" s="2"/>
      <c r="W438" s="2"/>
      <c r="X438" s="2"/>
      <c r="Y438" s="2"/>
      <c r="Z438" s="2"/>
      <c r="AA438" s="2"/>
      <c r="AB438" s="2"/>
      <c r="AC438" s="2"/>
      <c r="AD438" s="2"/>
    </row>
    <row r="439" spans="1:30" ht="13">
      <c r="A439" s="3"/>
      <c r="B439" s="2"/>
      <c r="C439" s="2"/>
      <c r="D439" s="3"/>
      <c r="E439" s="3"/>
      <c r="F439" s="1"/>
      <c r="G439" s="37"/>
      <c r="H439" s="1"/>
      <c r="I439" s="2"/>
      <c r="J439" s="2"/>
      <c r="K439" s="2"/>
      <c r="L439" s="2"/>
      <c r="M439" s="2"/>
      <c r="N439" s="3"/>
      <c r="O439" s="3"/>
      <c r="P439" s="2"/>
      <c r="Q439" s="2"/>
      <c r="R439" s="2"/>
      <c r="S439" s="2"/>
      <c r="T439" s="2"/>
      <c r="U439" s="2"/>
      <c r="V439" s="2"/>
      <c r="W439" s="2"/>
      <c r="X439" s="2"/>
      <c r="Y439" s="2"/>
      <c r="Z439" s="2"/>
      <c r="AA439" s="2"/>
      <c r="AB439" s="2"/>
      <c r="AC439" s="2"/>
      <c r="AD439" s="2"/>
    </row>
    <row r="440" spans="1:30" ht="13">
      <c r="A440" s="3"/>
      <c r="B440" s="2"/>
      <c r="C440" s="2"/>
      <c r="D440" s="3"/>
      <c r="E440" s="3"/>
      <c r="F440" s="1"/>
      <c r="G440" s="37"/>
      <c r="H440" s="1"/>
      <c r="I440" s="2"/>
      <c r="J440" s="2"/>
      <c r="K440" s="2"/>
      <c r="L440" s="2"/>
      <c r="M440" s="2"/>
      <c r="N440" s="3"/>
      <c r="O440" s="3"/>
      <c r="P440" s="2"/>
      <c r="Q440" s="2"/>
      <c r="R440" s="2"/>
      <c r="S440" s="2"/>
      <c r="T440" s="2"/>
      <c r="U440" s="2"/>
      <c r="V440" s="2"/>
      <c r="W440" s="2"/>
      <c r="X440" s="2"/>
      <c r="Y440" s="2"/>
      <c r="Z440" s="2"/>
      <c r="AA440" s="2"/>
      <c r="AB440" s="2"/>
      <c r="AC440" s="2"/>
      <c r="AD440" s="2"/>
    </row>
    <row r="441" spans="1:30" ht="13">
      <c r="A441" s="3"/>
      <c r="B441" s="2"/>
      <c r="C441" s="2"/>
      <c r="D441" s="3"/>
      <c r="E441" s="3"/>
      <c r="F441" s="1"/>
      <c r="G441" s="37"/>
      <c r="H441" s="1"/>
      <c r="I441" s="2"/>
      <c r="J441" s="2"/>
      <c r="K441" s="2"/>
      <c r="L441" s="2"/>
      <c r="M441" s="2"/>
      <c r="N441" s="3"/>
      <c r="O441" s="3"/>
      <c r="P441" s="2"/>
      <c r="Q441" s="2"/>
      <c r="R441" s="2"/>
      <c r="S441" s="2"/>
      <c r="T441" s="2"/>
      <c r="U441" s="2"/>
      <c r="V441" s="2"/>
      <c r="W441" s="2"/>
      <c r="X441" s="2"/>
      <c r="Y441" s="2"/>
      <c r="Z441" s="2"/>
      <c r="AA441" s="2"/>
      <c r="AB441" s="2"/>
      <c r="AC441" s="2"/>
      <c r="AD441" s="2"/>
    </row>
    <row r="442" spans="1:30" ht="13">
      <c r="A442" s="3"/>
      <c r="B442" s="2"/>
      <c r="C442" s="2"/>
      <c r="D442" s="3"/>
      <c r="E442" s="3"/>
      <c r="F442" s="1"/>
      <c r="G442" s="37"/>
      <c r="H442" s="1"/>
      <c r="I442" s="2"/>
      <c r="J442" s="2"/>
      <c r="K442" s="2"/>
      <c r="L442" s="2"/>
      <c r="M442" s="2"/>
      <c r="N442" s="3"/>
      <c r="O442" s="3"/>
      <c r="P442" s="2"/>
      <c r="Q442" s="2"/>
      <c r="R442" s="2"/>
      <c r="S442" s="2"/>
      <c r="T442" s="2"/>
      <c r="U442" s="2"/>
      <c r="V442" s="2"/>
      <c r="W442" s="2"/>
      <c r="X442" s="2"/>
      <c r="Y442" s="2"/>
      <c r="Z442" s="2"/>
      <c r="AA442" s="2"/>
      <c r="AB442" s="2"/>
      <c r="AC442" s="2"/>
      <c r="AD442" s="2"/>
    </row>
    <row r="443" spans="1:30" ht="13">
      <c r="A443" s="3"/>
      <c r="B443" s="2"/>
      <c r="C443" s="2"/>
      <c r="D443" s="3"/>
      <c r="E443" s="3"/>
      <c r="F443" s="1"/>
      <c r="G443" s="37"/>
      <c r="H443" s="1"/>
      <c r="I443" s="2"/>
      <c r="J443" s="2"/>
      <c r="K443" s="2"/>
      <c r="L443" s="2"/>
      <c r="M443" s="2"/>
      <c r="N443" s="3"/>
      <c r="O443" s="3"/>
      <c r="P443" s="2"/>
      <c r="Q443" s="2"/>
      <c r="R443" s="2"/>
      <c r="S443" s="2"/>
      <c r="T443" s="2"/>
      <c r="U443" s="2"/>
      <c r="V443" s="2"/>
      <c r="W443" s="2"/>
      <c r="X443" s="2"/>
      <c r="Y443" s="2"/>
      <c r="Z443" s="2"/>
      <c r="AA443" s="2"/>
      <c r="AB443" s="2"/>
      <c r="AC443" s="2"/>
      <c r="AD443" s="2"/>
    </row>
    <row r="444" spans="1:30" ht="13">
      <c r="A444" s="3"/>
      <c r="B444" s="2"/>
      <c r="C444" s="2"/>
      <c r="D444" s="3"/>
      <c r="E444" s="3"/>
      <c r="F444" s="1"/>
      <c r="G444" s="37"/>
      <c r="H444" s="1"/>
      <c r="I444" s="2"/>
      <c r="J444" s="2"/>
      <c r="K444" s="2"/>
      <c r="L444" s="2"/>
      <c r="M444" s="2"/>
      <c r="N444" s="3"/>
      <c r="O444" s="3"/>
      <c r="P444" s="2"/>
      <c r="Q444" s="2"/>
      <c r="R444" s="2"/>
      <c r="S444" s="2"/>
      <c r="T444" s="2"/>
      <c r="U444" s="2"/>
      <c r="V444" s="2"/>
      <c r="W444" s="2"/>
      <c r="X444" s="2"/>
      <c r="Y444" s="2"/>
      <c r="Z444" s="2"/>
      <c r="AA444" s="2"/>
      <c r="AB444" s="2"/>
      <c r="AC444" s="2"/>
      <c r="AD444" s="2"/>
    </row>
    <row r="445" spans="1:30" ht="13">
      <c r="A445" s="3"/>
      <c r="B445" s="2"/>
      <c r="C445" s="2"/>
      <c r="D445" s="3"/>
      <c r="E445" s="3"/>
      <c r="F445" s="1"/>
      <c r="G445" s="37"/>
      <c r="H445" s="1"/>
      <c r="I445" s="2"/>
      <c r="J445" s="2"/>
      <c r="K445" s="2"/>
      <c r="L445" s="2"/>
      <c r="M445" s="2"/>
      <c r="N445" s="3"/>
      <c r="O445" s="3"/>
      <c r="P445" s="2"/>
      <c r="Q445" s="2"/>
      <c r="R445" s="2"/>
      <c r="S445" s="2"/>
      <c r="T445" s="2"/>
      <c r="U445" s="2"/>
      <c r="V445" s="2"/>
      <c r="W445" s="2"/>
      <c r="X445" s="2"/>
      <c r="Y445" s="2"/>
      <c r="Z445" s="2"/>
      <c r="AA445" s="2"/>
      <c r="AB445" s="2"/>
      <c r="AC445" s="2"/>
      <c r="AD445" s="2"/>
    </row>
    <row r="446" spans="1:30" ht="13">
      <c r="A446" s="3"/>
      <c r="B446" s="2"/>
      <c r="C446" s="2"/>
      <c r="D446" s="3"/>
      <c r="E446" s="3"/>
      <c r="F446" s="1"/>
      <c r="G446" s="37"/>
      <c r="H446" s="1"/>
      <c r="I446" s="2"/>
      <c r="J446" s="2"/>
      <c r="K446" s="2"/>
      <c r="L446" s="2"/>
      <c r="M446" s="2"/>
      <c r="N446" s="3"/>
      <c r="O446" s="3"/>
      <c r="P446" s="2"/>
      <c r="Q446" s="2"/>
      <c r="R446" s="2"/>
      <c r="S446" s="2"/>
      <c r="T446" s="2"/>
      <c r="U446" s="2"/>
      <c r="V446" s="2"/>
      <c r="W446" s="2"/>
      <c r="X446" s="2"/>
      <c r="Y446" s="2"/>
      <c r="Z446" s="2"/>
      <c r="AA446" s="2"/>
      <c r="AB446" s="2"/>
      <c r="AC446" s="2"/>
      <c r="AD446" s="2"/>
    </row>
    <row r="447" spans="1:30" ht="13">
      <c r="A447" s="3"/>
      <c r="B447" s="2"/>
      <c r="C447" s="2"/>
      <c r="D447" s="3"/>
      <c r="E447" s="3"/>
      <c r="F447" s="1"/>
      <c r="G447" s="37"/>
      <c r="H447" s="1"/>
      <c r="I447" s="2"/>
      <c r="J447" s="2"/>
      <c r="K447" s="2"/>
      <c r="L447" s="2"/>
      <c r="M447" s="2"/>
      <c r="N447" s="3"/>
      <c r="O447" s="3"/>
      <c r="P447" s="2"/>
      <c r="Q447" s="2"/>
      <c r="R447" s="2"/>
      <c r="S447" s="2"/>
      <c r="T447" s="2"/>
      <c r="U447" s="2"/>
      <c r="V447" s="2"/>
      <c r="W447" s="2"/>
      <c r="X447" s="2"/>
      <c r="Y447" s="2"/>
      <c r="Z447" s="2"/>
      <c r="AA447" s="2"/>
      <c r="AB447" s="2"/>
      <c r="AC447" s="2"/>
      <c r="AD447" s="2"/>
    </row>
    <row r="448" spans="1:30" ht="13">
      <c r="A448" s="3"/>
      <c r="B448" s="2"/>
      <c r="C448" s="2"/>
      <c r="D448" s="3"/>
      <c r="E448" s="3"/>
      <c r="F448" s="1"/>
      <c r="G448" s="37"/>
      <c r="H448" s="1"/>
      <c r="I448" s="2"/>
      <c r="J448" s="2"/>
      <c r="K448" s="2"/>
      <c r="L448" s="2"/>
      <c r="M448" s="2"/>
      <c r="N448" s="3"/>
      <c r="O448" s="3"/>
      <c r="P448" s="2"/>
      <c r="Q448" s="2"/>
      <c r="R448" s="2"/>
      <c r="S448" s="2"/>
      <c r="T448" s="2"/>
      <c r="U448" s="2"/>
      <c r="V448" s="2"/>
      <c r="W448" s="2"/>
      <c r="X448" s="2"/>
      <c r="Y448" s="2"/>
      <c r="Z448" s="2"/>
      <c r="AA448" s="2"/>
      <c r="AB448" s="2"/>
      <c r="AC448" s="2"/>
      <c r="AD448" s="2"/>
    </row>
    <row r="449" spans="1:30" ht="13">
      <c r="A449" s="3"/>
      <c r="B449" s="2"/>
      <c r="C449" s="2"/>
      <c r="D449" s="3"/>
      <c r="E449" s="3"/>
      <c r="F449" s="1"/>
      <c r="G449" s="37"/>
      <c r="H449" s="1"/>
      <c r="I449" s="2"/>
      <c r="J449" s="2"/>
      <c r="K449" s="2"/>
      <c r="L449" s="2"/>
      <c r="M449" s="2"/>
      <c r="N449" s="3"/>
      <c r="O449" s="3"/>
      <c r="P449" s="2"/>
      <c r="Q449" s="2"/>
      <c r="R449" s="2"/>
      <c r="S449" s="2"/>
      <c r="T449" s="2"/>
      <c r="U449" s="2"/>
      <c r="V449" s="2"/>
      <c r="W449" s="2"/>
      <c r="X449" s="2"/>
      <c r="Y449" s="2"/>
      <c r="Z449" s="2"/>
      <c r="AA449" s="2"/>
      <c r="AB449" s="2"/>
      <c r="AC449" s="2"/>
      <c r="AD449" s="2"/>
    </row>
    <row r="450" spans="1:30" ht="13">
      <c r="A450" s="3"/>
      <c r="B450" s="2"/>
      <c r="C450" s="2"/>
      <c r="D450" s="3"/>
      <c r="E450" s="3"/>
      <c r="F450" s="1"/>
      <c r="G450" s="37"/>
      <c r="H450" s="1"/>
      <c r="I450" s="2"/>
      <c r="J450" s="2"/>
      <c r="K450" s="2"/>
      <c r="L450" s="2"/>
      <c r="M450" s="2"/>
      <c r="N450" s="3"/>
      <c r="O450" s="3"/>
      <c r="P450" s="2"/>
      <c r="Q450" s="2"/>
      <c r="R450" s="2"/>
      <c r="S450" s="2"/>
      <c r="T450" s="2"/>
      <c r="U450" s="2"/>
      <c r="V450" s="2"/>
      <c r="W450" s="2"/>
      <c r="X450" s="2"/>
      <c r="Y450" s="2"/>
      <c r="Z450" s="2"/>
      <c r="AA450" s="2"/>
      <c r="AB450" s="2"/>
      <c r="AC450" s="2"/>
      <c r="AD450" s="2"/>
    </row>
    <row r="451" spans="1:30" ht="13">
      <c r="A451" s="3"/>
      <c r="B451" s="2"/>
      <c r="C451" s="2"/>
      <c r="D451" s="3"/>
      <c r="E451" s="3"/>
      <c r="F451" s="1"/>
      <c r="G451" s="37"/>
      <c r="H451" s="1"/>
      <c r="I451" s="2"/>
      <c r="J451" s="2"/>
      <c r="K451" s="2"/>
      <c r="L451" s="2"/>
      <c r="M451" s="2"/>
      <c r="N451" s="3"/>
      <c r="O451" s="3"/>
      <c r="P451" s="2"/>
      <c r="Q451" s="2"/>
      <c r="R451" s="2"/>
      <c r="S451" s="2"/>
      <c r="T451" s="2"/>
      <c r="U451" s="2"/>
      <c r="V451" s="2"/>
      <c r="W451" s="2"/>
      <c r="X451" s="2"/>
      <c r="Y451" s="2"/>
      <c r="Z451" s="2"/>
      <c r="AA451" s="2"/>
      <c r="AB451" s="2"/>
      <c r="AC451" s="2"/>
      <c r="AD451" s="2"/>
    </row>
    <row r="452" spans="1:30" ht="13">
      <c r="A452" s="3"/>
      <c r="B452" s="2"/>
      <c r="C452" s="2"/>
      <c r="D452" s="3"/>
      <c r="E452" s="3"/>
      <c r="F452" s="1"/>
      <c r="G452" s="37"/>
      <c r="H452" s="1"/>
      <c r="I452" s="2"/>
      <c r="J452" s="2"/>
      <c r="K452" s="2"/>
      <c r="L452" s="2"/>
      <c r="M452" s="2"/>
      <c r="N452" s="3"/>
      <c r="O452" s="3"/>
      <c r="P452" s="2"/>
      <c r="Q452" s="2"/>
      <c r="R452" s="2"/>
      <c r="S452" s="2"/>
      <c r="T452" s="2"/>
      <c r="U452" s="2"/>
      <c r="V452" s="2"/>
      <c r="W452" s="2"/>
      <c r="X452" s="2"/>
      <c r="Y452" s="2"/>
      <c r="Z452" s="2"/>
      <c r="AA452" s="2"/>
      <c r="AB452" s="2"/>
      <c r="AC452" s="2"/>
      <c r="AD452" s="2"/>
    </row>
    <row r="453" spans="1:30" ht="13">
      <c r="A453" s="3"/>
      <c r="B453" s="2"/>
      <c r="C453" s="2"/>
      <c r="D453" s="3"/>
      <c r="E453" s="3"/>
      <c r="F453" s="1"/>
      <c r="G453" s="37"/>
      <c r="H453" s="1"/>
      <c r="I453" s="2"/>
      <c r="J453" s="2"/>
      <c r="K453" s="2"/>
      <c r="L453" s="2"/>
      <c r="M453" s="2"/>
      <c r="N453" s="3"/>
      <c r="O453" s="3"/>
      <c r="P453" s="2"/>
      <c r="Q453" s="2"/>
      <c r="R453" s="2"/>
      <c r="S453" s="2"/>
      <c r="T453" s="2"/>
      <c r="U453" s="2"/>
      <c r="V453" s="2"/>
      <c r="W453" s="2"/>
      <c r="X453" s="2"/>
      <c r="Y453" s="2"/>
      <c r="Z453" s="2"/>
      <c r="AA453" s="2"/>
      <c r="AB453" s="2"/>
      <c r="AC453" s="2"/>
      <c r="AD453" s="2"/>
    </row>
    <row r="454" spans="1:30" ht="13">
      <c r="A454" s="3"/>
      <c r="B454" s="2"/>
      <c r="C454" s="2"/>
      <c r="D454" s="3"/>
      <c r="E454" s="3"/>
      <c r="F454" s="1"/>
      <c r="G454" s="37"/>
      <c r="H454" s="1"/>
      <c r="I454" s="2"/>
      <c r="J454" s="2"/>
      <c r="K454" s="2"/>
      <c r="L454" s="2"/>
      <c r="M454" s="2"/>
      <c r="N454" s="3"/>
      <c r="O454" s="3"/>
      <c r="P454" s="2"/>
      <c r="Q454" s="2"/>
      <c r="R454" s="2"/>
      <c r="S454" s="2"/>
      <c r="T454" s="2"/>
      <c r="U454" s="2"/>
      <c r="V454" s="2"/>
      <c r="W454" s="2"/>
      <c r="X454" s="2"/>
      <c r="Y454" s="2"/>
      <c r="Z454" s="2"/>
      <c r="AA454" s="2"/>
      <c r="AB454" s="2"/>
      <c r="AC454" s="2"/>
      <c r="AD454" s="2"/>
    </row>
    <row r="455" spans="1:30" ht="13">
      <c r="A455" s="3"/>
      <c r="B455" s="2"/>
      <c r="C455" s="2"/>
      <c r="D455" s="3"/>
      <c r="E455" s="3"/>
      <c r="F455" s="1"/>
      <c r="G455" s="37"/>
      <c r="H455" s="1"/>
      <c r="I455" s="2"/>
      <c r="J455" s="2"/>
      <c r="K455" s="2"/>
      <c r="L455" s="2"/>
      <c r="M455" s="2"/>
      <c r="N455" s="3"/>
      <c r="O455" s="3"/>
      <c r="P455" s="2"/>
      <c r="Q455" s="2"/>
      <c r="R455" s="2"/>
      <c r="S455" s="2"/>
      <c r="T455" s="2"/>
      <c r="U455" s="2"/>
      <c r="V455" s="2"/>
      <c r="W455" s="2"/>
      <c r="X455" s="2"/>
      <c r="Y455" s="2"/>
      <c r="Z455" s="2"/>
      <c r="AA455" s="2"/>
      <c r="AB455" s="2"/>
      <c r="AC455" s="2"/>
      <c r="AD455" s="2"/>
    </row>
    <row r="456" spans="1:30" ht="13">
      <c r="A456" s="3"/>
      <c r="B456" s="2"/>
      <c r="C456" s="2"/>
      <c r="D456" s="3"/>
      <c r="E456" s="3"/>
      <c r="F456" s="1"/>
      <c r="G456" s="37"/>
      <c r="H456" s="1"/>
      <c r="I456" s="2"/>
      <c r="J456" s="2"/>
      <c r="K456" s="2"/>
      <c r="L456" s="2"/>
      <c r="M456" s="2"/>
      <c r="N456" s="3"/>
      <c r="O456" s="3"/>
      <c r="P456" s="2"/>
      <c r="Q456" s="2"/>
      <c r="R456" s="2"/>
      <c r="S456" s="2"/>
      <c r="T456" s="2"/>
      <c r="U456" s="2"/>
      <c r="V456" s="2"/>
      <c r="W456" s="2"/>
      <c r="X456" s="2"/>
      <c r="Y456" s="2"/>
      <c r="Z456" s="2"/>
      <c r="AA456" s="2"/>
      <c r="AB456" s="2"/>
      <c r="AC456" s="2"/>
      <c r="AD456" s="2"/>
    </row>
    <row r="457" spans="1:30" ht="13">
      <c r="A457" s="3"/>
      <c r="B457" s="2"/>
      <c r="C457" s="2"/>
      <c r="D457" s="3"/>
      <c r="E457" s="3"/>
      <c r="F457" s="1"/>
      <c r="G457" s="37"/>
      <c r="H457" s="1"/>
      <c r="I457" s="2"/>
      <c r="J457" s="2"/>
      <c r="K457" s="2"/>
      <c r="L457" s="2"/>
      <c r="M457" s="2"/>
      <c r="N457" s="3"/>
      <c r="O457" s="3"/>
      <c r="P457" s="2"/>
      <c r="Q457" s="2"/>
      <c r="R457" s="2"/>
      <c r="S457" s="2"/>
      <c r="T457" s="2"/>
      <c r="U457" s="2"/>
      <c r="V457" s="2"/>
      <c r="W457" s="2"/>
      <c r="X457" s="2"/>
      <c r="Y457" s="2"/>
      <c r="Z457" s="2"/>
      <c r="AA457" s="2"/>
      <c r="AB457" s="2"/>
      <c r="AC457" s="2"/>
      <c r="AD457" s="2"/>
    </row>
    <row r="458" spans="1:30" ht="13">
      <c r="A458" s="3"/>
      <c r="B458" s="2"/>
      <c r="C458" s="2"/>
      <c r="D458" s="3"/>
      <c r="E458" s="3"/>
      <c r="F458" s="1"/>
      <c r="G458" s="37"/>
      <c r="H458" s="1"/>
      <c r="I458" s="2"/>
      <c r="J458" s="2"/>
      <c r="K458" s="2"/>
      <c r="L458" s="2"/>
      <c r="M458" s="2"/>
      <c r="N458" s="3"/>
      <c r="O458" s="3"/>
      <c r="P458" s="2"/>
      <c r="Q458" s="2"/>
      <c r="R458" s="2"/>
      <c r="S458" s="2"/>
      <c r="T458" s="2"/>
      <c r="U458" s="2"/>
      <c r="V458" s="2"/>
      <c r="W458" s="2"/>
      <c r="X458" s="2"/>
      <c r="Y458" s="2"/>
      <c r="Z458" s="2"/>
      <c r="AA458" s="2"/>
      <c r="AB458" s="2"/>
      <c r="AC458" s="2"/>
      <c r="AD458" s="2"/>
    </row>
    <row r="459" spans="1:30" ht="13">
      <c r="A459" s="3"/>
      <c r="B459" s="2"/>
      <c r="C459" s="2"/>
      <c r="D459" s="3"/>
      <c r="E459" s="3"/>
      <c r="F459" s="1"/>
      <c r="G459" s="37"/>
      <c r="H459" s="1"/>
      <c r="I459" s="2"/>
      <c r="J459" s="2"/>
      <c r="K459" s="2"/>
      <c r="L459" s="2"/>
      <c r="M459" s="2"/>
      <c r="N459" s="3"/>
      <c r="O459" s="3"/>
      <c r="P459" s="2"/>
      <c r="Q459" s="2"/>
      <c r="R459" s="2"/>
      <c r="S459" s="2"/>
      <c r="T459" s="2"/>
      <c r="U459" s="2"/>
      <c r="V459" s="2"/>
      <c r="W459" s="2"/>
      <c r="X459" s="2"/>
      <c r="Y459" s="2"/>
      <c r="Z459" s="2"/>
      <c r="AA459" s="2"/>
      <c r="AB459" s="2"/>
      <c r="AC459" s="2"/>
      <c r="AD459" s="2"/>
    </row>
    <row r="460" spans="1:30" ht="13">
      <c r="A460" s="3"/>
      <c r="B460" s="2"/>
      <c r="C460" s="2"/>
      <c r="D460" s="3"/>
      <c r="E460" s="3"/>
      <c r="F460" s="1"/>
      <c r="G460" s="37"/>
      <c r="H460" s="1"/>
      <c r="I460" s="2"/>
      <c r="J460" s="2"/>
      <c r="K460" s="2"/>
      <c r="L460" s="2"/>
      <c r="M460" s="2"/>
      <c r="N460" s="3"/>
      <c r="O460" s="3"/>
      <c r="P460" s="2"/>
      <c r="Q460" s="2"/>
      <c r="R460" s="2"/>
      <c r="S460" s="2"/>
      <c r="T460" s="2"/>
      <c r="U460" s="2"/>
      <c r="V460" s="2"/>
      <c r="W460" s="2"/>
      <c r="X460" s="2"/>
      <c r="Y460" s="2"/>
      <c r="Z460" s="2"/>
      <c r="AA460" s="2"/>
      <c r="AB460" s="2"/>
      <c r="AC460" s="2"/>
      <c r="AD460" s="2"/>
    </row>
    <row r="461" spans="1:30" ht="13">
      <c r="A461" s="3"/>
      <c r="B461" s="2"/>
      <c r="C461" s="2"/>
      <c r="D461" s="3"/>
      <c r="E461" s="3"/>
      <c r="F461" s="1"/>
      <c r="G461" s="37"/>
      <c r="H461" s="1"/>
      <c r="I461" s="2"/>
      <c r="J461" s="2"/>
      <c r="K461" s="2"/>
      <c r="L461" s="2"/>
      <c r="M461" s="2"/>
      <c r="N461" s="3"/>
      <c r="O461" s="3"/>
      <c r="P461" s="2"/>
      <c r="Q461" s="2"/>
      <c r="R461" s="2"/>
      <c r="S461" s="2"/>
      <c r="T461" s="2"/>
      <c r="U461" s="2"/>
      <c r="V461" s="2"/>
      <c r="W461" s="2"/>
      <c r="X461" s="2"/>
      <c r="Y461" s="2"/>
      <c r="Z461" s="2"/>
      <c r="AA461" s="2"/>
      <c r="AB461" s="2"/>
      <c r="AC461" s="2"/>
      <c r="AD461" s="2"/>
    </row>
    <row r="462" spans="1:30" ht="13">
      <c r="A462" s="3"/>
      <c r="B462" s="2"/>
      <c r="C462" s="2"/>
      <c r="D462" s="3"/>
      <c r="E462" s="3"/>
      <c r="F462" s="1"/>
      <c r="G462" s="37"/>
      <c r="H462" s="1"/>
      <c r="I462" s="2"/>
      <c r="J462" s="2"/>
      <c r="K462" s="2"/>
      <c r="L462" s="2"/>
      <c r="M462" s="2"/>
      <c r="N462" s="3"/>
      <c r="O462" s="3"/>
      <c r="P462" s="2"/>
      <c r="Q462" s="2"/>
      <c r="R462" s="2"/>
      <c r="S462" s="2"/>
      <c r="T462" s="2"/>
      <c r="U462" s="2"/>
      <c r="V462" s="2"/>
      <c r="W462" s="2"/>
      <c r="X462" s="2"/>
      <c r="Y462" s="2"/>
      <c r="Z462" s="2"/>
      <c r="AA462" s="2"/>
      <c r="AB462" s="2"/>
      <c r="AC462" s="2"/>
      <c r="AD462" s="2"/>
    </row>
    <row r="463" spans="1:30" ht="13">
      <c r="A463" s="3"/>
      <c r="B463" s="2"/>
      <c r="C463" s="2"/>
      <c r="D463" s="3"/>
      <c r="E463" s="3"/>
      <c r="F463" s="1"/>
      <c r="G463" s="37"/>
      <c r="H463" s="1"/>
      <c r="I463" s="2"/>
      <c r="J463" s="2"/>
      <c r="K463" s="2"/>
      <c r="L463" s="2"/>
      <c r="M463" s="2"/>
      <c r="N463" s="3"/>
      <c r="O463" s="3"/>
      <c r="P463" s="2"/>
      <c r="Q463" s="2"/>
      <c r="R463" s="2"/>
      <c r="S463" s="2"/>
      <c r="T463" s="2"/>
      <c r="U463" s="2"/>
      <c r="V463" s="2"/>
      <c r="W463" s="2"/>
      <c r="X463" s="2"/>
      <c r="Y463" s="2"/>
      <c r="Z463" s="2"/>
      <c r="AA463" s="2"/>
      <c r="AB463" s="2"/>
      <c r="AC463" s="2"/>
      <c r="AD463" s="2"/>
    </row>
    <row r="464" spans="1:30" ht="13">
      <c r="A464" s="3"/>
      <c r="B464" s="2"/>
      <c r="C464" s="2"/>
      <c r="D464" s="3"/>
      <c r="E464" s="3"/>
      <c r="F464" s="1"/>
      <c r="G464" s="37"/>
      <c r="H464" s="1"/>
      <c r="I464" s="2"/>
      <c r="J464" s="2"/>
      <c r="K464" s="2"/>
      <c r="L464" s="2"/>
      <c r="M464" s="2"/>
      <c r="N464" s="3"/>
      <c r="O464" s="3"/>
      <c r="P464" s="2"/>
      <c r="Q464" s="2"/>
      <c r="R464" s="2"/>
      <c r="S464" s="2"/>
      <c r="T464" s="2"/>
      <c r="U464" s="2"/>
      <c r="V464" s="2"/>
      <c r="W464" s="2"/>
      <c r="X464" s="2"/>
      <c r="Y464" s="2"/>
      <c r="Z464" s="2"/>
      <c r="AA464" s="2"/>
      <c r="AB464" s="2"/>
      <c r="AC464" s="2"/>
      <c r="AD464" s="2"/>
    </row>
    <row r="465" spans="1:30" ht="13">
      <c r="A465" s="3"/>
      <c r="B465" s="2"/>
      <c r="C465" s="2"/>
      <c r="D465" s="3"/>
      <c r="E465" s="3"/>
      <c r="F465" s="1"/>
      <c r="G465" s="37"/>
      <c r="H465" s="1"/>
      <c r="I465" s="2"/>
      <c r="J465" s="2"/>
      <c r="K465" s="2"/>
      <c r="L465" s="2"/>
      <c r="M465" s="2"/>
      <c r="N465" s="3"/>
      <c r="O465" s="3"/>
      <c r="P465" s="2"/>
      <c r="Q465" s="2"/>
      <c r="R465" s="2"/>
      <c r="S465" s="2"/>
      <c r="T465" s="2"/>
      <c r="U465" s="2"/>
      <c r="V465" s="2"/>
      <c r="W465" s="2"/>
      <c r="X465" s="2"/>
      <c r="Y465" s="2"/>
      <c r="Z465" s="2"/>
      <c r="AA465" s="2"/>
      <c r="AB465" s="2"/>
      <c r="AC465" s="2"/>
      <c r="AD465" s="2"/>
    </row>
    <row r="466" spans="1:30" ht="13">
      <c r="A466" s="3"/>
      <c r="B466" s="2"/>
      <c r="C466" s="2"/>
      <c r="D466" s="3"/>
      <c r="E466" s="3"/>
      <c r="F466" s="1"/>
      <c r="G466" s="37"/>
      <c r="H466" s="1"/>
      <c r="I466" s="2"/>
      <c r="J466" s="2"/>
      <c r="K466" s="2"/>
      <c r="L466" s="2"/>
      <c r="M466" s="2"/>
      <c r="N466" s="3"/>
      <c r="O466" s="3"/>
      <c r="P466" s="2"/>
      <c r="Q466" s="2"/>
      <c r="R466" s="2"/>
      <c r="S466" s="2"/>
      <c r="T466" s="2"/>
      <c r="U466" s="2"/>
      <c r="V466" s="2"/>
      <c r="W466" s="2"/>
      <c r="X466" s="2"/>
      <c r="Y466" s="2"/>
      <c r="Z466" s="2"/>
      <c r="AA466" s="2"/>
      <c r="AB466" s="2"/>
      <c r="AC466" s="2"/>
      <c r="AD466" s="2"/>
    </row>
    <row r="467" spans="1:30" ht="13">
      <c r="A467" s="3"/>
      <c r="B467" s="2"/>
      <c r="C467" s="2"/>
      <c r="D467" s="3"/>
      <c r="E467" s="3"/>
      <c r="F467" s="1"/>
      <c r="G467" s="37"/>
      <c r="H467" s="1"/>
      <c r="I467" s="2"/>
      <c r="J467" s="2"/>
      <c r="K467" s="2"/>
      <c r="L467" s="2"/>
      <c r="M467" s="2"/>
      <c r="N467" s="3"/>
      <c r="O467" s="3"/>
      <c r="P467" s="2"/>
      <c r="Q467" s="2"/>
      <c r="R467" s="2"/>
      <c r="S467" s="2"/>
      <c r="T467" s="2"/>
      <c r="U467" s="2"/>
      <c r="V467" s="2"/>
      <c r="W467" s="2"/>
      <c r="X467" s="2"/>
      <c r="Y467" s="2"/>
      <c r="Z467" s="2"/>
      <c r="AA467" s="2"/>
      <c r="AB467" s="2"/>
      <c r="AC467" s="2"/>
      <c r="AD467" s="2"/>
    </row>
    <row r="468" spans="1:30" ht="13">
      <c r="A468" s="3"/>
      <c r="B468" s="2"/>
      <c r="C468" s="2"/>
      <c r="D468" s="3"/>
      <c r="E468" s="3"/>
      <c r="F468" s="1"/>
      <c r="G468" s="37"/>
      <c r="H468" s="1"/>
      <c r="I468" s="2"/>
      <c r="J468" s="2"/>
      <c r="K468" s="2"/>
      <c r="L468" s="2"/>
      <c r="M468" s="2"/>
      <c r="N468" s="3"/>
      <c r="O468" s="3"/>
      <c r="P468" s="2"/>
      <c r="Q468" s="2"/>
      <c r="R468" s="2"/>
      <c r="S468" s="2"/>
      <c r="T468" s="2"/>
      <c r="U468" s="2"/>
      <c r="V468" s="2"/>
      <c r="W468" s="2"/>
      <c r="X468" s="2"/>
      <c r="Y468" s="2"/>
      <c r="Z468" s="2"/>
      <c r="AA468" s="2"/>
      <c r="AB468" s="2"/>
      <c r="AC468" s="2"/>
      <c r="AD468" s="2"/>
    </row>
    <row r="469" spans="1:30" ht="13">
      <c r="A469" s="3"/>
      <c r="B469" s="2"/>
      <c r="C469" s="2"/>
      <c r="D469" s="3"/>
      <c r="E469" s="3"/>
      <c r="F469" s="1"/>
      <c r="G469" s="37"/>
      <c r="H469" s="1"/>
      <c r="I469" s="2"/>
      <c r="J469" s="2"/>
      <c r="K469" s="2"/>
      <c r="L469" s="2"/>
      <c r="M469" s="2"/>
      <c r="N469" s="3"/>
      <c r="O469" s="3"/>
      <c r="P469" s="2"/>
      <c r="Q469" s="2"/>
      <c r="R469" s="2"/>
      <c r="S469" s="2"/>
      <c r="T469" s="2"/>
      <c r="U469" s="2"/>
      <c r="V469" s="2"/>
      <c r="W469" s="2"/>
      <c r="X469" s="2"/>
      <c r="Y469" s="2"/>
      <c r="Z469" s="2"/>
      <c r="AA469" s="2"/>
      <c r="AB469" s="2"/>
      <c r="AC469" s="2"/>
      <c r="AD469" s="2"/>
    </row>
    <row r="470" spans="1:30" ht="13">
      <c r="A470" s="3"/>
      <c r="B470" s="2"/>
      <c r="C470" s="2"/>
      <c r="D470" s="3"/>
      <c r="E470" s="3"/>
      <c r="F470" s="1"/>
      <c r="G470" s="37"/>
      <c r="H470" s="1"/>
      <c r="I470" s="2"/>
      <c r="J470" s="2"/>
      <c r="K470" s="2"/>
      <c r="L470" s="2"/>
      <c r="M470" s="2"/>
      <c r="N470" s="3"/>
      <c r="O470" s="3"/>
      <c r="P470" s="2"/>
      <c r="Q470" s="2"/>
      <c r="R470" s="2"/>
      <c r="S470" s="2"/>
      <c r="T470" s="2"/>
      <c r="U470" s="2"/>
      <c r="V470" s="2"/>
      <c r="W470" s="2"/>
      <c r="X470" s="2"/>
      <c r="Y470" s="2"/>
      <c r="Z470" s="2"/>
      <c r="AA470" s="2"/>
      <c r="AB470" s="2"/>
      <c r="AC470" s="2"/>
      <c r="AD470" s="2"/>
    </row>
    <row r="471" spans="1:30" ht="13">
      <c r="A471" s="3"/>
      <c r="B471" s="2"/>
      <c r="C471" s="2"/>
      <c r="D471" s="3"/>
      <c r="E471" s="3"/>
      <c r="F471" s="1"/>
      <c r="G471" s="37"/>
      <c r="H471" s="1"/>
      <c r="I471" s="2"/>
      <c r="J471" s="2"/>
      <c r="K471" s="2"/>
      <c r="L471" s="2"/>
      <c r="M471" s="2"/>
      <c r="N471" s="3"/>
      <c r="O471" s="3"/>
      <c r="P471" s="2"/>
      <c r="Q471" s="2"/>
      <c r="R471" s="2"/>
      <c r="S471" s="2"/>
      <c r="T471" s="2"/>
      <c r="U471" s="2"/>
      <c r="V471" s="2"/>
      <c r="W471" s="2"/>
      <c r="X471" s="2"/>
      <c r="Y471" s="2"/>
      <c r="Z471" s="2"/>
      <c r="AA471" s="2"/>
      <c r="AB471" s="2"/>
      <c r="AC471" s="2"/>
      <c r="AD471" s="2"/>
    </row>
    <row r="472" spans="1:30" ht="13">
      <c r="A472" s="3"/>
      <c r="B472" s="2"/>
      <c r="C472" s="2"/>
      <c r="D472" s="3"/>
      <c r="E472" s="3"/>
      <c r="F472" s="1"/>
      <c r="G472" s="37"/>
      <c r="H472" s="1"/>
      <c r="I472" s="2"/>
      <c r="J472" s="2"/>
      <c r="K472" s="2"/>
      <c r="L472" s="2"/>
      <c r="M472" s="2"/>
      <c r="N472" s="3"/>
      <c r="O472" s="3"/>
      <c r="P472" s="2"/>
      <c r="Q472" s="2"/>
      <c r="R472" s="2"/>
      <c r="S472" s="2"/>
      <c r="T472" s="2"/>
      <c r="U472" s="2"/>
      <c r="V472" s="2"/>
      <c r="W472" s="2"/>
      <c r="X472" s="2"/>
      <c r="Y472" s="2"/>
      <c r="Z472" s="2"/>
      <c r="AA472" s="2"/>
      <c r="AB472" s="2"/>
      <c r="AC472" s="2"/>
      <c r="AD472" s="2"/>
    </row>
    <row r="473" spans="1:30" ht="13">
      <c r="A473" s="3"/>
      <c r="B473" s="2"/>
      <c r="C473" s="2"/>
      <c r="D473" s="3"/>
      <c r="E473" s="3"/>
      <c r="F473" s="1"/>
      <c r="G473" s="37"/>
      <c r="H473" s="1"/>
      <c r="I473" s="2"/>
      <c r="J473" s="2"/>
      <c r="K473" s="2"/>
      <c r="L473" s="2"/>
      <c r="M473" s="2"/>
      <c r="N473" s="3"/>
      <c r="O473" s="3"/>
      <c r="P473" s="2"/>
      <c r="Q473" s="2"/>
      <c r="R473" s="2"/>
      <c r="S473" s="2"/>
      <c r="T473" s="2"/>
      <c r="U473" s="2"/>
      <c r="V473" s="2"/>
      <c r="W473" s="2"/>
      <c r="X473" s="2"/>
      <c r="Y473" s="2"/>
      <c r="Z473" s="2"/>
      <c r="AA473" s="2"/>
      <c r="AB473" s="2"/>
      <c r="AC473" s="2"/>
      <c r="AD473" s="2"/>
    </row>
    <row r="474" spans="1:30" ht="13">
      <c r="A474" s="3"/>
      <c r="B474" s="2"/>
      <c r="C474" s="2"/>
      <c r="D474" s="3"/>
      <c r="E474" s="3"/>
      <c r="F474" s="1"/>
      <c r="G474" s="37"/>
      <c r="H474" s="1"/>
      <c r="I474" s="2"/>
      <c r="J474" s="2"/>
      <c r="K474" s="2"/>
      <c r="L474" s="2"/>
      <c r="M474" s="2"/>
      <c r="N474" s="3"/>
      <c r="O474" s="3"/>
      <c r="P474" s="2"/>
      <c r="Q474" s="2"/>
      <c r="R474" s="2"/>
      <c r="S474" s="2"/>
      <c r="T474" s="2"/>
      <c r="U474" s="2"/>
      <c r="V474" s="2"/>
      <c r="W474" s="2"/>
      <c r="X474" s="2"/>
      <c r="Y474" s="2"/>
      <c r="Z474" s="2"/>
      <c r="AA474" s="2"/>
      <c r="AB474" s="2"/>
      <c r="AC474" s="2"/>
      <c r="AD474" s="2"/>
    </row>
    <row r="475" spans="1:30" ht="13">
      <c r="A475" s="3"/>
      <c r="B475" s="2"/>
      <c r="C475" s="2"/>
      <c r="D475" s="3"/>
      <c r="E475" s="3"/>
      <c r="F475" s="1"/>
      <c r="G475" s="37"/>
      <c r="H475" s="1"/>
      <c r="I475" s="2"/>
      <c r="J475" s="2"/>
      <c r="K475" s="2"/>
      <c r="L475" s="2"/>
      <c r="M475" s="2"/>
      <c r="N475" s="3"/>
      <c r="O475" s="3"/>
      <c r="P475" s="2"/>
      <c r="Q475" s="2"/>
      <c r="R475" s="2"/>
      <c r="S475" s="2"/>
      <c r="T475" s="2"/>
      <c r="U475" s="2"/>
      <c r="V475" s="2"/>
      <c r="W475" s="2"/>
      <c r="X475" s="2"/>
      <c r="Y475" s="2"/>
      <c r="Z475" s="2"/>
      <c r="AA475" s="2"/>
      <c r="AB475" s="2"/>
      <c r="AC475" s="2"/>
      <c r="AD475" s="2"/>
    </row>
    <row r="476" spans="1:30" ht="13">
      <c r="A476" s="3"/>
      <c r="B476" s="2"/>
      <c r="C476" s="2"/>
      <c r="D476" s="3"/>
      <c r="E476" s="3"/>
      <c r="F476" s="1"/>
      <c r="G476" s="37"/>
      <c r="H476" s="1"/>
      <c r="I476" s="2"/>
      <c r="J476" s="2"/>
      <c r="K476" s="2"/>
      <c r="L476" s="2"/>
      <c r="M476" s="2"/>
      <c r="N476" s="3"/>
      <c r="O476" s="3"/>
      <c r="P476" s="2"/>
      <c r="Q476" s="2"/>
      <c r="R476" s="2"/>
      <c r="S476" s="2"/>
      <c r="T476" s="2"/>
      <c r="U476" s="2"/>
      <c r="V476" s="2"/>
      <c r="W476" s="2"/>
      <c r="X476" s="2"/>
      <c r="Y476" s="2"/>
      <c r="Z476" s="2"/>
      <c r="AA476" s="2"/>
      <c r="AB476" s="2"/>
      <c r="AC476" s="2"/>
      <c r="AD476" s="2"/>
    </row>
    <row r="477" spans="1:30" ht="13">
      <c r="A477" s="3"/>
      <c r="B477" s="2"/>
      <c r="C477" s="2"/>
      <c r="D477" s="3"/>
      <c r="E477" s="3"/>
      <c r="F477" s="1"/>
      <c r="G477" s="37"/>
      <c r="H477" s="1"/>
      <c r="I477" s="2"/>
      <c r="J477" s="2"/>
      <c r="K477" s="2"/>
      <c r="L477" s="2"/>
      <c r="M477" s="2"/>
      <c r="N477" s="3"/>
      <c r="O477" s="3"/>
      <c r="P477" s="2"/>
      <c r="Q477" s="2"/>
      <c r="R477" s="2"/>
      <c r="S477" s="2"/>
      <c r="T477" s="2"/>
      <c r="U477" s="2"/>
      <c r="V477" s="2"/>
      <c r="W477" s="2"/>
      <c r="X477" s="2"/>
      <c r="Y477" s="2"/>
      <c r="Z477" s="2"/>
      <c r="AA477" s="2"/>
      <c r="AB477" s="2"/>
      <c r="AC477" s="2"/>
      <c r="AD477" s="2"/>
    </row>
    <row r="478" spans="1:30" ht="13">
      <c r="A478" s="3"/>
      <c r="B478" s="2"/>
      <c r="C478" s="2"/>
      <c r="D478" s="3"/>
      <c r="E478" s="3"/>
      <c r="F478" s="1"/>
      <c r="G478" s="37"/>
      <c r="H478" s="1"/>
      <c r="I478" s="2"/>
      <c r="J478" s="2"/>
      <c r="K478" s="2"/>
      <c r="L478" s="2"/>
      <c r="M478" s="2"/>
      <c r="N478" s="3"/>
      <c r="O478" s="3"/>
      <c r="P478" s="2"/>
      <c r="Q478" s="2"/>
      <c r="R478" s="2"/>
      <c r="S478" s="2"/>
      <c r="T478" s="2"/>
      <c r="U478" s="2"/>
      <c r="V478" s="2"/>
      <c r="W478" s="2"/>
      <c r="X478" s="2"/>
      <c r="Y478" s="2"/>
      <c r="Z478" s="2"/>
      <c r="AA478" s="2"/>
      <c r="AB478" s="2"/>
      <c r="AC478" s="2"/>
      <c r="AD478" s="2"/>
    </row>
    <row r="479" spans="1:30" ht="13">
      <c r="A479" s="3"/>
      <c r="B479" s="2"/>
      <c r="C479" s="2"/>
      <c r="D479" s="3"/>
      <c r="E479" s="3"/>
      <c r="F479" s="1"/>
      <c r="G479" s="37"/>
      <c r="H479" s="1"/>
      <c r="I479" s="2"/>
      <c r="J479" s="2"/>
      <c r="K479" s="2"/>
      <c r="L479" s="2"/>
      <c r="M479" s="2"/>
      <c r="N479" s="3"/>
      <c r="O479" s="3"/>
      <c r="P479" s="2"/>
      <c r="Q479" s="2"/>
      <c r="R479" s="2"/>
      <c r="S479" s="2"/>
      <c r="T479" s="2"/>
      <c r="U479" s="2"/>
      <c r="V479" s="2"/>
      <c r="W479" s="2"/>
      <c r="X479" s="2"/>
      <c r="Y479" s="2"/>
      <c r="Z479" s="2"/>
      <c r="AA479" s="2"/>
      <c r="AB479" s="2"/>
      <c r="AC479" s="2"/>
      <c r="AD479" s="2"/>
    </row>
    <row r="480" spans="1:30" ht="13">
      <c r="A480" s="3"/>
      <c r="B480" s="2"/>
      <c r="C480" s="2"/>
      <c r="D480" s="3"/>
      <c r="E480" s="3"/>
      <c r="F480" s="1"/>
      <c r="G480" s="37"/>
      <c r="H480" s="1"/>
      <c r="I480" s="2"/>
      <c r="J480" s="2"/>
      <c r="K480" s="2"/>
      <c r="L480" s="2"/>
      <c r="M480" s="2"/>
      <c r="N480" s="3"/>
      <c r="O480" s="3"/>
      <c r="P480" s="2"/>
      <c r="Q480" s="2"/>
      <c r="R480" s="2"/>
      <c r="S480" s="2"/>
      <c r="T480" s="2"/>
      <c r="U480" s="2"/>
      <c r="V480" s="2"/>
      <c r="W480" s="2"/>
      <c r="X480" s="2"/>
      <c r="Y480" s="2"/>
      <c r="Z480" s="2"/>
      <c r="AA480" s="2"/>
      <c r="AB480" s="2"/>
      <c r="AC480" s="2"/>
      <c r="AD480" s="2"/>
    </row>
    <row r="481" spans="1:30" ht="13">
      <c r="A481" s="3"/>
      <c r="B481" s="2"/>
      <c r="C481" s="2"/>
      <c r="D481" s="3"/>
      <c r="E481" s="3"/>
      <c r="F481" s="1"/>
      <c r="G481" s="37"/>
      <c r="H481" s="1"/>
      <c r="I481" s="2"/>
      <c r="J481" s="2"/>
      <c r="K481" s="2"/>
      <c r="L481" s="2"/>
      <c r="M481" s="2"/>
      <c r="N481" s="3"/>
      <c r="O481" s="3"/>
      <c r="P481" s="2"/>
      <c r="Q481" s="2"/>
      <c r="R481" s="2"/>
      <c r="S481" s="2"/>
      <c r="T481" s="2"/>
      <c r="U481" s="2"/>
      <c r="V481" s="2"/>
      <c r="W481" s="2"/>
      <c r="X481" s="2"/>
      <c r="Y481" s="2"/>
      <c r="Z481" s="2"/>
      <c r="AA481" s="2"/>
      <c r="AB481" s="2"/>
      <c r="AC481" s="2"/>
      <c r="AD481" s="2"/>
    </row>
    <row r="482" spans="1:30" ht="13">
      <c r="A482" s="3"/>
      <c r="B482" s="2"/>
      <c r="C482" s="2"/>
      <c r="D482" s="3"/>
      <c r="E482" s="3"/>
      <c r="F482" s="1"/>
      <c r="G482" s="37"/>
      <c r="H482" s="1"/>
      <c r="I482" s="2"/>
      <c r="J482" s="2"/>
      <c r="K482" s="2"/>
      <c r="L482" s="2"/>
      <c r="M482" s="2"/>
      <c r="N482" s="3"/>
      <c r="O482" s="3"/>
      <c r="P482" s="2"/>
      <c r="Q482" s="2"/>
      <c r="R482" s="2"/>
      <c r="S482" s="2"/>
      <c r="T482" s="2"/>
      <c r="U482" s="2"/>
      <c r="V482" s="2"/>
      <c r="W482" s="2"/>
      <c r="X482" s="2"/>
      <c r="Y482" s="2"/>
      <c r="Z482" s="2"/>
      <c r="AA482" s="2"/>
      <c r="AB482" s="2"/>
      <c r="AC482" s="2"/>
      <c r="AD482" s="2"/>
    </row>
    <row r="483" spans="1:30" ht="13">
      <c r="A483" s="3"/>
      <c r="B483" s="2"/>
      <c r="C483" s="2"/>
      <c r="D483" s="3"/>
      <c r="E483" s="3"/>
      <c r="F483" s="1"/>
      <c r="G483" s="37"/>
      <c r="H483" s="1"/>
      <c r="I483" s="2"/>
      <c r="J483" s="2"/>
      <c r="K483" s="2"/>
      <c r="L483" s="2"/>
      <c r="M483" s="2"/>
      <c r="N483" s="3"/>
      <c r="O483" s="3"/>
      <c r="P483" s="2"/>
      <c r="Q483" s="2"/>
      <c r="R483" s="2"/>
      <c r="S483" s="2"/>
      <c r="T483" s="2"/>
      <c r="U483" s="2"/>
      <c r="V483" s="2"/>
      <c r="W483" s="2"/>
      <c r="X483" s="2"/>
      <c r="Y483" s="2"/>
      <c r="Z483" s="2"/>
      <c r="AA483" s="2"/>
      <c r="AB483" s="2"/>
      <c r="AC483" s="2"/>
      <c r="AD483" s="2"/>
    </row>
    <row r="484" spans="1:30" ht="13">
      <c r="A484" s="3"/>
      <c r="B484" s="2"/>
      <c r="C484" s="2"/>
      <c r="D484" s="3"/>
      <c r="E484" s="3"/>
      <c r="F484" s="1"/>
      <c r="G484" s="37"/>
      <c r="H484" s="1"/>
      <c r="I484" s="2"/>
      <c r="J484" s="2"/>
      <c r="K484" s="2"/>
      <c r="L484" s="2"/>
      <c r="M484" s="2"/>
      <c r="N484" s="3"/>
      <c r="O484" s="3"/>
      <c r="P484" s="2"/>
      <c r="Q484" s="2"/>
      <c r="R484" s="2"/>
      <c r="S484" s="2"/>
      <c r="T484" s="2"/>
      <c r="U484" s="2"/>
      <c r="V484" s="2"/>
      <c r="W484" s="2"/>
      <c r="X484" s="2"/>
      <c r="Y484" s="2"/>
      <c r="Z484" s="2"/>
      <c r="AA484" s="2"/>
      <c r="AB484" s="2"/>
      <c r="AC484" s="2"/>
      <c r="AD484" s="2"/>
    </row>
    <row r="485" spans="1:30" ht="13">
      <c r="A485" s="3"/>
      <c r="B485" s="2"/>
      <c r="C485" s="2"/>
      <c r="D485" s="3"/>
      <c r="E485" s="3"/>
      <c r="F485" s="1"/>
      <c r="G485" s="37"/>
      <c r="H485" s="1"/>
      <c r="I485" s="2"/>
      <c r="J485" s="2"/>
      <c r="K485" s="2"/>
      <c r="L485" s="2"/>
      <c r="M485" s="2"/>
      <c r="N485" s="3"/>
      <c r="O485" s="3"/>
      <c r="P485" s="2"/>
      <c r="Q485" s="2"/>
      <c r="R485" s="2"/>
      <c r="S485" s="2"/>
      <c r="T485" s="2"/>
      <c r="U485" s="2"/>
      <c r="V485" s="2"/>
      <c r="W485" s="2"/>
      <c r="X485" s="2"/>
      <c r="Y485" s="2"/>
      <c r="Z485" s="2"/>
      <c r="AA485" s="2"/>
      <c r="AB485" s="2"/>
      <c r="AC485" s="2"/>
      <c r="AD485" s="2"/>
    </row>
    <row r="486" spans="1:30" ht="13">
      <c r="A486" s="3"/>
      <c r="B486" s="2"/>
      <c r="C486" s="2"/>
      <c r="D486" s="3"/>
      <c r="E486" s="3"/>
      <c r="F486" s="1"/>
      <c r="G486" s="37"/>
      <c r="H486" s="1"/>
      <c r="I486" s="2"/>
      <c r="J486" s="2"/>
      <c r="K486" s="2"/>
      <c r="L486" s="2"/>
      <c r="M486" s="2"/>
      <c r="N486" s="3"/>
      <c r="O486" s="3"/>
      <c r="P486" s="2"/>
      <c r="Q486" s="2"/>
      <c r="R486" s="2"/>
      <c r="S486" s="2"/>
      <c r="T486" s="2"/>
      <c r="U486" s="2"/>
      <c r="V486" s="2"/>
      <c r="W486" s="2"/>
      <c r="X486" s="2"/>
      <c r="Y486" s="2"/>
      <c r="Z486" s="2"/>
      <c r="AA486" s="2"/>
      <c r="AB486" s="2"/>
      <c r="AC486" s="2"/>
      <c r="AD486" s="2"/>
    </row>
    <row r="487" spans="1:30" ht="13">
      <c r="A487" s="3"/>
      <c r="B487" s="2"/>
      <c r="C487" s="2"/>
      <c r="D487" s="3"/>
      <c r="E487" s="3"/>
      <c r="F487" s="1"/>
      <c r="G487" s="37"/>
      <c r="H487" s="1"/>
      <c r="I487" s="2"/>
      <c r="J487" s="2"/>
      <c r="K487" s="2"/>
      <c r="L487" s="2"/>
      <c r="M487" s="2"/>
      <c r="N487" s="3"/>
      <c r="O487" s="3"/>
      <c r="P487" s="2"/>
      <c r="Q487" s="2"/>
      <c r="R487" s="2"/>
      <c r="S487" s="2"/>
      <c r="T487" s="2"/>
      <c r="U487" s="2"/>
      <c r="V487" s="2"/>
      <c r="W487" s="2"/>
      <c r="X487" s="2"/>
      <c r="Y487" s="2"/>
      <c r="Z487" s="2"/>
      <c r="AA487" s="2"/>
      <c r="AB487" s="2"/>
      <c r="AC487" s="2"/>
      <c r="AD487" s="2"/>
    </row>
    <row r="488" spans="1:30" ht="13">
      <c r="A488" s="3"/>
      <c r="B488" s="2"/>
      <c r="C488" s="2"/>
      <c r="D488" s="3"/>
      <c r="E488" s="3"/>
      <c r="F488" s="1"/>
      <c r="G488" s="37"/>
      <c r="H488" s="1"/>
      <c r="I488" s="2"/>
      <c r="J488" s="2"/>
      <c r="K488" s="2"/>
      <c r="L488" s="2"/>
      <c r="M488" s="2"/>
      <c r="N488" s="3"/>
      <c r="O488" s="3"/>
      <c r="P488" s="2"/>
      <c r="Q488" s="2"/>
      <c r="R488" s="2"/>
      <c r="S488" s="2"/>
      <c r="T488" s="2"/>
      <c r="U488" s="2"/>
      <c r="V488" s="2"/>
      <c r="W488" s="2"/>
      <c r="X488" s="2"/>
      <c r="Y488" s="2"/>
      <c r="Z488" s="2"/>
      <c r="AA488" s="2"/>
      <c r="AB488" s="2"/>
      <c r="AC488" s="2"/>
      <c r="AD488" s="2"/>
    </row>
    <row r="489" spans="1:30" ht="13">
      <c r="A489" s="3"/>
      <c r="B489" s="2"/>
      <c r="C489" s="2"/>
      <c r="D489" s="3"/>
      <c r="E489" s="3"/>
      <c r="F489" s="1"/>
      <c r="G489" s="37"/>
      <c r="H489" s="1"/>
      <c r="I489" s="2"/>
      <c r="J489" s="2"/>
      <c r="K489" s="2"/>
      <c r="L489" s="2"/>
      <c r="M489" s="2"/>
      <c r="N489" s="3"/>
      <c r="O489" s="3"/>
      <c r="P489" s="2"/>
      <c r="Q489" s="2"/>
      <c r="R489" s="2"/>
      <c r="S489" s="2"/>
      <c r="T489" s="2"/>
      <c r="U489" s="2"/>
      <c r="V489" s="2"/>
      <c r="W489" s="2"/>
      <c r="X489" s="2"/>
      <c r="Y489" s="2"/>
      <c r="Z489" s="2"/>
      <c r="AA489" s="2"/>
      <c r="AB489" s="2"/>
      <c r="AC489" s="2"/>
      <c r="AD489" s="2"/>
    </row>
    <row r="490" spans="1:30" ht="13">
      <c r="A490" s="3"/>
      <c r="B490" s="2"/>
      <c r="C490" s="2"/>
      <c r="D490" s="3"/>
      <c r="E490" s="3"/>
      <c r="F490" s="1"/>
      <c r="G490" s="37"/>
      <c r="H490" s="1"/>
      <c r="I490" s="2"/>
      <c r="J490" s="2"/>
      <c r="K490" s="2"/>
      <c r="L490" s="2"/>
      <c r="M490" s="2"/>
      <c r="N490" s="3"/>
      <c r="O490" s="3"/>
      <c r="P490" s="2"/>
      <c r="Q490" s="2"/>
      <c r="R490" s="2"/>
      <c r="S490" s="2"/>
      <c r="T490" s="2"/>
      <c r="U490" s="2"/>
      <c r="V490" s="2"/>
      <c r="W490" s="2"/>
      <c r="X490" s="2"/>
      <c r="Y490" s="2"/>
      <c r="Z490" s="2"/>
      <c r="AA490" s="2"/>
      <c r="AB490" s="2"/>
      <c r="AC490" s="2"/>
      <c r="AD490" s="2"/>
    </row>
    <row r="491" spans="1:30" ht="13">
      <c r="A491" s="3"/>
      <c r="B491" s="2"/>
      <c r="C491" s="2"/>
      <c r="D491" s="3"/>
      <c r="E491" s="3"/>
      <c r="F491" s="1"/>
      <c r="G491" s="37"/>
      <c r="H491" s="1"/>
      <c r="I491" s="2"/>
      <c r="J491" s="2"/>
      <c r="K491" s="2"/>
      <c r="L491" s="2"/>
      <c r="M491" s="2"/>
      <c r="N491" s="3"/>
      <c r="O491" s="3"/>
      <c r="P491" s="2"/>
      <c r="Q491" s="2"/>
      <c r="R491" s="2"/>
      <c r="S491" s="2"/>
      <c r="T491" s="2"/>
      <c r="U491" s="2"/>
      <c r="V491" s="2"/>
      <c r="W491" s="2"/>
      <c r="X491" s="2"/>
      <c r="Y491" s="2"/>
      <c r="Z491" s="2"/>
      <c r="AA491" s="2"/>
      <c r="AB491" s="2"/>
      <c r="AC491" s="2"/>
      <c r="AD491" s="2"/>
    </row>
    <row r="492" spans="1:30" ht="13">
      <c r="A492" s="3"/>
      <c r="B492" s="2"/>
      <c r="C492" s="2"/>
      <c r="D492" s="3"/>
      <c r="E492" s="3"/>
      <c r="F492" s="1"/>
      <c r="G492" s="37"/>
      <c r="H492" s="1"/>
      <c r="I492" s="2"/>
      <c r="J492" s="2"/>
      <c r="K492" s="2"/>
      <c r="L492" s="2"/>
      <c r="M492" s="2"/>
      <c r="N492" s="3"/>
      <c r="O492" s="3"/>
      <c r="P492" s="2"/>
      <c r="Q492" s="2"/>
      <c r="R492" s="2"/>
      <c r="S492" s="2"/>
      <c r="T492" s="2"/>
      <c r="U492" s="2"/>
      <c r="V492" s="2"/>
      <c r="W492" s="2"/>
      <c r="X492" s="2"/>
      <c r="Y492" s="2"/>
      <c r="Z492" s="2"/>
      <c r="AA492" s="2"/>
      <c r="AB492" s="2"/>
      <c r="AC492" s="2"/>
      <c r="AD492" s="2"/>
    </row>
    <row r="493" spans="1:30" ht="13">
      <c r="A493" s="3"/>
      <c r="B493" s="2"/>
      <c r="C493" s="2"/>
      <c r="D493" s="3"/>
      <c r="E493" s="3"/>
      <c r="F493" s="1"/>
      <c r="G493" s="37"/>
      <c r="H493" s="1"/>
      <c r="I493" s="2"/>
      <c r="J493" s="2"/>
      <c r="K493" s="2"/>
      <c r="L493" s="2"/>
      <c r="M493" s="2"/>
      <c r="N493" s="3"/>
      <c r="O493" s="3"/>
      <c r="P493" s="2"/>
      <c r="Q493" s="2"/>
      <c r="R493" s="2"/>
      <c r="S493" s="2"/>
      <c r="T493" s="2"/>
      <c r="U493" s="2"/>
      <c r="V493" s="2"/>
      <c r="W493" s="2"/>
      <c r="X493" s="2"/>
      <c r="Y493" s="2"/>
      <c r="Z493" s="2"/>
      <c r="AA493" s="2"/>
      <c r="AB493" s="2"/>
      <c r="AC493" s="2"/>
      <c r="AD493" s="2"/>
    </row>
    <row r="494" spans="1:30" ht="13">
      <c r="A494" s="3"/>
      <c r="B494" s="2"/>
      <c r="C494" s="2"/>
      <c r="D494" s="3"/>
      <c r="E494" s="3"/>
      <c r="F494" s="1"/>
      <c r="G494" s="37"/>
      <c r="H494" s="1"/>
      <c r="I494" s="2"/>
      <c r="J494" s="2"/>
      <c r="K494" s="2"/>
      <c r="L494" s="2"/>
      <c r="M494" s="2"/>
      <c r="N494" s="3"/>
      <c r="O494" s="3"/>
      <c r="P494" s="2"/>
      <c r="Q494" s="2"/>
      <c r="R494" s="2"/>
      <c r="S494" s="2"/>
      <c r="T494" s="2"/>
      <c r="U494" s="2"/>
      <c r="V494" s="2"/>
      <c r="W494" s="2"/>
      <c r="X494" s="2"/>
      <c r="Y494" s="2"/>
      <c r="Z494" s="2"/>
      <c r="AA494" s="2"/>
      <c r="AB494" s="2"/>
      <c r="AC494" s="2"/>
      <c r="AD494" s="2"/>
    </row>
    <row r="495" spans="1:30" ht="13">
      <c r="A495" s="3"/>
      <c r="B495" s="2"/>
      <c r="C495" s="2"/>
      <c r="D495" s="3"/>
      <c r="E495" s="3"/>
      <c r="F495" s="1"/>
      <c r="G495" s="37"/>
      <c r="H495" s="1"/>
      <c r="I495" s="2"/>
      <c r="J495" s="2"/>
      <c r="K495" s="2"/>
      <c r="L495" s="2"/>
      <c r="M495" s="2"/>
      <c r="N495" s="3"/>
      <c r="O495" s="3"/>
      <c r="P495" s="2"/>
      <c r="Q495" s="2"/>
      <c r="R495" s="2"/>
      <c r="S495" s="2"/>
      <c r="T495" s="2"/>
      <c r="U495" s="2"/>
      <c r="V495" s="2"/>
      <c r="W495" s="2"/>
      <c r="X495" s="2"/>
      <c r="Y495" s="2"/>
      <c r="Z495" s="2"/>
      <c r="AA495" s="2"/>
      <c r="AB495" s="2"/>
      <c r="AC495" s="2"/>
      <c r="AD495" s="2"/>
    </row>
    <row r="496" spans="1:30" ht="13">
      <c r="A496" s="3"/>
      <c r="B496" s="2"/>
      <c r="C496" s="2"/>
      <c r="D496" s="3"/>
      <c r="E496" s="3"/>
      <c r="F496" s="1"/>
      <c r="G496" s="37"/>
      <c r="H496" s="1"/>
      <c r="I496" s="2"/>
      <c r="J496" s="2"/>
      <c r="K496" s="2"/>
      <c r="L496" s="2"/>
      <c r="M496" s="2"/>
      <c r="N496" s="3"/>
      <c r="O496" s="3"/>
      <c r="P496" s="2"/>
      <c r="Q496" s="2"/>
      <c r="R496" s="2"/>
      <c r="S496" s="2"/>
      <c r="T496" s="2"/>
      <c r="U496" s="2"/>
      <c r="V496" s="2"/>
      <c r="W496" s="2"/>
      <c r="X496" s="2"/>
      <c r="Y496" s="2"/>
      <c r="Z496" s="2"/>
      <c r="AA496" s="2"/>
      <c r="AB496" s="2"/>
      <c r="AC496" s="2"/>
      <c r="AD496" s="2"/>
    </row>
    <row r="497" spans="1:30" ht="13">
      <c r="A497" s="3"/>
      <c r="B497" s="2"/>
      <c r="C497" s="2"/>
      <c r="D497" s="3"/>
      <c r="E497" s="3"/>
      <c r="F497" s="1"/>
      <c r="G497" s="37"/>
      <c r="H497" s="1"/>
      <c r="I497" s="2"/>
      <c r="J497" s="2"/>
      <c r="K497" s="2"/>
      <c r="L497" s="2"/>
      <c r="M497" s="2"/>
      <c r="N497" s="3"/>
      <c r="O497" s="3"/>
      <c r="P497" s="2"/>
      <c r="Q497" s="2"/>
      <c r="R497" s="2"/>
      <c r="S497" s="2"/>
      <c r="T497" s="2"/>
      <c r="U497" s="2"/>
      <c r="V497" s="2"/>
      <c r="W497" s="2"/>
      <c r="X497" s="2"/>
      <c r="Y497" s="2"/>
      <c r="Z497" s="2"/>
      <c r="AA497" s="2"/>
      <c r="AB497" s="2"/>
      <c r="AC497" s="2"/>
      <c r="AD497" s="2"/>
    </row>
    <row r="498" spans="1:30" ht="13">
      <c r="A498" s="3"/>
      <c r="B498" s="2"/>
      <c r="C498" s="2"/>
      <c r="D498" s="3"/>
      <c r="E498" s="3"/>
      <c r="F498" s="1"/>
      <c r="G498" s="37"/>
      <c r="H498" s="1"/>
      <c r="I498" s="2"/>
      <c r="J498" s="2"/>
      <c r="K498" s="2"/>
      <c r="L498" s="2"/>
      <c r="M498" s="2"/>
      <c r="N498" s="3"/>
      <c r="O498" s="3"/>
      <c r="P498" s="2"/>
      <c r="Q498" s="2"/>
      <c r="R498" s="2"/>
      <c r="S498" s="2"/>
      <c r="T498" s="2"/>
      <c r="U498" s="2"/>
      <c r="V498" s="2"/>
      <c r="W498" s="2"/>
      <c r="X498" s="2"/>
      <c r="Y498" s="2"/>
      <c r="Z498" s="2"/>
      <c r="AA498" s="2"/>
      <c r="AB498" s="2"/>
      <c r="AC498" s="2"/>
      <c r="AD498" s="2"/>
    </row>
    <row r="499" spans="1:30" ht="13">
      <c r="A499" s="3"/>
      <c r="B499" s="2"/>
      <c r="C499" s="2"/>
      <c r="D499" s="3"/>
      <c r="E499" s="3"/>
      <c r="F499" s="1"/>
      <c r="G499" s="37"/>
      <c r="H499" s="1"/>
      <c r="I499" s="2"/>
      <c r="J499" s="2"/>
      <c r="K499" s="2"/>
      <c r="L499" s="2"/>
      <c r="M499" s="2"/>
      <c r="N499" s="3"/>
      <c r="O499" s="3"/>
      <c r="P499" s="2"/>
      <c r="Q499" s="2"/>
      <c r="R499" s="2"/>
      <c r="S499" s="2"/>
      <c r="T499" s="2"/>
      <c r="U499" s="2"/>
      <c r="V499" s="2"/>
      <c r="W499" s="2"/>
      <c r="X499" s="2"/>
      <c r="Y499" s="2"/>
      <c r="Z499" s="2"/>
      <c r="AA499" s="2"/>
      <c r="AB499" s="2"/>
      <c r="AC499" s="2"/>
      <c r="AD499" s="2"/>
    </row>
    <row r="500" spans="1:30" ht="13">
      <c r="A500" s="3"/>
      <c r="B500" s="2"/>
      <c r="C500" s="2"/>
      <c r="D500" s="3"/>
      <c r="E500" s="3"/>
      <c r="F500" s="1"/>
      <c r="G500" s="37"/>
      <c r="H500" s="1"/>
      <c r="I500" s="2"/>
      <c r="J500" s="2"/>
      <c r="K500" s="2"/>
      <c r="L500" s="2"/>
      <c r="M500" s="2"/>
      <c r="N500" s="3"/>
      <c r="O500" s="3"/>
      <c r="P500" s="2"/>
      <c r="Q500" s="2"/>
      <c r="R500" s="2"/>
      <c r="S500" s="2"/>
      <c r="T500" s="2"/>
      <c r="U500" s="2"/>
      <c r="V500" s="2"/>
      <c r="W500" s="2"/>
      <c r="X500" s="2"/>
      <c r="Y500" s="2"/>
      <c r="Z500" s="2"/>
      <c r="AA500" s="2"/>
      <c r="AB500" s="2"/>
      <c r="AC500" s="2"/>
      <c r="AD500" s="2"/>
    </row>
    <row r="501" spans="1:30" ht="13">
      <c r="A501" s="3"/>
      <c r="B501" s="2"/>
      <c r="C501" s="2"/>
      <c r="D501" s="3"/>
      <c r="E501" s="3"/>
      <c r="F501" s="1"/>
      <c r="G501" s="37"/>
      <c r="H501" s="1"/>
      <c r="I501" s="2"/>
      <c r="J501" s="2"/>
      <c r="K501" s="2"/>
      <c r="L501" s="2"/>
      <c r="M501" s="2"/>
      <c r="N501" s="3"/>
      <c r="O501" s="3"/>
      <c r="P501" s="2"/>
      <c r="Q501" s="2"/>
      <c r="R501" s="2"/>
      <c r="S501" s="2"/>
      <c r="T501" s="2"/>
      <c r="U501" s="2"/>
      <c r="V501" s="2"/>
      <c r="W501" s="2"/>
      <c r="X501" s="2"/>
      <c r="Y501" s="2"/>
      <c r="Z501" s="2"/>
      <c r="AA501" s="2"/>
      <c r="AB501" s="2"/>
      <c r="AC501" s="2"/>
      <c r="AD501" s="2"/>
    </row>
    <row r="502" spans="1:30" ht="13">
      <c r="A502" s="3"/>
      <c r="B502" s="2"/>
      <c r="C502" s="2"/>
      <c r="D502" s="3"/>
      <c r="E502" s="3"/>
      <c r="F502" s="1"/>
      <c r="G502" s="37"/>
      <c r="H502" s="1"/>
      <c r="I502" s="2"/>
      <c r="J502" s="2"/>
      <c r="K502" s="2"/>
      <c r="L502" s="2"/>
      <c r="M502" s="2"/>
      <c r="N502" s="3"/>
      <c r="O502" s="3"/>
      <c r="P502" s="2"/>
      <c r="Q502" s="2"/>
      <c r="R502" s="2"/>
      <c r="S502" s="2"/>
      <c r="T502" s="2"/>
      <c r="U502" s="2"/>
      <c r="V502" s="2"/>
      <c r="W502" s="2"/>
      <c r="X502" s="2"/>
      <c r="Y502" s="2"/>
      <c r="Z502" s="2"/>
      <c r="AA502" s="2"/>
      <c r="AB502" s="2"/>
      <c r="AC502" s="2"/>
      <c r="AD502" s="2"/>
    </row>
    <row r="503" spans="1:30" ht="13">
      <c r="A503" s="3"/>
      <c r="B503" s="2"/>
      <c r="C503" s="2"/>
      <c r="D503" s="3"/>
      <c r="E503" s="3"/>
      <c r="F503" s="1"/>
      <c r="G503" s="37"/>
      <c r="H503" s="1"/>
      <c r="I503" s="2"/>
      <c r="J503" s="2"/>
      <c r="K503" s="2"/>
      <c r="L503" s="2"/>
      <c r="M503" s="2"/>
      <c r="N503" s="3"/>
      <c r="O503" s="3"/>
      <c r="P503" s="2"/>
      <c r="Q503" s="2"/>
      <c r="R503" s="2"/>
      <c r="S503" s="2"/>
      <c r="T503" s="2"/>
      <c r="U503" s="2"/>
      <c r="V503" s="2"/>
      <c r="W503" s="2"/>
      <c r="X503" s="2"/>
      <c r="Y503" s="2"/>
      <c r="Z503" s="2"/>
      <c r="AA503" s="2"/>
      <c r="AB503" s="2"/>
      <c r="AC503" s="2"/>
      <c r="AD503" s="2"/>
    </row>
    <row r="504" spans="1:30" ht="13">
      <c r="A504" s="3"/>
      <c r="B504" s="2"/>
      <c r="C504" s="2"/>
      <c r="D504" s="3"/>
      <c r="E504" s="3"/>
      <c r="F504" s="1"/>
      <c r="G504" s="37"/>
      <c r="H504" s="1"/>
      <c r="I504" s="2"/>
      <c r="J504" s="2"/>
      <c r="K504" s="2"/>
      <c r="L504" s="2"/>
      <c r="M504" s="2"/>
      <c r="N504" s="3"/>
      <c r="O504" s="3"/>
      <c r="P504" s="2"/>
      <c r="Q504" s="2"/>
      <c r="R504" s="2"/>
      <c r="S504" s="2"/>
      <c r="T504" s="2"/>
      <c r="U504" s="2"/>
      <c r="V504" s="2"/>
      <c r="W504" s="2"/>
      <c r="X504" s="2"/>
      <c r="Y504" s="2"/>
      <c r="Z504" s="2"/>
      <c r="AA504" s="2"/>
      <c r="AB504" s="2"/>
      <c r="AC504" s="2"/>
      <c r="AD504" s="2"/>
    </row>
    <row r="505" spans="1:30" ht="13">
      <c r="A505" s="3"/>
      <c r="B505" s="2"/>
      <c r="C505" s="2"/>
      <c r="D505" s="3"/>
      <c r="E505" s="3"/>
      <c r="F505" s="1"/>
      <c r="G505" s="37"/>
      <c r="H505" s="1"/>
      <c r="I505" s="2"/>
      <c r="J505" s="2"/>
      <c r="K505" s="2"/>
      <c r="L505" s="2"/>
      <c r="M505" s="2"/>
      <c r="N505" s="3"/>
      <c r="O505" s="3"/>
      <c r="P505" s="2"/>
      <c r="Q505" s="2"/>
      <c r="R505" s="2"/>
      <c r="S505" s="2"/>
      <c r="T505" s="2"/>
      <c r="U505" s="2"/>
      <c r="V505" s="2"/>
      <c r="W505" s="2"/>
      <c r="X505" s="2"/>
      <c r="Y505" s="2"/>
      <c r="Z505" s="2"/>
      <c r="AA505" s="2"/>
      <c r="AB505" s="2"/>
      <c r="AC505" s="2"/>
      <c r="AD505" s="2"/>
    </row>
    <row r="506" spans="1:30" ht="13">
      <c r="A506" s="3"/>
      <c r="B506" s="2"/>
      <c r="C506" s="2"/>
      <c r="D506" s="3"/>
      <c r="E506" s="3"/>
      <c r="F506" s="1"/>
      <c r="G506" s="37"/>
      <c r="H506" s="1"/>
      <c r="I506" s="2"/>
      <c r="J506" s="2"/>
      <c r="K506" s="2"/>
      <c r="L506" s="2"/>
      <c r="M506" s="2"/>
      <c r="N506" s="3"/>
      <c r="O506" s="3"/>
      <c r="P506" s="2"/>
      <c r="Q506" s="2"/>
      <c r="R506" s="2"/>
      <c r="S506" s="2"/>
      <c r="T506" s="2"/>
      <c r="U506" s="2"/>
      <c r="V506" s="2"/>
      <c r="W506" s="2"/>
      <c r="X506" s="2"/>
      <c r="Y506" s="2"/>
      <c r="Z506" s="2"/>
      <c r="AA506" s="2"/>
      <c r="AB506" s="2"/>
      <c r="AC506" s="2"/>
      <c r="AD506" s="2"/>
    </row>
    <row r="507" spans="1:30" ht="13">
      <c r="A507" s="3"/>
      <c r="B507" s="2"/>
      <c r="C507" s="2"/>
      <c r="D507" s="3"/>
      <c r="E507" s="3"/>
      <c r="F507" s="1"/>
      <c r="G507" s="37"/>
      <c r="H507" s="1"/>
      <c r="I507" s="2"/>
      <c r="J507" s="2"/>
      <c r="K507" s="2"/>
      <c r="L507" s="2"/>
      <c r="M507" s="2"/>
      <c r="N507" s="3"/>
      <c r="O507" s="3"/>
      <c r="P507" s="2"/>
      <c r="Q507" s="2"/>
      <c r="R507" s="2"/>
      <c r="S507" s="2"/>
      <c r="T507" s="2"/>
      <c r="U507" s="2"/>
      <c r="V507" s="2"/>
      <c r="W507" s="2"/>
      <c r="X507" s="2"/>
      <c r="Y507" s="2"/>
      <c r="Z507" s="2"/>
      <c r="AA507" s="2"/>
      <c r="AB507" s="2"/>
      <c r="AC507" s="2"/>
      <c r="AD507" s="2"/>
    </row>
    <row r="508" spans="1:30" ht="13">
      <c r="A508" s="3"/>
      <c r="B508" s="2"/>
      <c r="C508" s="2"/>
      <c r="D508" s="3"/>
      <c r="E508" s="3"/>
      <c r="F508" s="1"/>
      <c r="G508" s="37"/>
      <c r="H508" s="1"/>
      <c r="I508" s="2"/>
      <c r="J508" s="2"/>
      <c r="K508" s="2"/>
      <c r="L508" s="2"/>
      <c r="M508" s="2"/>
      <c r="N508" s="3"/>
      <c r="O508" s="3"/>
      <c r="P508" s="2"/>
      <c r="Q508" s="2"/>
      <c r="R508" s="2"/>
      <c r="S508" s="2"/>
      <c r="T508" s="2"/>
      <c r="U508" s="2"/>
      <c r="V508" s="2"/>
      <c r="W508" s="2"/>
      <c r="X508" s="2"/>
      <c r="Y508" s="2"/>
      <c r="Z508" s="2"/>
      <c r="AA508" s="2"/>
      <c r="AB508" s="2"/>
      <c r="AC508" s="2"/>
      <c r="AD508" s="2"/>
    </row>
    <row r="509" spans="1:30" ht="13">
      <c r="A509" s="3"/>
      <c r="B509" s="2"/>
      <c r="C509" s="2"/>
      <c r="D509" s="3"/>
      <c r="E509" s="3"/>
      <c r="F509" s="1"/>
      <c r="G509" s="37"/>
      <c r="H509" s="1"/>
      <c r="I509" s="2"/>
      <c r="J509" s="2"/>
      <c r="K509" s="2"/>
      <c r="L509" s="2"/>
      <c r="M509" s="2"/>
      <c r="N509" s="3"/>
      <c r="O509" s="3"/>
      <c r="P509" s="2"/>
      <c r="Q509" s="2"/>
      <c r="R509" s="2"/>
      <c r="S509" s="2"/>
      <c r="T509" s="2"/>
      <c r="U509" s="2"/>
      <c r="V509" s="2"/>
      <c r="W509" s="2"/>
      <c r="X509" s="2"/>
      <c r="Y509" s="2"/>
      <c r="Z509" s="2"/>
      <c r="AA509" s="2"/>
      <c r="AB509" s="2"/>
      <c r="AC509" s="2"/>
      <c r="AD509" s="2"/>
    </row>
    <row r="510" spans="1:30" ht="13">
      <c r="A510" s="3"/>
      <c r="B510" s="2"/>
      <c r="C510" s="2"/>
      <c r="D510" s="3"/>
      <c r="E510" s="3"/>
      <c r="F510" s="1"/>
      <c r="G510" s="37"/>
      <c r="H510" s="1"/>
      <c r="I510" s="2"/>
      <c r="J510" s="2"/>
      <c r="K510" s="2"/>
      <c r="L510" s="2"/>
      <c r="M510" s="2"/>
      <c r="N510" s="3"/>
      <c r="O510" s="3"/>
      <c r="P510" s="2"/>
      <c r="Q510" s="2"/>
      <c r="R510" s="2"/>
      <c r="S510" s="2"/>
      <c r="T510" s="2"/>
      <c r="U510" s="2"/>
      <c r="V510" s="2"/>
      <c r="W510" s="2"/>
      <c r="X510" s="2"/>
      <c r="Y510" s="2"/>
      <c r="Z510" s="2"/>
      <c r="AA510" s="2"/>
      <c r="AB510" s="2"/>
      <c r="AC510" s="2"/>
      <c r="AD510" s="2"/>
    </row>
    <row r="511" spans="1:30" ht="13">
      <c r="A511" s="3"/>
      <c r="B511" s="2"/>
      <c r="C511" s="2"/>
      <c r="D511" s="3"/>
      <c r="E511" s="3"/>
      <c r="F511" s="1"/>
      <c r="G511" s="37"/>
      <c r="H511" s="1"/>
      <c r="I511" s="2"/>
      <c r="J511" s="2"/>
      <c r="K511" s="2"/>
      <c r="L511" s="2"/>
      <c r="M511" s="2"/>
      <c r="N511" s="3"/>
      <c r="O511" s="3"/>
      <c r="P511" s="2"/>
      <c r="Q511" s="2"/>
      <c r="R511" s="2"/>
      <c r="S511" s="2"/>
      <c r="T511" s="2"/>
      <c r="U511" s="2"/>
      <c r="V511" s="2"/>
      <c r="W511" s="2"/>
      <c r="X511" s="2"/>
      <c r="Y511" s="2"/>
      <c r="Z511" s="2"/>
      <c r="AA511" s="2"/>
      <c r="AB511" s="2"/>
      <c r="AC511" s="2"/>
      <c r="AD511" s="2"/>
    </row>
    <row r="512" spans="1:30" ht="13">
      <c r="A512" s="3"/>
      <c r="B512" s="2"/>
      <c r="C512" s="2"/>
      <c r="D512" s="3"/>
      <c r="E512" s="3"/>
      <c r="F512" s="1"/>
      <c r="G512" s="37"/>
      <c r="H512" s="1"/>
      <c r="I512" s="2"/>
      <c r="J512" s="2"/>
      <c r="K512" s="2"/>
      <c r="L512" s="2"/>
      <c r="M512" s="2"/>
      <c r="N512" s="3"/>
      <c r="O512" s="3"/>
      <c r="P512" s="2"/>
      <c r="Q512" s="2"/>
      <c r="R512" s="2"/>
      <c r="S512" s="2"/>
      <c r="T512" s="2"/>
      <c r="U512" s="2"/>
      <c r="V512" s="2"/>
      <c r="W512" s="2"/>
      <c r="X512" s="2"/>
      <c r="Y512" s="2"/>
      <c r="Z512" s="2"/>
      <c r="AA512" s="2"/>
      <c r="AB512" s="2"/>
      <c r="AC512" s="2"/>
      <c r="AD512" s="2"/>
    </row>
    <row r="513" spans="1:30" ht="13">
      <c r="A513" s="3"/>
      <c r="B513" s="2"/>
      <c r="C513" s="2"/>
      <c r="D513" s="3"/>
      <c r="E513" s="3"/>
      <c r="F513" s="1"/>
      <c r="G513" s="37"/>
      <c r="H513" s="1"/>
      <c r="I513" s="2"/>
      <c r="J513" s="2"/>
      <c r="K513" s="2"/>
      <c r="L513" s="2"/>
      <c r="M513" s="2"/>
      <c r="N513" s="3"/>
      <c r="O513" s="3"/>
      <c r="P513" s="2"/>
      <c r="Q513" s="2"/>
      <c r="R513" s="2"/>
      <c r="S513" s="2"/>
      <c r="T513" s="2"/>
      <c r="U513" s="2"/>
      <c r="V513" s="2"/>
      <c r="W513" s="2"/>
      <c r="X513" s="2"/>
      <c r="Y513" s="2"/>
      <c r="Z513" s="2"/>
      <c r="AA513" s="2"/>
      <c r="AB513" s="2"/>
      <c r="AC513" s="2"/>
      <c r="AD513" s="2"/>
    </row>
    <row r="514" spans="1:30" ht="13">
      <c r="A514" s="3"/>
      <c r="B514" s="2"/>
      <c r="C514" s="2"/>
      <c r="D514" s="3"/>
      <c r="E514" s="3"/>
      <c r="F514" s="1"/>
      <c r="G514" s="37"/>
      <c r="H514" s="1"/>
      <c r="I514" s="2"/>
      <c r="J514" s="2"/>
      <c r="K514" s="2"/>
      <c r="L514" s="2"/>
      <c r="M514" s="2"/>
      <c r="N514" s="3"/>
      <c r="O514" s="3"/>
      <c r="P514" s="2"/>
      <c r="Q514" s="2"/>
      <c r="R514" s="2"/>
      <c r="S514" s="2"/>
      <c r="T514" s="2"/>
      <c r="U514" s="2"/>
      <c r="V514" s="2"/>
      <c r="W514" s="2"/>
      <c r="X514" s="2"/>
      <c r="Y514" s="2"/>
      <c r="Z514" s="2"/>
      <c r="AA514" s="2"/>
      <c r="AB514" s="2"/>
      <c r="AC514" s="2"/>
      <c r="AD514" s="2"/>
    </row>
    <row r="515" spans="1:30" ht="13">
      <c r="A515" s="3"/>
      <c r="B515" s="2"/>
      <c r="C515" s="2"/>
      <c r="D515" s="3"/>
      <c r="E515" s="3"/>
      <c r="F515" s="1"/>
      <c r="G515" s="37"/>
      <c r="H515" s="1"/>
      <c r="I515" s="2"/>
      <c r="J515" s="2"/>
      <c r="K515" s="2"/>
      <c r="L515" s="2"/>
      <c r="M515" s="2"/>
      <c r="N515" s="3"/>
      <c r="O515" s="3"/>
      <c r="P515" s="2"/>
      <c r="Q515" s="2"/>
      <c r="R515" s="2"/>
      <c r="S515" s="2"/>
      <c r="T515" s="2"/>
      <c r="U515" s="2"/>
      <c r="V515" s="2"/>
      <c r="W515" s="2"/>
      <c r="X515" s="2"/>
      <c r="Y515" s="2"/>
      <c r="Z515" s="2"/>
      <c r="AA515" s="2"/>
      <c r="AB515" s="2"/>
      <c r="AC515" s="2"/>
      <c r="AD515" s="2"/>
    </row>
    <row r="516" spans="1:30" ht="13">
      <c r="A516" s="3"/>
      <c r="B516" s="2"/>
      <c r="C516" s="2"/>
      <c r="D516" s="3"/>
      <c r="E516" s="3"/>
      <c r="F516" s="1"/>
      <c r="G516" s="37"/>
      <c r="H516" s="1"/>
      <c r="I516" s="2"/>
      <c r="J516" s="2"/>
      <c r="K516" s="2"/>
      <c r="L516" s="2"/>
      <c r="M516" s="2"/>
      <c r="N516" s="3"/>
      <c r="O516" s="3"/>
      <c r="P516" s="2"/>
      <c r="Q516" s="2"/>
      <c r="R516" s="2"/>
      <c r="S516" s="2"/>
      <c r="T516" s="2"/>
      <c r="U516" s="2"/>
      <c r="V516" s="2"/>
      <c r="W516" s="2"/>
      <c r="X516" s="2"/>
      <c r="Y516" s="2"/>
      <c r="Z516" s="2"/>
      <c r="AA516" s="2"/>
      <c r="AB516" s="2"/>
      <c r="AC516" s="2"/>
      <c r="AD516" s="2"/>
    </row>
    <row r="517" spans="1:30" ht="13">
      <c r="A517" s="3"/>
      <c r="B517" s="2"/>
      <c r="C517" s="2"/>
      <c r="D517" s="3"/>
      <c r="E517" s="3"/>
      <c r="F517" s="1"/>
      <c r="G517" s="37"/>
      <c r="H517" s="1"/>
      <c r="I517" s="2"/>
      <c r="J517" s="2"/>
      <c r="K517" s="2"/>
      <c r="L517" s="2"/>
      <c r="M517" s="2"/>
      <c r="N517" s="3"/>
      <c r="O517" s="3"/>
      <c r="P517" s="2"/>
      <c r="Q517" s="2"/>
      <c r="R517" s="2"/>
      <c r="S517" s="2"/>
      <c r="T517" s="2"/>
      <c r="U517" s="2"/>
      <c r="V517" s="2"/>
      <c r="W517" s="2"/>
      <c r="X517" s="2"/>
      <c r="Y517" s="2"/>
      <c r="Z517" s="2"/>
      <c r="AA517" s="2"/>
      <c r="AB517" s="2"/>
      <c r="AC517" s="2"/>
      <c r="AD517" s="2"/>
    </row>
    <row r="518" spans="1:30" ht="13">
      <c r="A518" s="3"/>
      <c r="B518" s="2"/>
      <c r="C518" s="2"/>
      <c r="D518" s="3"/>
      <c r="E518" s="3"/>
      <c r="F518" s="1"/>
      <c r="G518" s="37"/>
      <c r="H518" s="1"/>
      <c r="I518" s="2"/>
      <c r="J518" s="2"/>
      <c r="K518" s="2"/>
      <c r="L518" s="2"/>
      <c r="M518" s="2"/>
      <c r="N518" s="3"/>
      <c r="O518" s="3"/>
      <c r="P518" s="2"/>
      <c r="Q518" s="2"/>
      <c r="R518" s="2"/>
      <c r="S518" s="2"/>
      <c r="T518" s="2"/>
      <c r="U518" s="2"/>
      <c r="V518" s="2"/>
      <c r="W518" s="2"/>
      <c r="X518" s="2"/>
      <c r="Y518" s="2"/>
      <c r="Z518" s="2"/>
      <c r="AA518" s="2"/>
      <c r="AB518" s="2"/>
      <c r="AC518" s="2"/>
      <c r="AD518" s="2"/>
    </row>
    <row r="519" spans="1:30" ht="13">
      <c r="A519" s="3"/>
      <c r="B519" s="2"/>
      <c r="C519" s="2"/>
      <c r="D519" s="3"/>
      <c r="E519" s="3"/>
      <c r="F519" s="1"/>
      <c r="G519" s="37"/>
      <c r="H519" s="1"/>
      <c r="I519" s="2"/>
      <c r="J519" s="2"/>
      <c r="K519" s="2"/>
      <c r="L519" s="2"/>
      <c r="M519" s="2"/>
      <c r="N519" s="3"/>
      <c r="O519" s="3"/>
      <c r="P519" s="2"/>
      <c r="Q519" s="2"/>
      <c r="R519" s="2"/>
      <c r="S519" s="2"/>
      <c r="T519" s="2"/>
      <c r="U519" s="2"/>
      <c r="V519" s="2"/>
      <c r="W519" s="2"/>
      <c r="X519" s="2"/>
      <c r="Y519" s="2"/>
      <c r="Z519" s="2"/>
      <c r="AA519" s="2"/>
      <c r="AB519" s="2"/>
      <c r="AC519" s="2"/>
      <c r="AD519" s="2"/>
    </row>
    <row r="520" spans="1:30" ht="13">
      <c r="A520" s="3"/>
      <c r="B520" s="2"/>
      <c r="C520" s="2"/>
      <c r="D520" s="3"/>
      <c r="E520" s="3"/>
      <c r="F520" s="1"/>
      <c r="G520" s="37"/>
      <c r="H520" s="1"/>
      <c r="I520" s="2"/>
      <c r="J520" s="2"/>
      <c r="K520" s="2"/>
      <c r="L520" s="2"/>
      <c r="M520" s="2"/>
      <c r="N520" s="3"/>
      <c r="O520" s="3"/>
      <c r="P520" s="2"/>
      <c r="Q520" s="2"/>
      <c r="R520" s="2"/>
      <c r="S520" s="2"/>
      <c r="T520" s="2"/>
      <c r="U520" s="2"/>
      <c r="V520" s="2"/>
      <c r="W520" s="2"/>
      <c r="X520" s="2"/>
      <c r="Y520" s="2"/>
      <c r="Z520" s="2"/>
      <c r="AA520" s="2"/>
      <c r="AB520" s="2"/>
      <c r="AC520" s="2"/>
      <c r="AD520" s="2"/>
    </row>
    <row r="521" spans="1:30" ht="13">
      <c r="A521" s="3"/>
      <c r="B521" s="2"/>
      <c r="C521" s="2"/>
      <c r="D521" s="3"/>
      <c r="E521" s="3"/>
      <c r="F521" s="1"/>
      <c r="G521" s="37"/>
      <c r="H521" s="1"/>
      <c r="I521" s="2"/>
      <c r="J521" s="2"/>
      <c r="K521" s="2"/>
      <c r="L521" s="2"/>
      <c r="M521" s="2"/>
      <c r="N521" s="3"/>
      <c r="O521" s="3"/>
      <c r="P521" s="2"/>
      <c r="Q521" s="2"/>
      <c r="R521" s="2"/>
      <c r="S521" s="2"/>
      <c r="T521" s="2"/>
      <c r="U521" s="2"/>
      <c r="V521" s="2"/>
      <c r="W521" s="2"/>
      <c r="X521" s="2"/>
      <c r="Y521" s="2"/>
      <c r="Z521" s="2"/>
      <c r="AA521" s="2"/>
      <c r="AB521" s="2"/>
      <c r="AC521" s="2"/>
      <c r="AD521" s="2"/>
    </row>
    <row r="522" spans="1:30" ht="13">
      <c r="A522" s="3"/>
      <c r="B522" s="2"/>
      <c r="C522" s="2"/>
      <c r="D522" s="3"/>
      <c r="E522" s="3"/>
      <c r="F522" s="1"/>
      <c r="G522" s="37"/>
      <c r="H522" s="1"/>
      <c r="I522" s="2"/>
      <c r="J522" s="2"/>
      <c r="K522" s="2"/>
      <c r="L522" s="2"/>
      <c r="M522" s="2"/>
      <c r="N522" s="3"/>
      <c r="O522" s="3"/>
      <c r="P522" s="2"/>
      <c r="Q522" s="2"/>
      <c r="R522" s="2"/>
      <c r="S522" s="2"/>
      <c r="T522" s="2"/>
      <c r="U522" s="2"/>
      <c r="V522" s="2"/>
      <c r="W522" s="2"/>
      <c r="X522" s="2"/>
      <c r="Y522" s="2"/>
      <c r="Z522" s="2"/>
      <c r="AA522" s="2"/>
      <c r="AB522" s="2"/>
      <c r="AC522" s="2"/>
      <c r="AD522" s="2"/>
    </row>
    <row r="523" spans="1:30" ht="13">
      <c r="A523" s="3"/>
      <c r="B523" s="2"/>
      <c r="C523" s="2"/>
      <c r="D523" s="3"/>
      <c r="E523" s="3"/>
      <c r="F523" s="1"/>
      <c r="G523" s="37"/>
      <c r="H523" s="1"/>
      <c r="I523" s="2"/>
      <c r="J523" s="2"/>
      <c r="K523" s="2"/>
      <c r="L523" s="2"/>
      <c r="M523" s="2"/>
      <c r="N523" s="3"/>
      <c r="O523" s="3"/>
      <c r="P523" s="2"/>
      <c r="Q523" s="2"/>
      <c r="R523" s="2"/>
      <c r="S523" s="2"/>
      <c r="T523" s="2"/>
      <c r="U523" s="2"/>
      <c r="V523" s="2"/>
      <c r="W523" s="2"/>
      <c r="X523" s="2"/>
      <c r="Y523" s="2"/>
      <c r="Z523" s="2"/>
      <c r="AA523" s="2"/>
      <c r="AB523" s="2"/>
      <c r="AC523" s="2"/>
      <c r="AD523" s="2"/>
    </row>
    <row r="524" spans="1:30" ht="13">
      <c r="A524" s="3"/>
      <c r="B524" s="2"/>
      <c r="C524" s="2"/>
      <c r="D524" s="3"/>
      <c r="E524" s="3"/>
      <c r="F524" s="1"/>
      <c r="G524" s="37"/>
      <c r="H524" s="1"/>
      <c r="I524" s="2"/>
      <c r="J524" s="2"/>
      <c r="K524" s="2"/>
      <c r="L524" s="2"/>
      <c r="M524" s="2"/>
      <c r="N524" s="3"/>
      <c r="O524" s="3"/>
      <c r="P524" s="2"/>
      <c r="Q524" s="2"/>
      <c r="R524" s="2"/>
      <c r="S524" s="2"/>
      <c r="T524" s="2"/>
      <c r="U524" s="2"/>
      <c r="V524" s="2"/>
      <c r="W524" s="2"/>
      <c r="X524" s="2"/>
      <c r="Y524" s="2"/>
      <c r="Z524" s="2"/>
      <c r="AA524" s="2"/>
      <c r="AB524" s="2"/>
      <c r="AC524" s="2"/>
      <c r="AD524" s="2"/>
    </row>
    <row r="525" spans="1:30" ht="13">
      <c r="A525" s="3"/>
      <c r="B525" s="2"/>
      <c r="C525" s="2"/>
      <c r="D525" s="3"/>
      <c r="E525" s="3"/>
      <c r="F525" s="1"/>
      <c r="G525" s="37"/>
      <c r="H525" s="1"/>
      <c r="I525" s="2"/>
      <c r="J525" s="2"/>
      <c r="K525" s="2"/>
      <c r="L525" s="2"/>
      <c r="M525" s="2"/>
      <c r="N525" s="3"/>
      <c r="O525" s="3"/>
      <c r="P525" s="2"/>
      <c r="Q525" s="2"/>
      <c r="R525" s="2"/>
      <c r="S525" s="2"/>
      <c r="T525" s="2"/>
      <c r="U525" s="2"/>
      <c r="V525" s="2"/>
      <c r="W525" s="2"/>
      <c r="X525" s="2"/>
      <c r="Y525" s="2"/>
      <c r="Z525" s="2"/>
      <c r="AA525" s="2"/>
      <c r="AB525" s="2"/>
      <c r="AC525" s="2"/>
      <c r="AD525" s="2"/>
    </row>
    <row r="526" spans="1:30" ht="13">
      <c r="A526" s="3"/>
      <c r="B526" s="2"/>
      <c r="C526" s="2"/>
      <c r="D526" s="3"/>
      <c r="E526" s="3"/>
      <c r="F526" s="1"/>
      <c r="G526" s="37"/>
      <c r="H526" s="1"/>
      <c r="I526" s="2"/>
      <c r="J526" s="2"/>
      <c r="K526" s="2"/>
      <c r="L526" s="2"/>
      <c r="M526" s="2"/>
      <c r="N526" s="3"/>
      <c r="O526" s="3"/>
      <c r="P526" s="2"/>
      <c r="Q526" s="2"/>
      <c r="R526" s="2"/>
      <c r="S526" s="2"/>
      <c r="T526" s="2"/>
      <c r="U526" s="2"/>
      <c r="V526" s="2"/>
      <c r="W526" s="2"/>
      <c r="X526" s="2"/>
      <c r="Y526" s="2"/>
      <c r="Z526" s="2"/>
      <c r="AA526" s="2"/>
      <c r="AB526" s="2"/>
      <c r="AC526" s="2"/>
      <c r="AD526" s="2"/>
    </row>
    <row r="527" spans="1:30" ht="13">
      <c r="A527" s="3"/>
      <c r="B527" s="2"/>
      <c r="C527" s="2"/>
      <c r="D527" s="3"/>
      <c r="E527" s="3"/>
      <c r="F527" s="1"/>
      <c r="G527" s="37"/>
      <c r="H527" s="1"/>
      <c r="I527" s="2"/>
      <c r="J527" s="2"/>
      <c r="K527" s="2"/>
      <c r="L527" s="2"/>
      <c r="M527" s="2"/>
      <c r="N527" s="3"/>
      <c r="O527" s="3"/>
      <c r="P527" s="2"/>
      <c r="Q527" s="2"/>
      <c r="R527" s="2"/>
      <c r="S527" s="2"/>
      <c r="T527" s="2"/>
      <c r="U527" s="2"/>
      <c r="V527" s="2"/>
      <c r="W527" s="2"/>
      <c r="X527" s="2"/>
      <c r="Y527" s="2"/>
      <c r="Z527" s="2"/>
      <c r="AA527" s="2"/>
      <c r="AB527" s="2"/>
      <c r="AC527" s="2"/>
      <c r="AD527" s="2"/>
    </row>
    <row r="528" spans="1:30" ht="13">
      <c r="A528" s="3"/>
      <c r="B528" s="2"/>
      <c r="C528" s="2"/>
      <c r="D528" s="3"/>
      <c r="E528" s="3"/>
      <c r="F528" s="1"/>
      <c r="G528" s="37"/>
      <c r="H528" s="1"/>
      <c r="I528" s="2"/>
      <c r="J528" s="2"/>
      <c r="K528" s="2"/>
      <c r="L528" s="2"/>
      <c r="M528" s="2"/>
      <c r="N528" s="3"/>
      <c r="O528" s="3"/>
      <c r="P528" s="2"/>
      <c r="Q528" s="2"/>
      <c r="R528" s="2"/>
      <c r="S528" s="2"/>
      <c r="T528" s="2"/>
      <c r="U528" s="2"/>
      <c r="V528" s="2"/>
      <c r="W528" s="2"/>
      <c r="X528" s="2"/>
      <c r="Y528" s="2"/>
      <c r="Z528" s="2"/>
      <c r="AA528" s="2"/>
      <c r="AB528" s="2"/>
      <c r="AC528" s="2"/>
      <c r="AD528" s="2"/>
    </row>
    <row r="529" spans="1:30" ht="13">
      <c r="A529" s="3"/>
      <c r="B529" s="2"/>
      <c r="C529" s="2"/>
      <c r="D529" s="3"/>
      <c r="E529" s="3"/>
      <c r="F529" s="1"/>
      <c r="G529" s="37"/>
      <c r="H529" s="1"/>
      <c r="I529" s="2"/>
      <c r="J529" s="2"/>
      <c r="K529" s="2"/>
      <c r="L529" s="2"/>
      <c r="M529" s="2"/>
      <c r="N529" s="3"/>
      <c r="O529" s="3"/>
      <c r="P529" s="2"/>
      <c r="Q529" s="2"/>
      <c r="R529" s="2"/>
      <c r="S529" s="2"/>
      <c r="T529" s="2"/>
      <c r="U529" s="2"/>
      <c r="V529" s="2"/>
      <c r="W529" s="2"/>
      <c r="X529" s="2"/>
      <c r="Y529" s="2"/>
      <c r="Z529" s="2"/>
      <c r="AA529" s="2"/>
      <c r="AB529" s="2"/>
      <c r="AC529" s="2"/>
      <c r="AD529" s="2"/>
    </row>
    <row r="530" spans="1:30" ht="13">
      <c r="A530" s="3"/>
      <c r="B530" s="2"/>
      <c r="C530" s="2"/>
      <c r="D530" s="3"/>
      <c r="E530" s="3"/>
      <c r="F530" s="1"/>
      <c r="G530" s="37"/>
      <c r="H530" s="1"/>
      <c r="I530" s="2"/>
      <c r="J530" s="2"/>
      <c r="K530" s="2"/>
      <c r="L530" s="2"/>
      <c r="M530" s="2"/>
      <c r="N530" s="3"/>
      <c r="O530" s="3"/>
      <c r="P530" s="2"/>
      <c r="Q530" s="2"/>
      <c r="R530" s="2"/>
      <c r="S530" s="2"/>
      <c r="T530" s="2"/>
      <c r="U530" s="2"/>
      <c r="V530" s="2"/>
      <c r="W530" s="2"/>
      <c r="X530" s="2"/>
      <c r="Y530" s="2"/>
      <c r="Z530" s="2"/>
      <c r="AA530" s="2"/>
      <c r="AB530" s="2"/>
      <c r="AC530" s="2"/>
      <c r="AD530" s="2"/>
    </row>
    <row r="531" spans="1:30" ht="13">
      <c r="A531" s="3"/>
      <c r="B531" s="2"/>
      <c r="C531" s="2"/>
      <c r="D531" s="3"/>
      <c r="E531" s="3"/>
      <c r="F531" s="1"/>
      <c r="G531" s="37"/>
      <c r="H531" s="1"/>
      <c r="I531" s="2"/>
      <c r="J531" s="2"/>
      <c r="K531" s="2"/>
      <c r="L531" s="2"/>
      <c r="M531" s="2"/>
      <c r="N531" s="3"/>
      <c r="O531" s="3"/>
      <c r="P531" s="2"/>
      <c r="Q531" s="2"/>
      <c r="R531" s="2"/>
      <c r="S531" s="2"/>
      <c r="T531" s="2"/>
      <c r="U531" s="2"/>
      <c r="V531" s="2"/>
      <c r="W531" s="2"/>
      <c r="X531" s="2"/>
      <c r="Y531" s="2"/>
      <c r="Z531" s="2"/>
      <c r="AA531" s="2"/>
      <c r="AB531" s="2"/>
      <c r="AC531" s="2"/>
      <c r="AD531" s="2"/>
    </row>
    <row r="532" spans="1:30" ht="13">
      <c r="A532" s="3"/>
      <c r="B532" s="2"/>
      <c r="C532" s="2"/>
      <c r="D532" s="3"/>
      <c r="E532" s="3"/>
      <c r="F532" s="1"/>
      <c r="G532" s="37"/>
      <c r="H532" s="1"/>
      <c r="I532" s="2"/>
      <c r="J532" s="2"/>
      <c r="K532" s="2"/>
      <c r="L532" s="2"/>
      <c r="M532" s="2"/>
      <c r="N532" s="3"/>
      <c r="O532" s="3"/>
      <c r="P532" s="2"/>
      <c r="Q532" s="2"/>
      <c r="R532" s="2"/>
      <c r="S532" s="2"/>
      <c r="T532" s="2"/>
      <c r="U532" s="2"/>
      <c r="V532" s="2"/>
      <c r="W532" s="2"/>
      <c r="X532" s="2"/>
      <c r="Y532" s="2"/>
      <c r="Z532" s="2"/>
      <c r="AA532" s="2"/>
      <c r="AB532" s="2"/>
      <c r="AC532" s="2"/>
      <c r="AD532" s="2"/>
    </row>
    <row r="533" spans="1:30" ht="13">
      <c r="A533" s="3"/>
      <c r="B533" s="2"/>
      <c r="C533" s="2"/>
      <c r="D533" s="3"/>
      <c r="E533" s="3"/>
      <c r="F533" s="1"/>
      <c r="G533" s="37"/>
      <c r="H533" s="1"/>
      <c r="I533" s="2"/>
      <c r="J533" s="2"/>
      <c r="K533" s="2"/>
      <c r="L533" s="2"/>
      <c r="M533" s="2"/>
      <c r="N533" s="3"/>
      <c r="O533" s="3"/>
      <c r="P533" s="2"/>
      <c r="Q533" s="2"/>
      <c r="R533" s="2"/>
      <c r="S533" s="2"/>
      <c r="T533" s="2"/>
      <c r="U533" s="2"/>
      <c r="V533" s="2"/>
      <c r="W533" s="2"/>
      <c r="X533" s="2"/>
      <c r="Y533" s="2"/>
      <c r="Z533" s="2"/>
      <c r="AA533" s="2"/>
      <c r="AB533" s="2"/>
      <c r="AC533" s="2"/>
      <c r="AD533" s="2"/>
    </row>
    <row r="534" spans="1:30" ht="13">
      <c r="A534" s="3"/>
      <c r="B534" s="2"/>
      <c r="C534" s="2"/>
      <c r="D534" s="3"/>
      <c r="E534" s="3"/>
      <c r="F534" s="1"/>
      <c r="G534" s="37"/>
      <c r="H534" s="1"/>
      <c r="I534" s="2"/>
      <c r="J534" s="2"/>
      <c r="K534" s="2"/>
      <c r="L534" s="2"/>
      <c r="M534" s="2"/>
      <c r="N534" s="3"/>
      <c r="O534" s="3"/>
      <c r="P534" s="2"/>
      <c r="Q534" s="2"/>
      <c r="R534" s="2"/>
      <c r="S534" s="2"/>
      <c r="T534" s="2"/>
      <c r="U534" s="2"/>
      <c r="V534" s="2"/>
      <c r="W534" s="2"/>
      <c r="X534" s="2"/>
      <c r="Y534" s="2"/>
      <c r="Z534" s="2"/>
      <c r="AA534" s="2"/>
      <c r="AB534" s="2"/>
      <c r="AC534" s="2"/>
      <c r="AD534" s="2"/>
    </row>
    <row r="535" spans="1:30" ht="13">
      <c r="A535" s="3"/>
      <c r="B535" s="2"/>
      <c r="C535" s="2"/>
      <c r="D535" s="3"/>
      <c r="E535" s="3"/>
      <c r="F535" s="1"/>
      <c r="G535" s="37"/>
      <c r="H535" s="1"/>
      <c r="I535" s="2"/>
      <c r="J535" s="2"/>
      <c r="K535" s="2"/>
      <c r="L535" s="2"/>
      <c r="M535" s="2"/>
      <c r="N535" s="3"/>
      <c r="O535" s="3"/>
      <c r="P535" s="2"/>
      <c r="Q535" s="2"/>
      <c r="R535" s="2"/>
      <c r="S535" s="2"/>
      <c r="T535" s="2"/>
      <c r="U535" s="2"/>
      <c r="V535" s="2"/>
      <c r="W535" s="2"/>
      <c r="X535" s="2"/>
      <c r="Y535" s="2"/>
      <c r="Z535" s="2"/>
      <c r="AA535" s="2"/>
      <c r="AB535" s="2"/>
      <c r="AC535" s="2"/>
      <c r="AD535" s="2"/>
    </row>
    <row r="536" spans="1:30" ht="13">
      <c r="A536" s="3"/>
      <c r="B536" s="2"/>
      <c r="C536" s="2"/>
      <c r="D536" s="3"/>
      <c r="E536" s="3"/>
      <c r="F536" s="1"/>
      <c r="G536" s="37"/>
      <c r="H536" s="1"/>
      <c r="I536" s="2"/>
      <c r="J536" s="2"/>
      <c r="K536" s="2"/>
      <c r="L536" s="2"/>
      <c r="M536" s="2"/>
      <c r="N536" s="3"/>
      <c r="O536" s="3"/>
      <c r="P536" s="2"/>
      <c r="Q536" s="2"/>
      <c r="R536" s="2"/>
      <c r="S536" s="2"/>
      <c r="T536" s="2"/>
      <c r="U536" s="2"/>
      <c r="V536" s="2"/>
      <c r="W536" s="2"/>
      <c r="X536" s="2"/>
      <c r="Y536" s="2"/>
      <c r="Z536" s="2"/>
      <c r="AA536" s="2"/>
      <c r="AB536" s="2"/>
      <c r="AC536" s="2"/>
      <c r="AD536" s="2"/>
    </row>
    <row r="537" spans="1:30" ht="13">
      <c r="A537" s="3"/>
      <c r="B537" s="2"/>
      <c r="C537" s="2"/>
      <c r="D537" s="3"/>
      <c r="E537" s="3"/>
      <c r="F537" s="1"/>
      <c r="G537" s="37"/>
      <c r="H537" s="1"/>
      <c r="I537" s="2"/>
      <c r="J537" s="2"/>
      <c r="K537" s="2"/>
      <c r="L537" s="2"/>
      <c r="M537" s="2"/>
      <c r="N537" s="3"/>
      <c r="O537" s="3"/>
      <c r="P537" s="2"/>
      <c r="Q537" s="2"/>
      <c r="R537" s="2"/>
      <c r="S537" s="2"/>
      <c r="T537" s="2"/>
      <c r="U537" s="2"/>
      <c r="V537" s="2"/>
      <c r="W537" s="2"/>
      <c r="X537" s="2"/>
      <c r="Y537" s="2"/>
      <c r="Z537" s="2"/>
      <c r="AA537" s="2"/>
      <c r="AB537" s="2"/>
      <c r="AC537" s="2"/>
      <c r="AD537" s="2"/>
    </row>
    <row r="538" spans="1:30" ht="13">
      <c r="A538" s="3"/>
      <c r="B538" s="2"/>
      <c r="C538" s="2"/>
      <c r="D538" s="3"/>
      <c r="E538" s="3"/>
      <c r="F538" s="1"/>
      <c r="G538" s="37"/>
      <c r="H538" s="1"/>
      <c r="I538" s="2"/>
      <c r="J538" s="2"/>
      <c r="K538" s="2"/>
      <c r="L538" s="2"/>
      <c r="M538" s="2"/>
      <c r="N538" s="3"/>
      <c r="O538" s="3"/>
      <c r="P538" s="2"/>
      <c r="Q538" s="2"/>
      <c r="R538" s="2"/>
      <c r="S538" s="2"/>
      <c r="T538" s="2"/>
      <c r="U538" s="2"/>
      <c r="V538" s="2"/>
      <c r="W538" s="2"/>
      <c r="X538" s="2"/>
      <c r="Y538" s="2"/>
      <c r="Z538" s="2"/>
      <c r="AA538" s="2"/>
      <c r="AB538" s="2"/>
      <c r="AC538" s="2"/>
      <c r="AD538" s="2"/>
    </row>
    <row r="539" spans="1:30" ht="13">
      <c r="A539" s="3"/>
      <c r="B539" s="2"/>
      <c r="C539" s="2"/>
      <c r="D539" s="3"/>
      <c r="E539" s="3"/>
      <c r="F539" s="1"/>
      <c r="G539" s="37"/>
      <c r="H539" s="1"/>
      <c r="I539" s="2"/>
      <c r="J539" s="2"/>
      <c r="K539" s="2"/>
      <c r="L539" s="2"/>
      <c r="M539" s="2"/>
      <c r="N539" s="3"/>
      <c r="O539" s="3"/>
      <c r="P539" s="2"/>
      <c r="Q539" s="2"/>
      <c r="R539" s="2"/>
      <c r="S539" s="2"/>
      <c r="T539" s="2"/>
      <c r="U539" s="2"/>
      <c r="V539" s="2"/>
      <c r="W539" s="2"/>
      <c r="X539" s="2"/>
      <c r="Y539" s="2"/>
      <c r="Z539" s="2"/>
      <c r="AA539" s="2"/>
      <c r="AB539" s="2"/>
      <c r="AC539" s="2"/>
      <c r="AD539" s="2"/>
    </row>
    <row r="540" spans="1:30" ht="13">
      <c r="A540" s="3"/>
      <c r="B540" s="2"/>
      <c r="C540" s="2"/>
      <c r="D540" s="3"/>
      <c r="E540" s="3"/>
      <c r="F540" s="1"/>
      <c r="G540" s="37"/>
      <c r="H540" s="1"/>
      <c r="I540" s="2"/>
      <c r="J540" s="2"/>
      <c r="K540" s="2"/>
      <c r="L540" s="2"/>
      <c r="M540" s="2"/>
      <c r="N540" s="3"/>
      <c r="O540" s="3"/>
      <c r="P540" s="2"/>
      <c r="Q540" s="2"/>
      <c r="R540" s="2"/>
      <c r="S540" s="2"/>
      <c r="T540" s="2"/>
      <c r="U540" s="2"/>
      <c r="V540" s="2"/>
      <c r="W540" s="2"/>
      <c r="X540" s="2"/>
      <c r="Y540" s="2"/>
      <c r="Z540" s="2"/>
      <c r="AA540" s="2"/>
      <c r="AB540" s="2"/>
      <c r="AC540" s="2"/>
      <c r="AD540" s="2"/>
    </row>
    <row r="541" spans="1:30" ht="13">
      <c r="A541" s="3"/>
      <c r="B541" s="2"/>
      <c r="C541" s="2"/>
      <c r="D541" s="3"/>
      <c r="E541" s="3"/>
      <c r="F541" s="1"/>
      <c r="G541" s="37"/>
      <c r="H541" s="1"/>
      <c r="I541" s="2"/>
      <c r="J541" s="2"/>
      <c r="K541" s="2"/>
      <c r="L541" s="2"/>
      <c r="M541" s="2"/>
      <c r="N541" s="3"/>
      <c r="O541" s="3"/>
      <c r="P541" s="2"/>
      <c r="Q541" s="2"/>
      <c r="R541" s="2"/>
      <c r="S541" s="2"/>
      <c r="T541" s="2"/>
      <c r="U541" s="2"/>
      <c r="V541" s="2"/>
      <c r="W541" s="2"/>
      <c r="X541" s="2"/>
      <c r="Y541" s="2"/>
      <c r="Z541" s="2"/>
      <c r="AA541" s="2"/>
      <c r="AB541" s="2"/>
      <c r="AC541" s="2"/>
      <c r="AD541" s="2"/>
    </row>
    <row r="542" spans="1:30" ht="13">
      <c r="A542" s="3"/>
      <c r="B542" s="2"/>
      <c r="C542" s="2"/>
      <c r="D542" s="3"/>
      <c r="E542" s="3"/>
      <c r="F542" s="1"/>
      <c r="G542" s="37"/>
      <c r="H542" s="1"/>
      <c r="I542" s="2"/>
      <c r="J542" s="2"/>
      <c r="K542" s="2"/>
      <c r="L542" s="2"/>
      <c r="M542" s="2"/>
      <c r="N542" s="3"/>
      <c r="O542" s="3"/>
      <c r="P542" s="2"/>
      <c r="Q542" s="2"/>
      <c r="R542" s="2"/>
      <c r="S542" s="2"/>
      <c r="T542" s="2"/>
      <c r="U542" s="2"/>
      <c r="V542" s="2"/>
      <c r="W542" s="2"/>
      <c r="X542" s="2"/>
      <c r="Y542" s="2"/>
      <c r="Z542" s="2"/>
      <c r="AA542" s="2"/>
      <c r="AB542" s="2"/>
      <c r="AC542" s="2"/>
      <c r="AD542" s="2"/>
    </row>
    <row r="543" spans="1:30" ht="13">
      <c r="A543" s="3"/>
      <c r="B543" s="2"/>
      <c r="C543" s="2"/>
      <c r="D543" s="3"/>
      <c r="E543" s="3"/>
      <c r="F543" s="1"/>
      <c r="G543" s="37"/>
      <c r="H543" s="1"/>
      <c r="I543" s="2"/>
      <c r="J543" s="2"/>
      <c r="K543" s="2"/>
      <c r="L543" s="2"/>
      <c r="M543" s="2"/>
      <c r="N543" s="3"/>
      <c r="O543" s="3"/>
      <c r="P543" s="2"/>
      <c r="Q543" s="2"/>
      <c r="R543" s="2"/>
      <c r="S543" s="2"/>
      <c r="T543" s="2"/>
      <c r="U543" s="2"/>
      <c r="V543" s="2"/>
      <c r="W543" s="2"/>
      <c r="X543" s="2"/>
      <c r="Y543" s="2"/>
      <c r="Z543" s="2"/>
      <c r="AA543" s="2"/>
      <c r="AB543" s="2"/>
      <c r="AC543" s="2"/>
      <c r="AD543" s="2"/>
    </row>
    <row r="544" spans="1:30" ht="13">
      <c r="A544" s="3"/>
      <c r="B544" s="2"/>
      <c r="C544" s="2"/>
      <c r="D544" s="3"/>
      <c r="E544" s="3"/>
      <c r="F544" s="1"/>
      <c r="G544" s="37"/>
      <c r="H544" s="1"/>
      <c r="I544" s="2"/>
      <c r="J544" s="2"/>
      <c r="K544" s="2"/>
      <c r="L544" s="2"/>
      <c r="M544" s="2"/>
      <c r="N544" s="3"/>
      <c r="O544" s="3"/>
      <c r="P544" s="2"/>
      <c r="Q544" s="2"/>
      <c r="R544" s="2"/>
      <c r="S544" s="2"/>
      <c r="T544" s="2"/>
      <c r="U544" s="2"/>
      <c r="V544" s="2"/>
      <c r="W544" s="2"/>
      <c r="X544" s="2"/>
      <c r="Y544" s="2"/>
      <c r="Z544" s="2"/>
      <c r="AA544" s="2"/>
      <c r="AB544" s="2"/>
      <c r="AC544" s="2"/>
      <c r="AD544" s="2"/>
    </row>
    <row r="545" spans="1:30" ht="13">
      <c r="A545" s="3"/>
      <c r="B545" s="2"/>
      <c r="C545" s="2"/>
      <c r="D545" s="3"/>
      <c r="E545" s="3"/>
      <c r="F545" s="1"/>
      <c r="G545" s="37"/>
      <c r="H545" s="1"/>
      <c r="I545" s="2"/>
      <c r="J545" s="2"/>
      <c r="K545" s="2"/>
      <c r="L545" s="2"/>
      <c r="M545" s="2"/>
      <c r="N545" s="3"/>
      <c r="O545" s="3"/>
      <c r="P545" s="2"/>
      <c r="Q545" s="2"/>
      <c r="R545" s="2"/>
      <c r="S545" s="2"/>
      <c r="T545" s="2"/>
      <c r="U545" s="2"/>
      <c r="V545" s="2"/>
      <c r="W545" s="2"/>
      <c r="X545" s="2"/>
      <c r="Y545" s="2"/>
      <c r="Z545" s="2"/>
      <c r="AA545" s="2"/>
      <c r="AB545" s="2"/>
      <c r="AC545" s="2"/>
      <c r="AD545" s="2"/>
    </row>
    <row r="546" spans="1:30" ht="13">
      <c r="A546" s="3"/>
      <c r="B546" s="2"/>
      <c r="C546" s="2"/>
      <c r="D546" s="3"/>
      <c r="E546" s="3"/>
      <c r="F546" s="1"/>
      <c r="G546" s="37"/>
      <c r="H546" s="1"/>
      <c r="I546" s="2"/>
      <c r="J546" s="2"/>
      <c r="K546" s="2"/>
      <c r="L546" s="2"/>
      <c r="M546" s="2"/>
      <c r="N546" s="3"/>
      <c r="O546" s="3"/>
      <c r="P546" s="2"/>
      <c r="Q546" s="2"/>
      <c r="R546" s="2"/>
      <c r="S546" s="2"/>
      <c r="T546" s="2"/>
      <c r="U546" s="2"/>
      <c r="V546" s="2"/>
      <c r="W546" s="2"/>
      <c r="X546" s="2"/>
      <c r="Y546" s="2"/>
      <c r="Z546" s="2"/>
      <c r="AA546" s="2"/>
      <c r="AB546" s="2"/>
      <c r="AC546" s="2"/>
      <c r="AD546" s="2"/>
    </row>
    <row r="547" spans="1:30" ht="13">
      <c r="A547" s="3"/>
      <c r="B547" s="2"/>
      <c r="C547" s="2"/>
      <c r="D547" s="3"/>
      <c r="E547" s="3"/>
      <c r="F547" s="1"/>
      <c r="G547" s="37"/>
      <c r="H547" s="1"/>
      <c r="I547" s="2"/>
      <c r="J547" s="2"/>
      <c r="K547" s="2"/>
      <c r="L547" s="2"/>
      <c r="M547" s="2"/>
      <c r="N547" s="3"/>
      <c r="O547" s="3"/>
      <c r="P547" s="2"/>
      <c r="Q547" s="2"/>
      <c r="R547" s="2"/>
      <c r="S547" s="2"/>
      <c r="T547" s="2"/>
      <c r="U547" s="2"/>
      <c r="V547" s="2"/>
      <c r="W547" s="2"/>
      <c r="X547" s="2"/>
      <c r="Y547" s="2"/>
      <c r="Z547" s="2"/>
      <c r="AA547" s="2"/>
      <c r="AB547" s="2"/>
      <c r="AC547" s="2"/>
      <c r="AD547" s="2"/>
    </row>
    <row r="548" spans="1:30" ht="13">
      <c r="A548" s="3"/>
      <c r="B548" s="2"/>
      <c r="C548" s="2"/>
      <c r="D548" s="3"/>
      <c r="E548" s="3"/>
      <c r="F548" s="1"/>
      <c r="G548" s="37"/>
      <c r="H548" s="1"/>
      <c r="I548" s="2"/>
      <c r="J548" s="2"/>
      <c r="K548" s="2"/>
      <c r="L548" s="2"/>
      <c r="M548" s="2"/>
      <c r="N548" s="3"/>
      <c r="O548" s="3"/>
      <c r="P548" s="2"/>
      <c r="Q548" s="2"/>
      <c r="R548" s="2"/>
      <c r="S548" s="2"/>
      <c r="T548" s="2"/>
      <c r="U548" s="2"/>
      <c r="V548" s="2"/>
      <c r="W548" s="2"/>
      <c r="X548" s="2"/>
      <c r="Y548" s="2"/>
      <c r="Z548" s="2"/>
      <c r="AA548" s="2"/>
      <c r="AB548" s="2"/>
      <c r="AC548" s="2"/>
      <c r="AD548" s="2"/>
    </row>
    <row r="549" spans="1:30" ht="13">
      <c r="A549" s="3"/>
      <c r="B549" s="2"/>
      <c r="C549" s="2"/>
      <c r="D549" s="3"/>
      <c r="E549" s="3"/>
      <c r="F549" s="1"/>
      <c r="G549" s="37"/>
      <c r="H549" s="1"/>
      <c r="I549" s="2"/>
      <c r="J549" s="2"/>
      <c r="K549" s="2"/>
      <c r="L549" s="2"/>
      <c r="M549" s="2"/>
      <c r="N549" s="3"/>
      <c r="O549" s="3"/>
      <c r="P549" s="2"/>
      <c r="Q549" s="2"/>
      <c r="R549" s="2"/>
      <c r="S549" s="2"/>
      <c r="T549" s="2"/>
      <c r="U549" s="2"/>
      <c r="V549" s="2"/>
      <c r="W549" s="2"/>
      <c r="X549" s="2"/>
      <c r="Y549" s="2"/>
      <c r="Z549" s="2"/>
      <c r="AA549" s="2"/>
      <c r="AB549" s="2"/>
      <c r="AC549" s="2"/>
      <c r="AD549" s="2"/>
    </row>
    <row r="550" spans="1:30" ht="13">
      <c r="A550" s="3"/>
      <c r="B550" s="2"/>
      <c r="C550" s="2"/>
      <c r="D550" s="3"/>
      <c r="E550" s="3"/>
      <c r="F550" s="1"/>
      <c r="G550" s="37"/>
      <c r="H550" s="1"/>
      <c r="I550" s="2"/>
      <c r="J550" s="2"/>
      <c r="K550" s="2"/>
      <c r="L550" s="2"/>
      <c r="M550" s="2"/>
      <c r="N550" s="3"/>
      <c r="O550" s="3"/>
      <c r="P550" s="2"/>
      <c r="Q550" s="2"/>
      <c r="R550" s="2"/>
      <c r="S550" s="2"/>
      <c r="T550" s="2"/>
      <c r="U550" s="2"/>
      <c r="V550" s="2"/>
      <c r="W550" s="2"/>
      <c r="X550" s="2"/>
      <c r="Y550" s="2"/>
      <c r="Z550" s="2"/>
      <c r="AA550" s="2"/>
      <c r="AB550" s="2"/>
      <c r="AC550" s="2"/>
      <c r="AD550" s="2"/>
    </row>
    <row r="551" spans="1:30" ht="13">
      <c r="A551" s="3"/>
      <c r="B551" s="2"/>
      <c r="C551" s="2"/>
      <c r="D551" s="3"/>
      <c r="E551" s="3"/>
      <c r="F551" s="1"/>
      <c r="G551" s="37"/>
      <c r="H551" s="1"/>
      <c r="I551" s="2"/>
      <c r="J551" s="2"/>
      <c r="K551" s="2"/>
      <c r="L551" s="2"/>
      <c r="M551" s="2"/>
      <c r="N551" s="3"/>
      <c r="O551" s="3"/>
      <c r="P551" s="2"/>
      <c r="Q551" s="2"/>
      <c r="R551" s="2"/>
      <c r="S551" s="2"/>
      <c r="T551" s="2"/>
      <c r="U551" s="2"/>
      <c r="V551" s="2"/>
      <c r="W551" s="2"/>
      <c r="X551" s="2"/>
      <c r="Y551" s="2"/>
      <c r="Z551" s="2"/>
      <c r="AA551" s="2"/>
      <c r="AB551" s="2"/>
      <c r="AC551" s="2"/>
      <c r="AD551" s="2"/>
    </row>
    <row r="552" spans="1:30" ht="13">
      <c r="A552" s="3"/>
      <c r="B552" s="2"/>
      <c r="C552" s="2"/>
      <c r="D552" s="3"/>
      <c r="E552" s="3"/>
      <c r="F552" s="1"/>
      <c r="G552" s="37"/>
      <c r="H552" s="1"/>
      <c r="I552" s="2"/>
      <c r="J552" s="2"/>
      <c r="K552" s="2"/>
      <c r="L552" s="2"/>
      <c r="M552" s="2"/>
      <c r="N552" s="3"/>
      <c r="O552" s="3"/>
      <c r="P552" s="2"/>
      <c r="Q552" s="2"/>
      <c r="R552" s="2"/>
      <c r="S552" s="2"/>
      <c r="T552" s="2"/>
      <c r="U552" s="2"/>
      <c r="V552" s="2"/>
      <c r="W552" s="2"/>
      <c r="X552" s="2"/>
      <c r="Y552" s="2"/>
      <c r="Z552" s="2"/>
      <c r="AA552" s="2"/>
      <c r="AB552" s="2"/>
      <c r="AC552" s="2"/>
      <c r="AD552" s="2"/>
    </row>
    <row r="553" spans="1:30" ht="13">
      <c r="A553" s="3"/>
      <c r="B553" s="2"/>
      <c r="C553" s="2"/>
      <c r="D553" s="3"/>
      <c r="E553" s="3"/>
      <c r="F553" s="1"/>
      <c r="G553" s="37"/>
      <c r="H553" s="1"/>
      <c r="I553" s="2"/>
      <c r="J553" s="2"/>
      <c r="K553" s="2"/>
      <c r="L553" s="2"/>
      <c r="M553" s="2"/>
      <c r="N553" s="3"/>
      <c r="O553" s="3"/>
      <c r="P553" s="2"/>
      <c r="Q553" s="2"/>
      <c r="R553" s="2"/>
      <c r="S553" s="2"/>
      <c r="T553" s="2"/>
      <c r="U553" s="2"/>
      <c r="V553" s="2"/>
      <c r="W553" s="2"/>
      <c r="X553" s="2"/>
      <c r="Y553" s="2"/>
      <c r="Z553" s="2"/>
      <c r="AA553" s="2"/>
      <c r="AB553" s="2"/>
      <c r="AC553" s="2"/>
      <c r="AD553" s="2"/>
    </row>
    <row r="554" spans="1:30" ht="13">
      <c r="A554" s="3"/>
      <c r="B554" s="2"/>
      <c r="C554" s="2"/>
      <c r="D554" s="3"/>
      <c r="E554" s="3"/>
      <c r="F554" s="1"/>
      <c r="G554" s="37"/>
      <c r="H554" s="1"/>
      <c r="I554" s="2"/>
      <c r="J554" s="2"/>
      <c r="K554" s="2"/>
      <c r="L554" s="2"/>
      <c r="M554" s="2"/>
      <c r="N554" s="3"/>
      <c r="O554" s="3"/>
      <c r="P554" s="2"/>
      <c r="Q554" s="2"/>
      <c r="R554" s="2"/>
      <c r="S554" s="2"/>
      <c r="T554" s="2"/>
      <c r="U554" s="2"/>
      <c r="V554" s="2"/>
      <c r="W554" s="2"/>
      <c r="X554" s="2"/>
      <c r="Y554" s="2"/>
      <c r="Z554" s="2"/>
      <c r="AA554" s="2"/>
      <c r="AB554" s="2"/>
      <c r="AC554" s="2"/>
      <c r="AD554" s="2"/>
    </row>
    <row r="555" spans="1:30" ht="13">
      <c r="A555" s="3"/>
      <c r="B555" s="2"/>
      <c r="C555" s="2"/>
      <c r="D555" s="3"/>
      <c r="E555" s="3"/>
      <c r="F555" s="1"/>
      <c r="G555" s="37"/>
      <c r="H555" s="1"/>
      <c r="I555" s="2"/>
      <c r="J555" s="2"/>
      <c r="K555" s="2"/>
      <c r="L555" s="2"/>
      <c r="M555" s="2"/>
      <c r="N555" s="3"/>
      <c r="O555" s="3"/>
      <c r="P555" s="2"/>
      <c r="Q555" s="2"/>
      <c r="R555" s="2"/>
      <c r="S555" s="2"/>
      <c r="T555" s="2"/>
      <c r="U555" s="2"/>
      <c r="V555" s="2"/>
      <c r="W555" s="2"/>
      <c r="X555" s="2"/>
      <c r="Y555" s="2"/>
      <c r="Z555" s="2"/>
      <c r="AA555" s="2"/>
      <c r="AB555" s="2"/>
      <c r="AC555" s="2"/>
      <c r="AD555" s="2"/>
    </row>
    <row r="556" spans="1:30" ht="13">
      <c r="A556" s="3"/>
      <c r="B556" s="2"/>
      <c r="C556" s="2"/>
      <c r="D556" s="3"/>
      <c r="E556" s="3"/>
      <c r="F556" s="1"/>
      <c r="G556" s="37"/>
      <c r="H556" s="1"/>
      <c r="I556" s="2"/>
      <c r="J556" s="2"/>
      <c r="K556" s="2"/>
      <c r="L556" s="2"/>
      <c r="M556" s="2"/>
      <c r="N556" s="3"/>
      <c r="O556" s="3"/>
      <c r="P556" s="2"/>
      <c r="Q556" s="2"/>
      <c r="R556" s="2"/>
      <c r="S556" s="2"/>
      <c r="T556" s="2"/>
      <c r="U556" s="2"/>
      <c r="V556" s="2"/>
      <c r="W556" s="2"/>
      <c r="X556" s="2"/>
      <c r="Y556" s="2"/>
      <c r="Z556" s="2"/>
      <c r="AA556" s="2"/>
      <c r="AB556" s="2"/>
      <c r="AC556" s="2"/>
      <c r="AD556" s="2"/>
    </row>
    <row r="557" spans="1:30" ht="13">
      <c r="A557" s="3"/>
      <c r="B557" s="2"/>
      <c r="C557" s="2"/>
      <c r="D557" s="3"/>
      <c r="E557" s="3"/>
      <c r="F557" s="1"/>
      <c r="G557" s="37"/>
      <c r="H557" s="1"/>
      <c r="I557" s="2"/>
      <c r="J557" s="2"/>
      <c r="K557" s="2"/>
      <c r="L557" s="2"/>
      <c r="M557" s="2"/>
      <c r="N557" s="3"/>
      <c r="O557" s="3"/>
      <c r="P557" s="2"/>
      <c r="Q557" s="2"/>
      <c r="R557" s="2"/>
      <c r="S557" s="2"/>
      <c r="T557" s="2"/>
      <c r="U557" s="2"/>
      <c r="V557" s="2"/>
      <c r="W557" s="2"/>
      <c r="X557" s="2"/>
      <c r="Y557" s="2"/>
      <c r="Z557" s="2"/>
      <c r="AA557" s="2"/>
      <c r="AB557" s="2"/>
      <c r="AC557" s="2"/>
      <c r="AD557" s="2"/>
    </row>
    <row r="558" spans="1:30" ht="13">
      <c r="A558" s="3"/>
      <c r="B558" s="2"/>
      <c r="C558" s="2"/>
      <c r="D558" s="3"/>
      <c r="E558" s="3"/>
      <c r="F558" s="1"/>
      <c r="G558" s="37"/>
      <c r="H558" s="1"/>
      <c r="I558" s="2"/>
      <c r="J558" s="2"/>
      <c r="K558" s="2"/>
      <c r="L558" s="2"/>
      <c r="M558" s="2"/>
      <c r="N558" s="3"/>
      <c r="O558" s="3"/>
      <c r="P558" s="2"/>
      <c r="Q558" s="2"/>
      <c r="R558" s="2"/>
      <c r="S558" s="2"/>
      <c r="T558" s="2"/>
      <c r="U558" s="2"/>
      <c r="V558" s="2"/>
      <c r="W558" s="2"/>
      <c r="X558" s="2"/>
      <c r="Y558" s="2"/>
      <c r="Z558" s="2"/>
      <c r="AA558" s="2"/>
      <c r="AB558" s="2"/>
      <c r="AC558" s="2"/>
      <c r="AD558" s="2"/>
    </row>
    <row r="559" spans="1:30" ht="13">
      <c r="A559" s="3"/>
      <c r="B559" s="2"/>
      <c r="C559" s="2"/>
      <c r="D559" s="3"/>
      <c r="E559" s="3"/>
      <c r="F559" s="1"/>
      <c r="G559" s="37"/>
      <c r="H559" s="1"/>
      <c r="I559" s="2"/>
      <c r="J559" s="2"/>
      <c r="K559" s="2"/>
      <c r="L559" s="2"/>
      <c r="M559" s="2"/>
      <c r="N559" s="3"/>
      <c r="O559" s="3"/>
      <c r="P559" s="2"/>
      <c r="Q559" s="2"/>
      <c r="R559" s="2"/>
      <c r="S559" s="2"/>
      <c r="T559" s="2"/>
      <c r="U559" s="2"/>
      <c r="V559" s="2"/>
      <c r="W559" s="2"/>
      <c r="X559" s="2"/>
      <c r="Y559" s="2"/>
      <c r="Z559" s="2"/>
      <c r="AA559" s="2"/>
      <c r="AB559" s="2"/>
      <c r="AC559" s="2"/>
      <c r="AD559" s="2"/>
    </row>
    <row r="560" spans="1:30" ht="13">
      <c r="A560" s="3"/>
      <c r="B560" s="2"/>
      <c r="C560" s="2"/>
      <c r="D560" s="3"/>
      <c r="E560" s="3"/>
      <c r="F560" s="1"/>
      <c r="G560" s="37"/>
      <c r="H560" s="1"/>
      <c r="I560" s="2"/>
      <c r="J560" s="2"/>
      <c r="K560" s="2"/>
      <c r="L560" s="2"/>
      <c r="M560" s="2"/>
      <c r="N560" s="3"/>
      <c r="O560" s="3"/>
      <c r="P560" s="2"/>
      <c r="Q560" s="2"/>
      <c r="R560" s="2"/>
      <c r="S560" s="2"/>
      <c r="T560" s="2"/>
      <c r="U560" s="2"/>
      <c r="V560" s="2"/>
      <c r="W560" s="2"/>
      <c r="X560" s="2"/>
      <c r="Y560" s="2"/>
      <c r="Z560" s="2"/>
      <c r="AA560" s="2"/>
      <c r="AB560" s="2"/>
      <c r="AC560" s="2"/>
      <c r="AD560" s="2"/>
    </row>
    <row r="561" spans="1:30" ht="13">
      <c r="A561" s="3"/>
      <c r="B561" s="2"/>
      <c r="C561" s="2"/>
      <c r="D561" s="3"/>
      <c r="E561" s="3"/>
      <c r="F561" s="1"/>
      <c r="G561" s="37"/>
      <c r="H561" s="1"/>
      <c r="I561" s="2"/>
      <c r="J561" s="2"/>
      <c r="K561" s="2"/>
      <c r="L561" s="2"/>
      <c r="M561" s="2"/>
      <c r="N561" s="3"/>
      <c r="O561" s="3"/>
      <c r="P561" s="2"/>
      <c r="Q561" s="2"/>
      <c r="R561" s="2"/>
      <c r="S561" s="2"/>
      <c r="T561" s="2"/>
      <c r="U561" s="2"/>
      <c r="V561" s="2"/>
      <c r="W561" s="2"/>
      <c r="X561" s="2"/>
      <c r="Y561" s="2"/>
      <c r="Z561" s="2"/>
      <c r="AA561" s="2"/>
      <c r="AB561" s="2"/>
      <c r="AC561" s="2"/>
      <c r="AD561" s="2"/>
    </row>
    <row r="562" spans="1:30" ht="13">
      <c r="A562" s="3"/>
      <c r="B562" s="2"/>
      <c r="C562" s="2"/>
      <c r="D562" s="3"/>
      <c r="E562" s="3"/>
      <c r="F562" s="1"/>
      <c r="G562" s="37"/>
      <c r="H562" s="1"/>
      <c r="I562" s="2"/>
      <c r="J562" s="2"/>
      <c r="K562" s="2"/>
      <c r="L562" s="2"/>
      <c r="M562" s="2"/>
      <c r="N562" s="3"/>
      <c r="O562" s="3"/>
      <c r="P562" s="2"/>
      <c r="Q562" s="2"/>
      <c r="R562" s="2"/>
      <c r="S562" s="2"/>
      <c r="T562" s="2"/>
      <c r="U562" s="2"/>
      <c r="V562" s="2"/>
      <c r="W562" s="2"/>
      <c r="X562" s="2"/>
      <c r="Y562" s="2"/>
      <c r="Z562" s="2"/>
      <c r="AA562" s="2"/>
      <c r="AB562" s="2"/>
      <c r="AC562" s="2"/>
      <c r="AD562" s="2"/>
    </row>
    <row r="563" spans="1:30" ht="13">
      <c r="A563" s="3"/>
      <c r="B563" s="2"/>
      <c r="C563" s="2"/>
      <c r="D563" s="3"/>
      <c r="E563" s="3"/>
      <c r="F563" s="1"/>
      <c r="G563" s="37"/>
      <c r="H563" s="1"/>
      <c r="I563" s="2"/>
      <c r="J563" s="2"/>
      <c r="K563" s="2"/>
      <c r="L563" s="2"/>
      <c r="M563" s="2"/>
      <c r="N563" s="3"/>
      <c r="O563" s="3"/>
      <c r="P563" s="2"/>
      <c r="Q563" s="2"/>
      <c r="R563" s="2"/>
      <c r="S563" s="2"/>
      <c r="T563" s="2"/>
      <c r="U563" s="2"/>
      <c r="V563" s="2"/>
      <c r="W563" s="2"/>
      <c r="X563" s="2"/>
      <c r="Y563" s="2"/>
      <c r="Z563" s="2"/>
      <c r="AA563" s="2"/>
      <c r="AB563" s="2"/>
      <c r="AC563" s="2"/>
      <c r="AD563" s="2"/>
    </row>
    <row r="564" spans="1:30" ht="13">
      <c r="A564" s="3"/>
      <c r="B564" s="2"/>
      <c r="C564" s="2"/>
      <c r="D564" s="3"/>
      <c r="E564" s="3"/>
      <c r="F564" s="1"/>
      <c r="G564" s="37"/>
      <c r="H564" s="1"/>
      <c r="I564" s="2"/>
      <c r="J564" s="2"/>
      <c r="K564" s="2"/>
      <c r="L564" s="2"/>
      <c r="M564" s="2"/>
      <c r="N564" s="3"/>
      <c r="O564" s="3"/>
      <c r="P564" s="2"/>
      <c r="Q564" s="2"/>
      <c r="R564" s="2"/>
      <c r="S564" s="2"/>
      <c r="T564" s="2"/>
      <c r="U564" s="2"/>
      <c r="V564" s="2"/>
      <c r="W564" s="2"/>
      <c r="X564" s="2"/>
      <c r="Y564" s="2"/>
      <c r="Z564" s="2"/>
      <c r="AA564" s="2"/>
      <c r="AB564" s="2"/>
      <c r="AC564" s="2"/>
      <c r="AD564" s="2"/>
    </row>
    <row r="565" spans="1:30" ht="13">
      <c r="A565" s="3"/>
      <c r="B565" s="2"/>
      <c r="C565" s="2"/>
      <c r="D565" s="3"/>
      <c r="E565" s="3"/>
      <c r="F565" s="1"/>
      <c r="G565" s="37"/>
      <c r="H565" s="1"/>
      <c r="I565" s="2"/>
      <c r="J565" s="2"/>
      <c r="K565" s="2"/>
      <c r="L565" s="2"/>
      <c r="M565" s="2"/>
      <c r="N565" s="3"/>
      <c r="O565" s="3"/>
      <c r="P565" s="2"/>
      <c r="Q565" s="2"/>
      <c r="R565" s="2"/>
      <c r="S565" s="2"/>
      <c r="T565" s="2"/>
      <c r="U565" s="2"/>
      <c r="V565" s="2"/>
      <c r="W565" s="2"/>
      <c r="X565" s="2"/>
      <c r="Y565" s="2"/>
      <c r="Z565" s="2"/>
      <c r="AA565" s="2"/>
      <c r="AB565" s="2"/>
      <c r="AC565" s="2"/>
      <c r="AD565" s="2"/>
    </row>
    <row r="566" spans="1:30" ht="13">
      <c r="A566" s="3"/>
      <c r="B566" s="2"/>
      <c r="C566" s="2"/>
      <c r="D566" s="3"/>
      <c r="E566" s="3"/>
      <c r="F566" s="1"/>
      <c r="G566" s="37"/>
      <c r="H566" s="1"/>
      <c r="I566" s="2"/>
      <c r="J566" s="2"/>
      <c r="K566" s="2"/>
      <c r="L566" s="2"/>
      <c r="M566" s="2"/>
      <c r="N566" s="3"/>
      <c r="O566" s="3"/>
      <c r="P566" s="2"/>
      <c r="Q566" s="2"/>
      <c r="R566" s="2"/>
      <c r="S566" s="2"/>
      <c r="T566" s="2"/>
      <c r="U566" s="2"/>
      <c r="V566" s="2"/>
      <c r="W566" s="2"/>
      <c r="X566" s="2"/>
      <c r="Y566" s="2"/>
      <c r="Z566" s="2"/>
      <c r="AA566" s="2"/>
      <c r="AB566" s="2"/>
      <c r="AC566" s="2"/>
      <c r="AD566" s="2"/>
    </row>
    <row r="567" spans="1:30" ht="13">
      <c r="A567" s="3"/>
      <c r="B567" s="2"/>
      <c r="C567" s="2"/>
      <c r="D567" s="3"/>
      <c r="E567" s="3"/>
      <c r="F567" s="1"/>
      <c r="G567" s="37"/>
      <c r="H567" s="1"/>
      <c r="I567" s="2"/>
      <c r="J567" s="2"/>
      <c r="K567" s="2"/>
      <c r="L567" s="2"/>
      <c r="M567" s="2"/>
      <c r="N567" s="3"/>
      <c r="O567" s="3"/>
      <c r="P567" s="2"/>
      <c r="Q567" s="2"/>
      <c r="R567" s="2"/>
      <c r="S567" s="2"/>
      <c r="T567" s="2"/>
      <c r="U567" s="2"/>
      <c r="V567" s="2"/>
      <c r="W567" s="2"/>
      <c r="X567" s="2"/>
      <c r="Y567" s="2"/>
      <c r="Z567" s="2"/>
      <c r="AA567" s="2"/>
      <c r="AB567" s="2"/>
      <c r="AC567" s="2"/>
      <c r="AD567" s="2"/>
    </row>
    <row r="568" spans="1:30" ht="13">
      <c r="A568" s="3"/>
      <c r="B568" s="2"/>
      <c r="C568" s="2"/>
      <c r="D568" s="3"/>
      <c r="E568" s="3"/>
      <c r="F568" s="1"/>
      <c r="G568" s="37"/>
      <c r="H568" s="1"/>
      <c r="I568" s="2"/>
      <c r="J568" s="2"/>
      <c r="K568" s="2"/>
      <c r="L568" s="2"/>
      <c r="M568" s="2"/>
      <c r="N568" s="3"/>
      <c r="O568" s="3"/>
      <c r="P568" s="2"/>
      <c r="Q568" s="2"/>
      <c r="R568" s="2"/>
      <c r="S568" s="2"/>
      <c r="T568" s="2"/>
      <c r="U568" s="2"/>
      <c r="V568" s="2"/>
      <c r="W568" s="2"/>
      <c r="X568" s="2"/>
      <c r="Y568" s="2"/>
      <c r="Z568" s="2"/>
      <c r="AA568" s="2"/>
      <c r="AB568" s="2"/>
      <c r="AC568" s="2"/>
      <c r="AD568" s="2"/>
    </row>
    <row r="569" spans="1:30" ht="13">
      <c r="A569" s="3"/>
      <c r="B569" s="2"/>
      <c r="C569" s="2"/>
      <c r="D569" s="3"/>
      <c r="E569" s="3"/>
      <c r="F569" s="1"/>
      <c r="G569" s="37"/>
      <c r="H569" s="1"/>
      <c r="I569" s="2"/>
      <c r="J569" s="2"/>
      <c r="K569" s="2"/>
      <c r="L569" s="2"/>
      <c r="M569" s="2"/>
      <c r="N569" s="3"/>
      <c r="O569" s="3"/>
      <c r="P569" s="2"/>
      <c r="Q569" s="2"/>
      <c r="R569" s="2"/>
      <c r="S569" s="2"/>
      <c r="T569" s="2"/>
      <c r="U569" s="2"/>
      <c r="V569" s="2"/>
      <c r="W569" s="2"/>
      <c r="X569" s="2"/>
      <c r="Y569" s="2"/>
      <c r="Z569" s="2"/>
      <c r="AA569" s="2"/>
      <c r="AB569" s="2"/>
      <c r="AC569" s="2"/>
      <c r="AD569" s="2"/>
    </row>
    <row r="570" spans="1:30" ht="13">
      <c r="A570" s="3"/>
      <c r="B570" s="2"/>
      <c r="C570" s="2"/>
      <c r="D570" s="3"/>
      <c r="E570" s="3"/>
      <c r="F570" s="1"/>
      <c r="G570" s="37"/>
      <c r="H570" s="1"/>
      <c r="I570" s="2"/>
      <c r="J570" s="2"/>
      <c r="K570" s="2"/>
      <c r="L570" s="2"/>
      <c r="M570" s="2"/>
      <c r="N570" s="3"/>
      <c r="O570" s="3"/>
      <c r="P570" s="2"/>
      <c r="Q570" s="2"/>
      <c r="R570" s="2"/>
      <c r="S570" s="2"/>
      <c r="T570" s="2"/>
      <c r="U570" s="2"/>
      <c r="V570" s="2"/>
      <c r="W570" s="2"/>
      <c r="X570" s="2"/>
      <c r="Y570" s="2"/>
      <c r="Z570" s="2"/>
      <c r="AA570" s="2"/>
      <c r="AB570" s="2"/>
      <c r="AC570" s="2"/>
      <c r="AD570" s="2"/>
    </row>
    <row r="571" spans="1:30" ht="13">
      <c r="A571" s="3"/>
      <c r="B571" s="2"/>
      <c r="C571" s="2"/>
      <c r="D571" s="3"/>
      <c r="E571" s="3"/>
      <c r="F571" s="1"/>
      <c r="G571" s="37"/>
      <c r="H571" s="1"/>
      <c r="I571" s="2"/>
      <c r="J571" s="2"/>
      <c r="K571" s="2"/>
      <c r="L571" s="2"/>
      <c r="M571" s="2"/>
      <c r="N571" s="3"/>
      <c r="O571" s="3"/>
      <c r="P571" s="2"/>
      <c r="Q571" s="2"/>
      <c r="R571" s="2"/>
      <c r="S571" s="2"/>
      <c r="T571" s="2"/>
      <c r="U571" s="2"/>
      <c r="V571" s="2"/>
      <c r="W571" s="2"/>
      <c r="X571" s="2"/>
      <c r="Y571" s="2"/>
      <c r="Z571" s="2"/>
      <c r="AA571" s="2"/>
      <c r="AB571" s="2"/>
      <c r="AC571" s="2"/>
      <c r="AD571" s="2"/>
    </row>
    <row r="572" spans="1:30" ht="13">
      <c r="A572" s="3"/>
      <c r="B572" s="2"/>
      <c r="C572" s="2"/>
      <c r="D572" s="3"/>
      <c r="E572" s="3"/>
      <c r="F572" s="1"/>
      <c r="G572" s="37"/>
      <c r="H572" s="1"/>
      <c r="I572" s="2"/>
      <c r="J572" s="2"/>
      <c r="K572" s="2"/>
      <c r="L572" s="2"/>
      <c r="M572" s="2"/>
      <c r="N572" s="3"/>
      <c r="O572" s="3"/>
      <c r="P572" s="2"/>
      <c r="Q572" s="2"/>
      <c r="R572" s="2"/>
      <c r="S572" s="2"/>
      <c r="T572" s="2"/>
      <c r="U572" s="2"/>
      <c r="V572" s="2"/>
      <c r="W572" s="2"/>
      <c r="X572" s="2"/>
      <c r="Y572" s="2"/>
      <c r="Z572" s="2"/>
      <c r="AA572" s="2"/>
      <c r="AB572" s="2"/>
      <c r="AC572" s="2"/>
      <c r="AD572" s="2"/>
    </row>
    <row r="573" spans="1:30" ht="13">
      <c r="A573" s="3"/>
      <c r="B573" s="2"/>
      <c r="C573" s="2"/>
      <c r="D573" s="3"/>
      <c r="E573" s="3"/>
      <c r="F573" s="1"/>
      <c r="G573" s="37"/>
      <c r="H573" s="1"/>
      <c r="I573" s="2"/>
      <c r="J573" s="2"/>
      <c r="K573" s="2"/>
      <c r="L573" s="2"/>
      <c r="M573" s="2"/>
      <c r="N573" s="3"/>
      <c r="O573" s="3"/>
      <c r="P573" s="2"/>
      <c r="Q573" s="2"/>
      <c r="R573" s="2"/>
      <c r="S573" s="2"/>
      <c r="T573" s="2"/>
      <c r="U573" s="2"/>
      <c r="V573" s="2"/>
      <c r="W573" s="2"/>
      <c r="X573" s="2"/>
      <c r="Y573" s="2"/>
      <c r="Z573" s="2"/>
      <c r="AA573" s="2"/>
      <c r="AB573" s="2"/>
      <c r="AC573" s="2"/>
      <c r="AD573" s="2"/>
    </row>
    <row r="574" spans="1:30" ht="13">
      <c r="A574" s="3"/>
      <c r="B574" s="2"/>
      <c r="C574" s="2"/>
      <c r="D574" s="3"/>
      <c r="E574" s="3"/>
      <c r="F574" s="1"/>
      <c r="G574" s="37"/>
      <c r="H574" s="1"/>
      <c r="I574" s="2"/>
      <c r="J574" s="2"/>
      <c r="K574" s="2"/>
      <c r="L574" s="2"/>
      <c r="M574" s="2"/>
      <c r="N574" s="3"/>
      <c r="O574" s="3"/>
      <c r="P574" s="2"/>
      <c r="Q574" s="2"/>
      <c r="R574" s="2"/>
      <c r="S574" s="2"/>
      <c r="T574" s="2"/>
      <c r="U574" s="2"/>
      <c r="V574" s="2"/>
      <c r="W574" s="2"/>
      <c r="X574" s="2"/>
      <c r="Y574" s="2"/>
      <c r="Z574" s="2"/>
      <c r="AA574" s="2"/>
      <c r="AB574" s="2"/>
      <c r="AC574" s="2"/>
      <c r="AD574" s="2"/>
    </row>
    <row r="575" spans="1:30" ht="13">
      <c r="A575" s="3"/>
      <c r="B575" s="2"/>
      <c r="C575" s="2"/>
      <c r="D575" s="3"/>
      <c r="E575" s="3"/>
      <c r="F575" s="1"/>
      <c r="G575" s="37"/>
      <c r="H575" s="1"/>
      <c r="I575" s="2"/>
      <c r="J575" s="2"/>
      <c r="K575" s="2"/>
      <c r="L575" s="2"/>
      <c r="M575" s="2"/>
      <c r="N575" s="3"/>
      <c r="O575" s="3"/>
      <c r="P575" s="2"/>
      <c r="Q575" s="2"/>
      <c r="R575" s="2"/>
      <c r="S575" s="2"/>
      <c r="T575" s="2"/>
      <c r="U575" s="2"/>
      <c r="V575" s="2"/>
      <c r="W575" s="2"/>
      <c r="X575" s="2"/>
      <c r="Y575" s="2"/>
      <c r="Z575" s="2"/>
      <c r="AA575" s="2"/>
      <c r="AB575" s="2"/>
      <c r="AC575" s="2"/>
      <c r="AD575" s="2"/>
    </row>
    <row r="576" spans="1:30" ht="13">
      <c r="A576" s="3"/>
      <c r="B576" s="2"/>
      <c r="C576" s="2"/>
      <c r="D576" s="3"/>
      <c r="E576" s="3"/>
      <c r="F576" s="1"/>
      <c r="G576" s="37"/>
      <c r="H576" s="1"/>
      <c r="I576" s="2"/>
      <c r="J576" s="2"/>
      <c r="K576" s="2"/>
      <c r="L576" s="2"/>
      <c r="M576" s="2"/>
      <c r="N576" s="3"/>
      <c r="O576" s="3"/>
      <c r="P576" s="2"/>
      <c r="Q576" s="2"/>
      <c r="R576" s="2"/>
      <c r="S576" s="2"/>
      <c r="T576" s="2"/>
      <c r="U576" s="2"/>
      <c r="V576" s="2"/>
      <c r="W576" s="2"/>
      <c r="X576" s="2"/>
      <c r="Y576" s="2"/>
      <c r="Z576" s="2"/>
      <c r="AA576" s="2"/>
      <c r="AB576" s="2"/>
      <c r="AC576" s="2"/>
      <c r="AD576" s="2"/>
    </row>
    <row r="577" spans="1:30" ht="13">
      <c r="A577" s="3"/>
      <c r="B577" s="2"/>
      <c r="C577" s="2"/>
      <c r="D577" s="3"/>
      <c r="E577" s="3"/>
      <c r="F577" s="1"/>
      <c r="G577" s="37"/>
      <c r="H577" s="1"/>
      <c r="I577" s="2"/>
      <c r="J577" s="2"/>
      <c r="K577" s="2"/>
      <c r="L577" s="2"/>
      <c r="M577" s="2"/>
      <c r="N577" s="3"/>
      <c r="O577" s="3"/>
      <c r="P577" s="2"/>
      <c r="Q577" s="2"/>
      <c r="R577" s="2"/>
      <c r="S577" s="2"/>
      <c r="T577" s="2"/>
      <c r="U577" s="2"/>
      <c r="V577" s="2"/>
      <c r="W577" s="2"/>
      <c r="X577" s="2"/>
      <c r="Y577" s="2"/>
      <c r="Z577" s="2"/>
      <c r="AA577" s="2"/>
      <c r="AB577" s="2"/>
      <c r="AC577" s="2"/>
      <c r="AD577" s="2"/>
    </row>
    <row r="578" spans="1:30" ht="13">
      <c r="A578" s="3"/>
      <c r="B578" s="2"/>
      <c r="C578" s="2"/>
      <c r="D578" s="3"/>
      <c r="E578" s="3"/>
      <c r="F578" s="1"/>
      <c r="G578" s="37"/>
      <c r="H578" s="1"/>
      <c r="I578" s="2"/>
      <c r="J578" s="2"/>
      <c r="K578" s="2"/>
      <c r="L578" s="2"/>
      <c r="M578" s="2"/>
      <c r="N578" s="3"/>
      <c r="O578" s="3"/>
      <c r="P578" s="2"/>
      <c r="Q578" s="2"/>
      <c r="R578" s="2"/>
      <c r="S578" s="2"/>
      <c r="T578" s="2"/>
      <c r="U578" s="2"/>
      <c r="V578" s="2"/>
      <c r="W578" s="2"/>
      <c r="X578" s="2"/>
      <c r="Y578" s="2"/>
      <c r="Z578" s="2"/>
      <c r="AA578" s="2"/>
      <c r="AB578" s="2"/>
      <c r="AC578" s="2"/>
      <c r="AD578" s="2"/>
    </row>
    <row r="579" spans="1:30" ht="13">
      <c r="A579" s="3"/>
      <c r="B579" s="2"/>
      <c r="C579" s="2"/>
      <c r="D579" s="3"/>
      <c r="E579" s="3"/>
      <c r="F579" s="1"/>
      <c r="G579" s="37"/>
      <c r="H579" s="1"/>
      <c r="I579" s="2"/>
      <c r="J579" s="2"/>
      <c r="K579" s="2"/>
      <c r="L579" s="2"/>
      <c r="M579" s="2"/>
      <c r="N579" s="3"/>
      <c r="O579" s="3"/>
      <c r="P579" s="2"/>
      <c r="Q579" s="2"/>
      <c r="R579" s="2"/>
      <c r="S579" s="2"/>
      <c r="T579" s="2"/>
      <c r="U579" s="2"/>
      <c r="V579" s="2"/>
      <c r="W579" s="2"/>
      <c r="X579" s="2"/>
      <c r="Y579" s="2"/>
      <c r="Z579" s="2"/>
      <c r="AA579" s="2"/>
      <c r="AB579" s="2"/>
      <c r="AC579" s="2"/>
      <c r="AD579" s="2"/>
    </row>
    <row r="580" spans="1:30" ht="13">
      <c r="A580" s="3"/>
      <c r="B580" s="2"/>
      <c r="C580" s="2"/>
      <c r="D580" s="3"/>
      <c r="E580" s="3"/>
      <c r="F580" s="1"/>
      <c r="G580" s="37"/>
      <c r="H580" s="1"/>
      <c r="I580" s="2"/>
      <c r="J580" s="2"/>
      <c r="K580" s="2"/>
      <c r="L580" s="2"/>
      <c r="M580" s="2"/>
      <c r="N580" s="3"/>
      <c r="O580" s="3"/>
      <c r="P580" s="2"/>
      <c r="Q580" s="2"/>
      <c r="R580" s="2"/>
      <c r="S580" s="2"/>
      <c r="T580" s="2"/>
      <c r="U580" s="2"/>
      <c r="V580" s="2"/>
      <c r="W580" s="2"/>
      <c r="X580" s="2"/>
      <c r="Y580" s="2"/>
      <c r="Z580" s="2"/>
      <c r="AA580" s="2"/>
      <c r="AB580" s="2"/>
      <c r="AC580" s="2"/>
      <c r="AD580" s="2"/>
    </row>
    <row r="581" spans="1:30" ht="13">
      <c r="A581" s="3"/>
      <c r="B581" s="2"/>
      <c r="C581" s="2"/>
      <c r="D581" s="3"/>
      <c r="E581" s="3"/>
      <c r="F581" s="1"/>
      <c r="G581" s="37"/>
      <c r="H581" s="1"/>
      <c r="I581" s="2"/>
      <c r="J581" s="2"/>
      <c r="K581" s="2"/>
      <c r="L581" s="2"/>
      <c r="M581" s="2"/>
      <c r="N581" s="3"/>
      <c r="O581" s="3"/>
      <c r="P581" s="2"/>
      <c r="Q581" s="2"/>
      <c r="R581" s="2"/>
      <c r="S581" s="2"/>
      <c r="T581" s="2"/>
      <c r="U581" s="2"/>
      <c r="V581" s="2"/>
      <c r="W581" s="2"/>
      <c r="X581" s="2"/>
      <c r="Y581" s="2"/>
      <c r="Z581" s="2"/>
      <c r="AA581" s="2"/>
      <c r="AB581" s="2"/>
      <c r="AC581" s="2"/>
      <c r="AD581" s="2"/>
    </row>
    <row r="582" spans="1:30" ht="13">
      <c r="A582" s="3"/>
      <c r="B582" s="2"/>
      <c r="C582" s="2"/>
      <c r="D582" s="3"/>
      <c r="E582" s="3"/>
      <c r="F582" s="1"/>
      <c r="G582" s="37"/>
      <c r="H582" s="1"/>
      <c r="I582" s="2"/>
      <c r="J582" s="2"/>
      <c r="K582" s="2"/>
      <c r="L582" s="2"/>
      <c r="M582" s="2"/>
      <c r="N582" s="3"/>
      <c r="O582" s="3"/>
      <c r="P582" s="2"/>
      <c r="Q582" s="2"/>
      <c r="R582" s="2"/>
      <c r="S582" s="2"/>
      <c r="T582" s="2"/>
      <c r="U582" s="2"/>
      <c r="V582" s="2"/>
      <c r="W582" s="2"/>
      <c r="X582" s="2"/>
      <c r="Y582" s="2"/>
      <c r="Z582" s="2"/>
      <c r="AA582" s="2"/>
      <c r="AB582" s="2"/>
      <c r="AC582" s="2"/>
      <c r="AD582" s="2"/>
    </row>
    <row r="583" spans="1:30" ht="13">
      <c r="A583" s="3"/>
      <c r="B583" s="2"/>
      <c r="C583" s="2"/>
      <c r="D583" s="3"/>
      <c r="E583" s="3"/>
      <c r="F583" s="1"/>
      <c r="G583" s="37"/>
      <c r="H583" s="1"/>
      <c r="I583" s="2"/>
      <c r="J583" s="2"/>
      <c r="K583" s="2"/>
      <c r="L583" s="2"/>
      <c r="M583" s="2"/>
      <c r="N583" s="3"/>
      <c r="O583" s="3"/>
      <c r="P583" s="2"/>
      <c r="Q583" s="2"/>
      <c r="R583" s="2"/>
      <c r="S583" s="2"/>
      <c r="T583" s="2"/>
      <c r="U583" s="2"/>
      <c r="V583" s="2"/>
      <c r="W583" s="2"/>
      <c r="X583" s="2"/>
      <c r="Y583" s="2"/>
      <c r="Z583" s="2"/>
      <c r="AA583" s="2"/>
      <c r="AB583" s="2"/>
      <c r="AC583" s="2"/>
      <c r="AD583" s="2"/>
    </row>
    <row r="584" spans="1:30" ht="13">
      <c r="A584" s="3"/>
      <c r="B584" s="2"/>
      <c r="C584" s="2"/>
      <c r="D584" s="3"/>
      <c r="E584" s="3"/>
      <c r="F584" s="1"/>
      <c r="G584" s="37"/>
      <c r="H584" s="1"/>
      <c r="I584" s="2"/>
      <c r="J584" s="2"/>
      <c r="K584" s="2"/>
      <c r="L584" s="2"/>
      <c r="M584" s="2"/>
      <c r="N584" s="3"/>
      <c r="O584" s="3"/>
      <c r="P584" s="2"/>
      <c r="Q584" s="2"/>
      <c r="R584" s="2"/>
      <c r="S584" s="2"/>
      <c r="T584" s="2"/>
      <c r="U584" s="2"/>
      <c r="V584" s="2"/>
      <c r="W584" s="2"/>
      <c r="X584" s="2"/>
      <c r="Y584" s="2"/>
      <c r="Z584" s="2"/>
      <c r="AA584" s="2"/>
      <c r="AB584" s="2"/>
      <c r="AC584" s="2"/>
      <c r="AD584" s="2"/>
    </row>
    <row r="585" spans="1:30" ht="13">
      <c r="A585" s="3"/>
      <c r="B585" s="2"/>
      <c r="C585" s="2"/>
      <c r="D585" s="3"/>
      <c r="E585" s="3"/>
      <c r="F585" s="1"/>
      <c r="G585" s="37"/>
      <c r="H585" s="1"/>
      <c r="I585" s="2"/>
      <c r="J585" s="2"/>
      <c r="K585" s="2"/>
      <c r="L585" s="2"/>
      <c r="M585" s="2"/>
      <c r="N585" s="3"/>
      <c r="O585" s="3"/>
      <c r="P585" s="2"/>
      <c r="Q585" s="2"/>
      <c r="R585" s="2"/>
      <c r="S585" s="2"/>
      <c r="T585" s="2"/>
      <c r="U585" s="2"/>
      <c r="V585" s="2"/>
      <c r="W585" s="2"/>
      <c r="X585" s="2"/>
      <c r="Y585" s="2"/>
      <c r="Z585" s="2"/>
      <c r="AA585" s="2"/>
      <c r="AB585" s="2"/>
      <c r="AC585" s="2"/>
      <c r="AD585" s="2"/>
    </row>
    <row r="586" spans="1:30" ht="13">
      <c r="A586" s="3"/>
      <c r="B586" s="2"/>
      <c r="C586" s="2"/>
      <c r="D586" s="3"/>
      <c r="E586" s="3"/>
      <c r="F586" s="1"/>
      <c r="G586" s="37"/>
      <c r="H586" s="1"/>
      <c r="I586" s="2"/>
      <c r="J586" s="2"/>
      <c r="K586" s="2"/>
      <c r="L586" s="2"/>
      <c r="M586" s="2"/>
      <c r="N586" s="3"/>
      <c r="O586" s="3"/>
      <c r="P586" s="2"/>
      <c r="Q586" s="2"/>
      <c r="R586" s="2"/>
      <c r="S586" s="2"/>
      <c r="T586" s="2"/>
      <c r="U586" s="2"/>
      <c r="V586" s="2"/>
      <c r="W586" s="2"/>
      <c r="X586" s="2"/>
      <c r="Y586" s="2"/>
      <c r="Z586" s="2"/>
      <c r="AA586" s="2"/>
      <c r="AB586" s="2"/>
      <c r="AC586" s="2"/>
      <c r="AD586" s="2"/>
    </row>
    <row r="587" spans="1:30" ht="13">
      <c r="A587" s="3"/>
      <c r="B587" s="2"/>
      <c r="C587" s="2"/>
      <c r="D587" s="3"/>
      <c r="E587" s="3"/>
      <c r="F587" s="1"/>
      <c r="G587" s="37"/>
      <c r="H587" s="1"/>
      <c r="I587" s="2"/>
      <c r="J587" s="2"/>
      <c r="K587" s="2"/>
      <c r="L587" s="2"/>
      <c r="M587" s="2"/>
      <c r="N587" s="3"/>
      <c r="O587" s="3"/>
      <c r="P587" s="2"/>
      <c r="Q587" s="2"/>
      <c r="R587" s="2"/>
      <c r="S587" s="2"/>
      <c r="T587" s="2"/>
      <c r="U587" s="2"/>
      <c r="V587" s="2"/>
      <c r="W587" s="2"/>
      <c r="X587" s="2"/>
      <c r="Y587" s="2"/>
      <c r="Z587" s="2"/>
      <c r="AA587" s="2"/>
      <c r="AB587" s="2"/>
      <c r="AC587" s="2"/>
      <c r="AD587" s="2"/>
    </row>
    <row r="588" spans="1:30" ht="13">
      <c r="A588" s="3"/>
      <c r="B588" s="2"/>
      <c r="C588" s="2"/>
      <c r="D588" s="3"/>
      <c r="E588" s="3"/>
      <c r="F588" s="1"/>
      <c r="G588" s="37"/>
      <c r="H588" s="1"/>
      <c r="I588" s="2"/>
      <c r="J588" s="2"/>
      <c r="K588" s="2"/>
      <c r="L588" s="2"/>
      <c r="M588" s="2"/>
      <c r="N588" s="3"/>
      <c r="O588" s="3"/>
      <c r="P588" s="2"/>
      <c r="Q588" s="2"/>
      <c r="R588" s="2"/>
      <c r="S588" s="2"/>
      <c r="T588" s="2"/>
      <c r="U588" s="2"/>
      <c r="V588" s="2"/>
      <c r="W588" s="2"/>
      <c r="X588" s="2"/>
      <c r="Y588" s="2"/>
      <c r="Z588" s="2"/>
      <c r="AA588" s="2"/>
      <c r="AB588" s="2"/>
      <c r="AC588" s="2"/>
      <c r="AD588" s="2"/>
    </row>
    <row r="589" spans="1:30" ht="13">
      <c r="A589" s="3"/>
      <c r="B589" s="2"/>
      <c r="C589" s="2"/>
      <c r="D589" s="3"/>
      <c r="E589" s="3"/>
      <c r="F589" s="1"/>
      <c r="G589" s="37"/>
      <c r="H589" s="1"/>
      <c r="I589" s="2"/>
      <c r="J589" s="2"/>
      <c r="K589" s="2"/>
      <c r="L589" s="2"/>
      <c r="M589" s="2"/>
      <c r="N589" s="3"/>
      <c r="O589" s="3"/>
      <c r="P589" s="2"/>
      <c r="Q589" s="2"/>
      <c r="R589" s="2"/>
      <c r="S589" s="2"/>
      <c r="T589" s="2"/>
      <c r="U589" s="2"/>
      <c r="V589" s="2"/>
      <c r="W589" s="2"/>
      <c r="X589" s="2"/>
      <c r="Y589" s="2"/>
      <c r="Z589" s="2"/>
      <c r="AA589" s="2"/>
      <c r="AB589" s="2"/>
      <c r="AC589" s="2"/>
      <c r="AD589" s="2"/>
    </row>
    <row r="590" spans="1:30" ht="13">
      <c r="A590" s="3"/>
      <c r="B590" s="2"/>
      <c r="C590" s="2"/>
      <c r="D590" s="3"/>
      <c r="E590" s="3"/>
      <c r="F590" s="1"/>
      <c r="G590" s="37"/>
      <c r="H590" s="1"/>
      <c r="I590" s="2"/>
      <c r="J590" s="2"/>
      <c r="K590" s="2"/>
      <c r="L590" s="2"/>
      <c r="M590" s="2"/>
      <c r="N590" s="3"/>
      <c r="O590" s="3"/>
      <c r="P590" s="2"/>
      <c r="Q590" s="2"/>
      <c r="R590" s="2"/>
      <c r="S590" s="2"/>
      <c r="T590" s="2"/>
      <c r="U590" s="2"/>
      <c r="V590" s="2"/>
      <c r="W590" s="2"/>
      <c r="X590" s="2"/>
      <c r="Y590" s="2"/>
      <c r="Z590" s="2"/>
      <c r="AA590" s="2"/>
      <c r="AB590" s="2"/>
      <c r="AC590" s="2"/>
      <c r="AD590" s="2"/>
    </row>
    <row r="591" spans="1:30" ht="13">
      <c r="A591" s="3"/>
      <c r="B591" s="2"/>
      <c r="C591" s="2"/>
      <c r="D591" s="3"/>
      <c r="E591" s="3"/>
      <c r="F591" s="1"/>
      <c r="G591" s="37"/>
      <c r="H591" s="1"/>
      <c r="I591" s="2"/>
      <c r="J591" s="2"/>
      <c r="K591" s="2"/>
      <c r="L591" s="2"/>
      <c r="M591" s="2"/>
      <c r="N591" s="3"/>
      <c r="O591" s="3"/>
      <c r="P591" s="2"/>
      <c r="Q591" s="2"/>
      <c r="R591" s="2"/>
      <c r="S591" s="2"/>
      <c r="T591" s="2"/>
      <c r="U591" s="2"/>
      <c r="V591" s="2"/>
      <c r="W591" s="2"/>
      <c r="X591" s="2"/>
      <c r="Y591" s="2"/>
      <c r="Z591" s="2"/>
      <c r="AA591" s="2"/>
      <c r="AB591" s="2"/>
      <c r="AC591" s="2"/>
      <c r="AD591" s="2"/>
    </row>
    <row r="592" spans="1:30" ht="13">
      <c r="A592" s="3"/>
      <c r="B592" s="2"/>
      <c r="C592" s="2"/>
      <c r="D592" s="3"/>
      <c r="E592" s="3"/>
      <c r="F592" s="1"/>
      <c r="G592" s="37"/>
      <c r="H592" s="1"/>
      <c r="I592" s="2"/>
      <c r="J592" s="2"/>
      <c r="K592" s="2"/>
      <c r="L592" s="2"/>
      <c r="M592" s="2"/>
      <c r="N592" s="3"/>
      <c r="O592" s="3"/>
      <c r="P592" s="2"/>
      <c r="Q592" s="2"/>
      <c r="R592" s="2"/>
      <c r="S592" s="2"/>
      <c r="T592" s="2"/>
      <c r="U592" s="2"/>
      <c r="V592" s="2"/>
      <c r="W592" s="2"/>
      <c r="X592" s="2"/>
      <c r="Y592" s="2"/>
      <c r="Z592" s="2"/>
      <c r="AA592" s="2"/>
      <c r="AB592" s="2"/>
      <c r="AC592" s="2"/>
      <c r="AD592" s="2"/>
    </row>
    <row r="593" spans="1:30" ht="13">
      <c r="A593" s="3"/>
      <c r="B593" s="2"/>
      <c r="C593" s="2"/>
      <c r="D593" s="3"/>
      <c r="E593" s="3"/>
      <c r="F593" s="1"/>
      <c r="G593" s="37"/>
      <c r="H593" s="1"/>
      <c r="I593" s="2"/>
      <c r="J593" s="2"/>
      <c r="K593" s="2"/>
      <c r="L593" s="2"/>
      <c r="M593" s="2"/>
      <c r="N593" s="3"/>
      <c r="O593" s="3"/>
      <c r="P593" s="2"/>
      <c r="Q593" s="2"/>
      <c r="R593" s="2"/>
      <c r="S593" s="2"/>
      <c r="T593" s="2"/>
      <c r="U593" s="2"/>
      <c r="V593" s="2"/>
      <c r="W593" s="2"/>
      <c r="X593" s="2"/>
      <c r="Y593" s="2"/>
      <c r="Z593" s="2"/>
      <c r="AA593" s="2"/>
      <c r="AB593" s="2"/>
      <c r="AC593" s="2"/>
      <c r="AD593" s="2"/>
    </row>
    <row r="594" spans="1:30" ht="13">
      <c r="A594" s="3"/>
      <c r="B594" s="2"/>
      <c r="C594" s="2"/>
      <c r="D594" s="3"/>
      <c r="E594" s="3"/>
      <c r="F594" s="1"/>
      <c r="G594" s="37"/>
      <c r="H594" s="1"/>
      <c r="I594" s="2"/>
      <c r="J594" s="2"/>
      <c r="K594" s="2"/>
      <c r="L594" s="2"/>
      <c r="M594" s="2"/>
      <c r="N594" s="3"/>
      <c r="O594" s="3"/>
      <c r="P594" s="2"/>
      <c r="Q594" s="2"/>
      <c r="R594" s="2"/>
      <c r="S594" s="2"/>
      <c r="T594" s="2"/>
      <c r="U594" s="2"/>
      <c r="V594" s="2"/>
      <c r="W594" s="2"/>
      <c r="X594" s="2"/>
      <c r="Y594" s="2"/>
      <c r="Z594" s="2"/>
      <c r="AA594" s="2"/>
      <c r="AB594" s="2"/>
      <c r="AC594" s="2"/>
      <c r="AD594" s="2"/>
    </row>
    <row r="595" spans="1:30" ht="13">
      <c r="A595" s="3"/>
      <c r="B595" s="2"/>
      <c r="C595" s="2"/>
      <c r="D595" s="3"/>
      <c r="E595" s="3"/>
      <c r="F595" s="1"/>
      <c r="G595" s="37"/>
      <c r="H595" s="1"/>
      <c r="I595" s="2"/>
      <c r="J595" s="2"/>
      <c r="K595" s="2"/>
      <c r="L595" s="2"/>
      <c r="M595" s="2"/>
      <c r="N595" s="3"/>
      <c r="O595" s="3"/>
      <c r="P595" s="2"/>
      <c r="Q595" s="2"/>
      <c r="R595" s="2"/>
      <c r="S595" s="2"/>
      <c r="T595" s="2"/>
      <c r="U595" s="2"/>
      <c r="V595" s="2"/>
      <c r="W595" s="2"/>
      <c r="X595" s="2"/>
      <c r="Y595" s="2"/>
      <c r="Z595" s="2"/>
      <c r="AA595" s="2"/>
      <c r="AB595" s="2"/>
      <c r="AC595" s="2"/>
      <c r="AD595" s="2"/>
    </row>
    <row r="596" spans="1:30" ht="13">
      <c r="A596" s="3"/>
      <c r="B596" s="2"/>
      <c r="C596" s="2"/>
      <c r="D596" s="3"/>
      <c r="E596" s="3"/>
      <c r="F596" s="1"/>
      <c r="G596" s="37"/>
      <c r="H596" s="1"/>
      <c r="I596" s="2"/>
      <c r="J596" s="2"/>
      <c r="K596" s="2"/>
      <c r="L596" s="2"/>
      <c r="M596" s="2"/>
      <c r="N596" s="3"/>
      <c r="O596" s="3"/>
      <c r="P596" s="2"/>
      <c r="Q596" s="2"/>
      <c r="R596" s="2"/>
      <c r="S596" s="2"/>
      <c r="T596" s="2"/>
      <c r="U596" s="2"/>
      <c r="V596" s="2"/>
      <c r="W596" s="2"/>
      <c r="X596" s="2"/>
      <c r="Y596" s="2"/>
      <c r="Z596" s="2"/>
      <c r="AA596" s="2"/>
      <c r="AB596" s="2"/>
      <c r="AC596" s="2"/>
      <c r="AD596" s="2"/>
    </row>
    <row r="597" spans="1:30" ht="13">
      <c r="A597" s="3"/>
      <c r="B597" s="2"/>
      <c r="C597" s="2"/>
      <c r="D597" s="3"/>
      <c r="E597" s="3"/>
      <c r="F597" s="1"/>
      <c r="G597" s="37"/>
      <c r="H597" s="1"/>
      <c r="I597" s="2"/>
      <c r="J597" s="2"/>
      <c r="K597" s="2"/>
      <c r="L597" s="2"/>
      <c r="M597" s="2"/>
      <c r="N597" s="3"/>
      <c r="O597" s="3"/>
      <c r="P597" s="2"/>
      <c r="Q597" s="2"/>
      <c r="R597" s="2"/>
      <c r="S597" s="2"/>
      <c r="T597" s="2"/>
      <c r="U597" s="2"/>
      <c r="V597" s="2"/>
      <c r="W597" s="2"/>
      <c r="X597" s="2"/>
      <c r="Y597" s="2"/>
      <c r="Z597" s="2"/>
      <c r="AA597" s="2"/>
      <c r="AB597" s="2"/>
      <c r="AC597" s="2"/>
      <c r="AD597" s="2"/>
    </row>
    <row r="598" spans="1:30" ht="13">
      <c r="A598" s="3"/>
      <c r="B598" s="2"/>
      <c r="C598" s="2"/>
      <c r="D598" s="3"/>
      <c r="E598" s="3"/>
      <c r="F598" s="1"/>
      <c r="G598" s="37"/>
      <c r="H598" s="1"/>
      <c r="I598" s="2"/>
      <c r="J598" s="2"/>
      <c r="K598" s="2"/>
      <c r="L598" s="2"/>
      <c r="M598" s="2"/>
      <c r="N598" s="3"/>
      <c r="O598" s="3"/>
      <c r="P598" s="2"/>
      <c r="Q598" s="2"/>
      <c r="R598" s="2"/>
      <c r="S598" s="2"/>
      <c r="T598" s="2"/>
      <c r="U598" s="2"/>
      <c r="V598" s="2"/>
      <c r="W598" s="2"/>
      <c r="X598" s="2"/>
      <c r="Y598" s="2"/>
      <c r="Z598" s="2"/>
      <c r="AA598" s="2"/>
      <c r="AB598" s="2"/>
      <c r="AC598" s="2"/>
      <c r="AD598" s="2"/>
    </row>
    <row r="599" spans="1:30" ht="13">
      <c r="A599" s="3"/>
      <c r="B599" s="2"/>
      <c r="C599" s="2"/>
      <c r="D599" s="3"/>
      <c r="E599" s="3"/>
      <c r="F599" s="1"/>
      <c r="G599" s="37"/>
      <c r="H599" s="1"/>
      <c r="I599" s="2"/>
      <c r="J599" s="2"/>
      <c r="K599" s="2"/>
      <c r="L599" s="2"/>
      <c r="M599" s="2"/>
      <c r="N599" s="3"/>
      <c r="O599" s="3"/>
      <c r="P599" s="2"/>
      <c r="Q599" s="2"/>
      <c r="R599" s="2"/>
      <c r="S599" s="2"/>
      <c r="T599" s="2"/>
      <c r="U599" s="2"/>
      <c r="V599" s="2"/>
      <c r="W599" s="2"/>
      <c r="X599" s="2"/>
      <c r="Y599" s="2"/>
      <c r="Z599" s="2"/>
      <c r="AA599" s="2"/>
      <c r="AB599" s="2"/>
      <c r="AC599" s="2"/>
      <c r="AD599" s="2"/>
    </row>
    <row r="600" spans="1:30" ht="13">
      <c r="A600" s="3"/>
      <c r="B600" s="2"/>
      <c r="C600" s="2"/>
      <c r="D600" s="3"/>
      <c r="E600" s="3"/>
      <c r="F600" s="1"/>
      <c r="G600" s="37"/>
      <c r="H600" s="1"/>
      <c r="I600" s="2"/>
      <c r="J600" s="2"/>
      <c r="K600" s="2"/>
      <c r="L600" s="2"/>
      <c r="M600" s="2"/>
      <c r="N600" s="3"/>
      <c r="O600" s="3"/>
      <c r="P600" s="2"/>
      <c r="Q600" s="2"/>
      <c r="R600" s="2"/>
      <c r="S600" s="2"/>
      <c r="T600" s="2"/>
      <c r="U600" s="2"/>
      <c r="V600" s="2"/>
      <c r="W600" s="2"/>
      <c r="X600" s="2"/>
      <c r="Y600" s="2"/>
      <c r="Z600" s="2"/>
      <c r="AA600" s="2"/>
      <c r="AB600" s="2"/>
      <c r="AC600" s="2"/>
      <c r="AD600" s="2"/>
    </row>
    <row r="601" spans="1:30" ht="13">
      <c r="A601" s="3"/>
      <c r="B601" s="2"/>
      <c r="C601" s="2"/>
      <c r="D601" s="3"/>
      <c r="E601" s="3"/>
      <c r="F601" s="1"/>
      <c r="G601" s="37"/>
      <c r="H601" s="1"/>
      <c r="I601" s="2"/>
      <c r="J601" s="2"/>
      <c r="K601" s="2"/>
      <c r="L601" s="2"/>
      <c r="M601" s="2"/>
      <c r="N601" s="3"/>
      <c r="O601" s="3"/>
      <c r="P601" s="2"/>
      <c r="Q601" s="2"/>
      <c r="R601" s="2"/>
      <c r="S601" s="2"/>
      <c r="T601" s="2"/>
      <c r="U601" s="2"/>
      <c r="V601" s="2"/>
      <c r="W601" s="2"/>
      <c r="X601" s="2"/>
      <c r="Y601" s="2"/>
      <c r="Z601" s="2"/>
      <c r="AA601" s="2"/>
      <c r="AB601" s="2"/>
      <c r="AC601" s="2"/>
      <c r="AD601" s="2"/>
    </row>
    <row r="602" spans="1:30" ht="13">
      <c r="A602" s="3"/>
      <c r="B602" s="2"/>
      <c r="C602" s="2"/>
      <c r="D602" s="3"/>
      <c r="E602" s="3"/>
      <c r="F602" s="1"/>
      <c r="G602" s="37"/>
      <c r="H602" s="1"/>
      <c r="I602" s="2"/>
      <c r="J602" s="2"/>
      <c r="K602" s="2"/>
      <c r="L602" s="2"/>
      <c r="M602" s="2"/>
      <c r="N602" s="3"/>
      <c r="O602" s="3"/>
      <c r="P602" s="2"/>
      <c r="Q602" s="2"/>
      <c r="R602" s="2"/>
      <c r="S602" s="2"/>
      <c r="T602" s="2"/>
      <c r="U602" s="2"/>
      <c r="V602" s="2"/>
      <c r="W602" s="2"/>
      <c r="X602" s="2"/>
      <c r="Y602" s="2"/>
      <c r="Z602" s="2"/>
      <c r="AA602" s="2"/>
      <c r="AB602" s="2"/>
      <c r="AC602" s="2"/>
      <c r="AD602" s="2"/>
    </row>
    <row r="603" spans="1:30" ht="13">
      <c r="A603" s="3"/>
      <c r="B603" s="2"/>
      <c r="C603" s="2"/>
      <c r="D603" s="3"/>
      <c r="E603" s="3"/>
      <c r="F603" s="1"/>
      <c r="G603" s="37"/>
      <c r="H603" s="1"/>
      <c r="I603" s="2"/>
      <c r="J603" s="2"/>
      <c r="K603" s="2"/>
      <c r="L603" s="2"/>
      <c r="M603" s="2"/>
      <c r="N603" s="3"/>
      <c r="O603" s="3"/>
      <c r="P603" s="2"/>
      <c r="Q603" s="2"/>
      <c r="R603" s="2"/>
      <c r="S603" s="2"/>
      <c r="T603" s="2"/>
      <c r="U603" s="2"/>
      <c r="V603" s="2"/>
      <c r="W603" s="2"/>
      <c r="X603" s="2"/>
      <c r="Y603" s="2"/>
      <c r="Z603" s="2"/>
      <c r="AA603" s="2"/>
      <c r="AB603" s="2"/>
      <c r="AC603" s="2"/>
      <c r="AD603" s="2"/>
    </row>
    <row r="604" spans="1:30" ht="13">
      <c r="A604" s="3"/>
      <c r="B604" s="2"/>
      <c r="C604" s="2"/>
      <c r="D604" s="3"/>
      <c r="E604" s="3"/>
      <c r="F604" s="1"/>
      <c r="G604" s="37"/>
      <c r="H604" s="1"/>
      <c r="I604" s="2"/>
      <c r="J604" s="2"/>
      <c r="K604" s="2"/>
      <c r="L604" s="2"/>
      <c r="M604" s="2"/>
      <c r="N604" s="3"/>
      <c r="O604" s="3"/>
      <c r="P604" s="2"/>
      <c r="Q604" s="2"/>
      <c r="R604" s="2"/>
      <c r="S604" s="2"/>
      <c r="T604" s="2"/>
      <c r="U604" s="2"/>
      <c r="V604" s="2"/>
      <c r="W604" s="2"/>
      <c r="X604" s="2"/>
      <c r="Y604" s="2"/>
      <c r="Z604" s="2"/>
      <c r="AA604" s="2"/>
      <c r="AB604" s="2"/>
      <c r="AC604" s="2"/>
      <c r="AD604" s="2"/>
    </row>
    <row r="605" spans="1:30" ht="13">
      <c r="A605" s="3"/>
      <c r="B605" s="2"/>
      <c r="C605" s="2"/>
      <c r="D605" s="3"/>
      <c r="E605" s="3"/>
      <c r="F605" s="1"/>
      <c r="G605" s="37"/>
      <c r="H605" s="1"/>
      <c r="I605" s="2"/>
      <c r="J605" s="2"/>
      <c r="K605" s="2"/>
      <c r="L605" s="2"/>
      <c r="M605" s="2"/>
      <c r="N605" s="3"/>
      <c r="O605" s="3"/>
      <c r="P605" s="2"/>
      <c r="Q605" s="2"/>
      <c r="R605" s="2"/>
      <c r="S605" s="2"/>
      <c r="T605" s="2"/>
      <c r="U605" s="2"/>
      <c r="V605" s="2"/>
      <c r="W605" s="2"/>
      <c r="X605" s="2"/>
      <c r="Y605" s="2"/>
      <c r="Z605" s="2"/>
      <c r="AA605" s="2"/>
      <c r="AB605" s="2"/>
      <c r="AC605" s="2"/>
      <c r="AD605" s="2"/>
    </row>
    <row r="606" spans="1:30" ht="13">
      <c r="A606" s="3"/>
      <c r="B606" s="2"/>
      <c r="C606" s="2"/>
      <c r="D606" s="3"/>
      <c r="E606" s="3"/>
      <c r="F606" s="1"/>
      <c r="G606" s="37"/>
      <c r="H606" s="1"/>
      <c r="I606" s="2"/>
      <c r="J606" s="2"/>
      <c r="K606" s="2"/>
      <c r="L606" s="2"/>
      <c r="M606" s="2"/>
      <c r="N606" s="3"/>
      <c r="O606" s="3"/>
      <c r="P606" s="2"/>
      <c r="Q606" s="2"/>
      <c r="R606" s="2"/>
      <c r="S606" s="2"/>
      <c r="T606" s="2"/>
      <c r="U606" s="2"/>
      <c r="V606" s="2"/>
      <c r="W606" s="2"/>
      <c r="X606" s="2"/>
      <c r="Y606" s="2"/>
      <c r="Z606" s="2"/>
      <c r="AA606" s="2"/>
      <c r="AB606" s="2"/>
      <c r="AC606" s="2"/>
      <c r="AD606" s="2"/>
    </row>
    <row r="607" spans="1:30" ht="13">
      <c r="A607" s="3"/>
      <c r="B607" s="2"/>
      <c r="C607" s="2"/>
      <c r="D607" s="3"/>
      <c r="E607" s="3"/>
      <c r="F607" s="1"/>
      <c r="G607" s="37"/>
      <c r="H607" s="1"/>
      <c r="I607" s="2"/>
      <c r="J607" s="2"/>
      <c r="K607" s="2"/>
      <c r="L607" s="2"/>
      <c r="M607" s="2"/>
      <c r="N607" s="3"/>
      <c r="O607" s="3"/>
      <c r="P607" s="2"/>
      <c r="Q607" s="2"/>
      <c r="R607" s="2"/>
      <c r="S607" s="2"/>
      <c r="T607" s="2"/>
      <c r="U607" s="2"/>
      <c r="V607" s="2"/>
      <c r="W607" s="2"/>
      <c r="X607" s="2"/>
      <c r="Y607" s="2"/>
      <c r="Z607" s="2"/>
      <c r="AA607" s="2"/>
      <c r="AB607" s="2"/>
      <c r="AC607" s="2"/>
      <c r="AD607" s="2"/>
    </row>
    <row r="608" spans="1:30" ht="13">
      <c r="A608" s="3"/>
      <c r="B608" s="2"/>
      <c r="C608" s="2"/>
      <c r="D608" s="3"/>
      <c r="E608" s="3"/>
      <c r="F608" s="1"/>
      <c r="G608" s="37"/>
      <c r="H608" s="1"/>
      <c r="I608" s="2"/>
      <c r="J608" s="2"/>
      <c r="K608" s="2"/>
      <c r="L608" s="2"/>
      <c r="M608" s="2"/>
      <c r="N608" s="3"/>
      <c r="O608" s="3"/>
      <c r="P608" s="2"/>
      <c r="Q608" s="2"/>
      <c r="R608" s="2"/>
      <c r="S608" s="2"/>
      <c r="T608" s="2"/>
      <c r="U608" s="2"/>
      <c r="V608" s="2"/>
      <c r="W608" s="2"/>
      <c r="X608" s="2"/>
      <c r="Y608" s="2"/>
      <c r="Z608" s="2"/>
      <c r="AA608" s="2"/>
      <c r="AB608" s="2"/>
      <c r="AC608" s="2"/>
      <c r="AD608" s="2"/>
    </row>
    <row r="609" spans="1:30" ht="13">
      <c r="A609" s="3"/>
      <c r="B609" s="2"/>
      <c r="C609" s="2"/>
      <c r="D609" s="3"/>
      <c r="E609" s="3"/>
      <c r="F609" s="1"/>
      <c r="G609" s="37"/>
      <c r="H609" s="1"/>
      <c r="I609" s="2"/>
      <c r="J609" s="2"/>
      <c r="K609" s="2"/>
      <c r="L609" s="2"/>
      <c r="M609" s="2"/>
      <c r="N609" s="3"/>
      <c r="O609" s="3"/>
      <c r="P609" s="2"/>
      <c r="Q609" s="2"/>
      <c r="R609" s="2"/>
      <c r="S609" s="2"/>
      <c r="T609" s="2"/>
      <c r="U609" s="2"/>
      <c r="V609" s="2"/>
      <c r="W609" s="2"/>
      <c r="X609" s="2"/>
      <c r="Y609" s="2"/>
      <c r="Z609" s="2"/>
      <c r="AA609" s="2"/>
      <c r="AB609" s="2"/>
      <c r="AC609" s="2"/>
      <c r="AD609" s="2"/>
    </row>
    <row r="610" spans="1:30" ht="13">
      <c r="A610" s="3"/>
      <c r="B610" s="2"/>
      <c r="C610" s="2"/>
      <c r="D610" s="3"/>
      <c r="E610" s="3"/>
      <c r="F610" s="1"/>
      <c r="G610" s="37"/>
      <c r="H610" s="1"/>
      <c r="I610" s="2"/>
      <c r="J610" s="2"/>
      <c r="K610" s="2"/>
      <c r="L610" s="2"/>
      <c r="M610" s="2"/>
      <c r="N610" s="3"/>
      <c r="O610" s="3"/>
      <c r="P610" s="2"/>
      <c r="Q610" s="2"/>
      <c r="R610" s="2"/>
      <c r="S610" s="2"/>
      <c r="T610" s="2"/>
      <c r="U610" s="2"/>
      <c r="V610" s="2"/>
      <c r="W610" s="2"/>
      <c r="X610" s="2"/>
      <c r="Y610" s="2"/>
      <c r="Z610" s="2"/>
      <c r="AA610" s="2"/>
      <c r="AB610" s="2"/>
      <c r="AC610" s="2"/>
      <c r="AD610" s="2"/>
    </row>
    <row r="611" spans="1:30" ht="13">
      <c r="A611" s="3"/>
      <c r="B611" s="2"/>
      <c r="C611" s="2"/>
      <c r="D611" s="3"/>
      <c r="E611" s="3"/>
      <c r="F611" s="1"/>
      <c r="G611" s="37"/>
      <c r="H611" s="1"/>
      <c r="I611" s="2"/>
      <c r="J611" s="2"/>
      <c r="K611" s="2"/>
      <c r="L611" s="2"/>
      <c r="M611" s="2"/>
      <c r="N611" s="3"/>
      <c r="O611" s="3"/>
      <c r="P611" s="2"/>
      <c r="Q611" s="2"/>
      <c r="R611" s="2"/>
      <c r="S611" s="2"/>
      <c r="T611" s="2"/>
      <c r="U611" s="2"/>
      <c r="V611" s="2"/>
      <c r="W611" s="2"/>
      <c r="X611" s="2"/>
      <c r="Y611" s="2"/>
      <c r="Z611" s="2"/>
      <c r="AA611" s="2"/>
      <c r="AB611" s="2"/>
      <c r="AC611" s="2"/>
      <c r="AD611" s="2"/>
    </row>
    <row r="612" spans="1:30" ht="13">
      <c r="A612" s="3"/>
      <c r="B612" s="2"/>
      <c r="C612" s="2"/>
      <c r="D612" s="3"/>
      <c r="E612" s="3"/>
      <c r="F612" s="1"/>
      <c r="G612" s="37"/>
      <c r="H612" s="1"/>
      <c r="I612" s="2"/>
      <c r="J612" s="2"/>
      <c r="K612" s="2"/>
      <c r="L612" s="2"/>
      <c r="M612" s="2"/>
      <c r="N612" s="3"/>
      <c r="O612" s="3"/>
      <c r="P612" s="2"/>
      <c r="Q612" s="2"/>
      <c r="R612" s="2"/>
      <c r="S612" s="2"/>
      <c r="T612" s="2"/>
      <c r="U612" s="2"/>
      <c r="V612" s="2"/>
      <c r="W612" s="2"/>
      <c r="X612" s="2"/>
      <c r="Y612" s="2"/>
      <c r="Z612" s="2"/>
      <c r="AA612" s="2"/>
      <c r="AB612" s="2"/>
      <c r="AC612" s="2"/>
      <c r="AD612" s="2"/>
    </row>
    <row r="613" spans="1:30" ht="13">
      <c r="A613" s="3"/>
      <c r="B613" s="2"/>
      <c r="C613" s="2"/>
      <c r="D613" s="3"/>
      <c r="E613" s="3"/>
      <c r="F613" s="1"/>
      <c r="G613" s="37"/>
      <c r="H613" s="1"/>
      <c r="I613" s="2"/>
      <c r="J613" s="2"/>
      <c r="K613" s="2"/>
      <c r="L613" s="2"/>
      <c r="M613" s="2"/>
      <c r="N613" s="3"/>
      <c r="O613" s="3"/>
      <c r="P613" s="2"/>
      <c r="Q613" s="2"/>
      <c r="R613" s="2"/>
      <c r="S613" s="2"/>
      <c r="T613" s="2"/>
      <c r="U613" s="2"/>
      <c r="V613" s="2"/>
      <c r="W613" s="2"/>
      <c r="X613" s="2"/>
      <c r="Y613" s="2"/>
      <c r="Z613" s="2"/>
      <c r="AA613" s="2"/>
      <c r="AB613" s="2"/>
      <c r="AC613" s="2"/>
      <c r="AD613" s="2"/>
    </row>
    <row r="614" spans="1:30" ht="13">
      <c r="A614" s="3"/>
      <c r="B614" s="2"/>
      <c r="C614" s="2"/>
      <c r="D614" s="3"/>
      <c r="E614" s="3"/>
      <c r="F614" s="1"/>
      <c r="G614" s="37"/>
      <c r="H614" s="1"/>
      <c r="I614" s="2"/>
      <c r="J614" s="2"/>
      <c r="K614" s="2"/>
      <c r="L614" s="2"/>
      <c r="M614" s="2"/>
      <c r="N614" s="3"/>
      <c r="O614" s="3"/>
      <c r="P614" s="2"/>
      <c r="Q614" s="2"/>
      <c r="R614" s="2"/>
      <c r="S614" s="2"/>
      <c r="T614" s="2"/>
      <c r="U614" s="2"/>
      <c r="V614" s="2"/>
      <c r="W614" s="2"/>
      <c r="X614" s="2"/>
      <c r="Y614" s="2"/>
      <c r="Z614" s="2"/>
      <c r="AA614" s="2"/>
      <c r="AB614" s="2"/>
      <c r="AC614" s="2"/>
      <c r="AD614" s="2"/>
    </row>
    <row r="615" spans="1:30" ht="13">
      <c r="A615" s="3"/>
      <c r="B615" s="2"/>
      <c r="C615" s="2"/>
      <c r="D615" s="3"/>
      <c r="E615" s="3"/>
      <c r="F615" s="1"/>
      <c r="G615" s="37"/>
      <c r="H615" s="1"/>
      <c r="I615" s="2"/>
      <c r="J615" s="2"/>
      <c r="K615" s="2"/>
      <c r="L615" s="2"/>
      <c r="M615" s="2"/>
      <c r="N615" s="3"/>
      <c r="O615" s="3"/>
      <c r="P615" s="2"/>
      <c r="Q615" s="2"/>
      <c r="R615" s="2"/>
      <c r="S615" s="2"/>
      <c r="T615" s="2"/>
      <c r="U615" s="2"/>
      <c r="V615" s="2"/>
      <c r="W615" s="2"/>
      <c r="X615" s="2"/>
      <c r="Y615" s="2"/>
      <c r="Z615" s="2"/>
      <c r="AA615" s="2"/>
      <c r="AB615" s="2"/>
      <c r="AC615" s="2"/>
      <c r="AD615" s="2"/>
    </row>
    <row r="616" spans="1:30" ht="13">
      <c r="A616" s="3"/>
      <c r="B616" s="2"/>
      <c r="C616" s="2"/>
      <c r="D616" s="3"/>
      <c r="E616" s="3"/>
      <c r="F616" s="1"/>
      <c r="G616" s="37"/>
      <c r="H616" s="1"/>
      <c r="I616" s="2"/>
      <c r="J616" s="2"/>
      <c r="K616" s="2"/>
      <c r="L616" s="2"/>
      <c r="M616" s="2"/>
      <c r="N616" s="3"/>
      <c r="O616" s="3"/>
      <c r="P616" s="2"/>
      <c r="Q616" s="2"/>
      <c r="R616" s="2"/>
      <c r="S616" s="2"/>
      <c r="T616" s="2"/>
      <c r="U616" s="2"/>
      <c r="V616" s="2"/>
      <c r="W616" s="2"/>
      <c r="X616" s="2"/>
      <c r="Y616" s="2"/>
      <c r="Z616" s="2"/>
      <c r="AA616" s="2"/>
      <c r="AB616" s="2"/>
      <c r="AC616" s="2"/>
      <c r="AD616" s="2"/>
    </row>
    <row r="617" spans="1:30" ht="13">
      <c r="A617" s="3"/>
      <c r="B617" s="2"/>
      <c r="C617" s="2"/>
      <c r="D617" s="3"/>
      <c r="E617" s="3"/>
      <c r="F617" s="1"/>
      <c r="G617" s="37"/>
      <c r="H617" s="1"/>
      <c r="I617" s="2"/>
      <c r="J617" s="2"/>
      <c r="K617" s="2"/>
      <c r="L617" s="2"/>
      <c r="M617" s="2"/>
      <c r="N617" s="3"/>
      <c r="O617" s="3"/>
      <c r="P617" s="2"/>
      <c r="Q617" s="2"/>
      <c r="R617" s="2"/>
      <c r="S617" s="2"/>
      <c r="T617" s="2"/>
      <c r="U617" s="2"/>
      <c r="V617" s="2"/>
      <c r="W617" s="2"/>
      <c r="X617" s="2"/>
      <c r="Y617" s="2"/>
      <c r="Z617" s="2"/>
      <c r="AA617" s="2"/>
      <c r="AB617" s="2"/>
      <c r="AC617" s="2"/>
      <c r="AD617" s="2"/>
    </row>
    <row r="618" spans="1:30" ht="13">
      <c r="A618" s="3"/>
      <c r="B618" s="2"/>
      <c r="C618" s="2"/>
      <c r="D618" s="3"/>
      <c r="E618" s="3"/>
      <c r="F618" s="1"/>
      <c r="G618" s="37"/>
      <c r="H618" s="1"/>
      <c r="I618" s="2"/>
      <c r="J618" s="2"/>
      <c r="K618" s="2"/>
      <c r="L618" s="2"/>
      <c r="M618" s="2"/>
      <c r="N618" s="3"/>
      <c r="O618" s="3"/>
      <c r="P618" s="2"/>
      <c r="Q618" s="2"/>
      <c r="R618" s="2"/>
      <c r="S618" s="2"/>
      <c r="T618" s="2"/>
      <c r="U618" s="2"/>
      <c r="V618" s="2"/>
      <c r="W618" s="2"/>
      <c r="X618" s="2"/>
      <c r="Y618" s="2"/>
      <c r="Z618" s="2"/>
      <c r="AA618" s="2"/>
      <c r="AB618" s="2"/>
      <c r="AC618" s="2"/>
      <c r="AD618" s="2"/>
    </row>
    <row r="619" spans="1:30" ht="13">
      <c r="A619" s="3"/>
      <c r="B619" s="2"/>
      <c r="C619" s="2"/>
      <c r="D619" s="3"/>
      <c r="E619" s="3"/>
      <c r="F619" s="1"/>
      <c r="G619" s="37"/>
      <c r="H619" s="1"/>
      <c r="I619" s="2"/>
      <c r="J619" s="2"/>
      <c r="K619" s="2"/>
      <c r="L619" s="2"/>
      <c r="M619" s="2"/>
      <c r="N619" s="3"/>
      <c r="O619" s="3"/>
      <c r="P619" s="2"/>
      <c r="Q619" s="2"/>
      <c r="R619" s="2"/>
      <c r="S619" s="2"/>
      <c r="T619" s="2"/>
      <c r="U619" s="2"/>
      <c r="V619" s="2"/>
      <c r="W619" s="2"/>
      <c r="X619" s="2"/>
      <c r="Y619" s="2"/>
      <c r="Z619" s="2"/>
      <c r="AA619" s="2"/>
      <c r="AB619" s="2"/>
      <c r="AC619" s="2"/>
      <c r="AD619" s="2"/>
    </row>
    <row r="620" spans="1:30" ht="13">
      <c r="A620" s="3"/>
      <c r="B620" s="2"/>
      <c r="C620" s="2"/>
      <c r="D620" s="3"/>
      <c r="E620" s="3"/>
      <c r="F620" s="1"/>
      <c r="G620" s="37"/>
      <c r="H620" s="1"/>
      <c r="I620" s="2"/>
      <c r="J620" s="2"/>
      <c r="K620" s="2"/>
      <c r="L620" s="2"/>
      <c r="M620" s="2"/>
      <c r="N620" s="3"/>
      <c r="O620" s="3"/>
      <c r="P620" s="2"/>
      <c r="Q620" s="2"/>
      <c r="R620" s="2"/>
      <c r="S620" s="2"/>
      <c r="T620" s="2"/>
      <c r="U620" s="2"/>
      <c r="V620" s="2"/>
      <c r="W620" s="2"/>
      <c r="X620" s="2"/>
      <c r="Y620" s="2"/>
      <c r="Z620" s="2"/>
      <c r="AA620" s="2"/>
      <c r="AB620" s="2"/>
      <c r="AC620" s="2"/>
      <c r="AD620" s="2"/>
    </row>
    <row r="621" spans="1:30" ht="13">
      <c r="A621" s="3"/>
      <c r="B621" s="2"/>
      <c r="C621" s="2"/>
      <c r="D621" s="3"/>
      <c r="E621" s="3"/>
      <c r="F621" s="1"/>
      <c r="G621" s="37"/>
      <c r="H621" s="1"/>
      <c r="I621" s="2"/>
      <c r="J621" s="2"/>
      <c r="K621" s="2"/>
      <c r="L621" s="2"/>
      <c r="M621" s="2"/>
      <c r="N621" s="3"/>
      <c r="O621" s="3"/>
      <c r="P621" s="2"/>
      <c r="Q621" s="2"/>
      <c r="R621" s="2"/>
      <c r="S621" s="2"/>
      <c r="T621" s="2"/>
      <c r="U621" s="2"/>
      <c r="V621" s="2"/>
      <c r="W621" s="2"/>
      <c r="X621" s="2"/>
      <c r="Y621" s="2"/>
      <c r="Z621" s="2"/>
      <c r="AA621" s="2"/>
      <c r="AB621" s="2"/>
      <c r="AC621" s="2"/>
      <c r="AD621" s="2"/>
    </row>
    <row r="622" spans="1:30" ht="13">
      <c r="A622" s="3"/>
      <c r="B622" s="2"/>
      <c r="C622" s="2"/>
      <c r="D622" s="3"/>
      <c r="E622" s="3"/>
      <c r="F622" s="1"/>
      <c r="G622" s="37"/>
      <c r="H622" s="1"/>
      <c r="I622" s="2"/>
      <c r="J622" s="2"/>
      <c r="K622" s="2"/>
      <c r="L622" s="2"/>
      <c r="M622" s="2"/>
      <c r="N622" s="3"/>
      <c r="O622" s="3"/>
      <c r="P622" s="2"/>
      <c r="Q622" s="2"/>
      <c r="R622" s="2"/>
      <c r="S622" s="2"/>
      <c r="T622" s="2"/>
      <c r="U622" s="2"/>
      <c r="V622" s="2"/>
      <c r="W622" s="2"/>
      <c r="X622" s="2"/>
      <c r="Y622" s="2"/>
      <c r="Z622" s="2"/>
      <c r="AA622" s="2"/>
      <c r="AB622" s="2"/>
      <c r="AC622" s="2"/>
      <c r="AD622" s="2"/>
    </row>
    <row r="623" spans="1:30" ht="13">
      <c r="A623" s="3"/>
      <c r="B623" s="2"/>
      <c r="C623" s="2"/>
      <c r="D623" s="3"/>
      <c r="E623" s="3"/>
      <c r="F623" s="1"/>
      <c r="G623" s="37"/>
      <c r="H623" s="1"/>
      <c r="I623" s="2"/>
      <c r="J623" s="2"/>
      <c r="K623" s="2"/>
      <c r="L623" s="2"/>
      <c r="M623" s="2"/>
      <c r="N623" s="3"/>
      <c r="O623" s="3"/>
      <c r="P623" s="2"/>
      <c r="Q623" s="2"/>
      <c r="R623" s="2"/>
      <c r="S623" s="2"/>
      <c r="T623" s="2"/>
      <c r="U623" s="2"/>
      <c r="V623" s="2"/>
      <c r="W623" s="2"/>
      <c r="X623" s="2"/>
      <c r="Y623" s="2"/>
      <c r="Z623" s="2"/>
      <c r="AA623" s="2"/>
      <c r="AB623" s="2"/>
      <c r="AC623" s="2"/>
      <c r="AD623" s="2"/>
    </row>
    <row r="624" spans="1:30" ht="13">
      <c r="A624" s="3"/>
      <c r="B624" s="2"/>
      <c r="C624" s="2"/>
      <c r="D624" s="3"/>
      <c r="E624" s="3"/>
      <c r="F624" s="1"/>
      <c r="G624" s="37"/>
      <c r="H624" s="1"/>
      <c r="I624" s="2"/>
      <c r="J624" s="2"/>
      <c r="K624" s="2"/>
      <c r="L624" s="2"/>
      <c r="M624" s="2"/>
      <c r="N624" s="3"/>
      <c r="O624" s="3"/>
      <c r="P624" s="2"/>
      <c r="Q624" s="2"/>
      <c r="R624" s="2"/>
      <c r="S624" s="2"/>
      <c r="T624" s="2"/>
      <c r="U624" s="2"/>
      <c r="V624" s="2"/>
      <c r="W624" s="2"/>
      <c r="X624" s="2"/>
      <c r="Y624" s="2"/>
      <c r="Z624" s="2"/>
      <c r="AA624" s="2"/>
      <c r="AB624" s="2"/>
      <c r="AC624" s="2"/>
      <c r="AD624" s="2"/>
    </row>
    <row r="625" spans="1:30" ht="13">
      <c r="A625" s="3"/>
      <c r="B625" s="2"/>
      <c r="C625" s="2"/>
      <c r="D625" s="3"/>
      <c r="E625" s="3"/>
      <c r="F625" s="1"/>
      <c r="G625" s="37"/>
      <c r="H625" s="1"/>
      <c r="I625" s="2"/>
      <c r="J625" s="2"/>
      <c r="K625" s="2"/>
      <c r="L625" s="2"/>
      <c r="M625" s="2"/>
      <c r="N625" s="3"/>
      <c r="O625" s="3"/>
      <c r="P625" s="2"/>
      <c r="Q625" s="2"/>
      <c r="R625" s="2"/>
      <c r="S625" s="2"/>
      <c r="T625" s="2"/>
      <c r="U625" s="2"/>
      <c r="V625" s="2"/>
      <c r="W625" s="2"/>
      <c r="X625" s="2"/>
      <c r="Y625" s="2"/>
      <c r="Z625" s="2"/>
      <c r="AA625" s="2"/>
      <c r="AB625" s="2"/>
      <c r="AC625" s="2"/>
      <c r="AD625" s="2"/>
    </row>
    <row r="626" spans="1:30" ht="13">
      <c r="A626" s="3"/>
      <c r="B626" s="2"/>
      <c r="C626" s="2"/>
      <c r="D626" s="3"/>
      <c r="E626" s="3"/>
      <c r="F626" s="1"/>
      <c r="G626" s="37"/>
      <c r="H626" s="1"/>
      <c r="I626" s="2"/>
      <c r="J626" s="2"/>
      <c r="K626" s="2"/>
      <c r="L626" s="2"/>
      <c r="M626" s="2"/>
      <c r="N626" s="3"/>
      <c r="O626" s="3"/>
      <c r="P626" s="2"/>
      <c r="Q626" s="2"/>
      <c r="R626" s="2"/>
      <c r="S626" s="2"/>
      <c r="T626" s="2"/>
      <c r="U626" s="2"/>
      <c r="V626" s="2"/>
      <c r="W626" s="2"/>
      <c r="X626" s="2"/>
      <c r="Y626" s="2"/>
      <c r="Z626" s="2"/>
      <c r="AA626" s="2"/>
      <c r="AB626" s="2"/>
      <c r="AC626" s="2"/>
      <c r="AD626" s="2"/>
    </row>
    <row r="627" spans="1:30" ht="13">
      <c r="A627" s="3"/>
      <c r="B627" s="2"/>
      <c r="C627" s="2"/>
      <c r="D627" s="3"/>
      <c r="E627" s="3"/>
      <c r="F627" s="1"/>
      <c r="G627" s="37"/>
      <c r="H627" s="1"/>
      <c r="I627" s="2"/>
      <c r="J627" s="2"/>
      <c r="K627" s="2"/>
      <c r="L627" s="2"/>
      <c r="M627" s="2"/>
      <c r="N627" s="3"/>
      <c r="O627" s="3"/>
      <c r="P627" s="2"/>
      <c r="Q627" s="2"/>
      <c r="R627" s="2"/>
      <c r="S627" s="2"/>
      <c r="T627" s="2"/>
      <c r="U627" s="2"/>
      <c r="V627" s="2"/>
      <c r="W627" s="2"/>
      <c r="X627" s="2"/>
      <c r="Y627" s="2"/>
      <c r="Z627" s="2"/>
      <c r="AA627" s="2"/>
      <c r="AB627" s="2"/>
      <c r="AC627" s="2"/>
      <c r="AD627" s="2"/>
    </row>
    <row r="628" spans="1:30" ht="13">
      <c r="A628" s="3"/>
      <c r="B628" s="2"/>
      <c r="C628" s="2"/>
      <c r="D628" s="3"/>
      <c r="E628" s="3"/>
      <c r="F628" s="1"/>
      <c r="G628" s="37"/>
      <c r="H628" s="1"/>
      <c r="I628" s="2"/>
      <c r="J628" s="2"/>
      <c r="K628" s="2"/>
      <c r="L628" s="2"/>
      <c r="M628" s="2"/>
      <c r="N628" s="3"/>
      <c r="O628" s="3"/>
      <c r="P628" s="2"/>
      <c r="Q628" s="2"/>
      <c r="R628" s="2"/>
      <c r="S628" s="2"/>
      <c r="T628" s="2"/>
      <c r="U628" s="2"/>
      <c r="V628" s="2"/>
      <c r="W628" s="2"/>
      <c r="X628" s="2"/>
      <c r="Y628" s="2"/>
      <c r="Z628" s="2"/>
      <c r="AA628" s="2"/>
      <c r="AB628" s="2"/>
      <c r="AC628" s="2"/>
      <c r="AD628" s="2"/>
    </row>
    <row r="629" spans="1:30" ht="13">
      <c r="A629" s="3"/>
      <c r="B629" s="2"/>
      <c r="C629" s="2"/>
      <c r="D629" s="3"/>
      <c r="E629" s="3"/>
      <c r="F629" s="1"/>
      <c r="G629" s="37"/>
      <c r="H629" s="1"/>
      <c r="I629" s="2"/>
      <c r="J629" s="2"/>
      <c r="K629" s="2"/>
      <c r="L629" s="2"/>
      <c r="M629" s="2"/>
      <c r="N629" s="3"/>
      <c r="O629" s="3"/>
      <c r="P629" s="2"/>
      <c r="Q629" s="2"/>
      <c r="R629" s="2"/>
      <c r="S629" s="2"/>
      <c r="T629" s="2"/>
      <c r="U629" s="2"/>
      <c r="V629" s="2"/>
      <c r="W629" s="2"/>
      <c r="X629" s="2"/>
      <c r="Y629" s="2"/>
      <c r="Z629" s="2"/>
      <c r="AA629" s="2"/>
      <c r="AB629" s="2"/>
      <c r="AC629" s="2"/>
      <c r="AD629" s="2"/>
    </row>
    <row r="630" spans="1:30" ht="13">
      <c r="A630" s="3"/>
      <c r="B630" s="2"/>
      <c r="C630" s="2"/>
      <c r="D630" s="3"/>
      <c r="E630" s="3"/>
      <c r="F630" s="1"/>
      <c r="G630" s="37"/>
      <c r="H630" s="1"/>
      <c r="I630" s="2"/>
      <c r="J630" s="2"/>
      <c r="K630" s="2"/>
      <c r="L630" s="2"/>
      <c r="M630" s="2"/>
      <c r="N630" s="3"/>
      <c r="O630" s="3"/>
      <c r="P630" s="2"/>
      <c r="Q630" s="2"/>
      <c r="R630" s="2"/>
      <c r="S630" s="2"/>
      <c r="T630" s="2"/>
      <c r="U630" s="2"/>
      <c r="V630" s="2"/>
      <c r="W630" s="2"/>
      <c r="X630" s="2"/>
      <c r="Y630" s="2"/>
      <c r="Z630" s="2"/>
      <c r="AA630" s="2"/>
      <c r="AB630" s="2"/>
      <c r="AC630" s="2"/>
      <c r="AD630" s="2"/>
    </row>
    <row r="631" spans="1:30" ht="13">
      <c r="A631" s="3"/>
      <c r="B631" s="2"/>
      <c r="C631" s="2"/>
      <c r="D631" s="3"/>
      <c r="E631" s="3"/>
      <c r="F631" s="1"/>
      <c r="G631" s="37"/>
      <c r="H631" s="1"/>
      <c r="I631" s="2"/>
      <c r="J631" s="2"/>
      <c r="K631" s="2"/>
      <c r="L631" s="2"/>
      <c r="M631" s="2"/>
      <c r="N631" s="3"/>
      <c r="O631" s="3"/>
      <c r="P631" s="2"/>
      <c r="Q631" s="2"/>
      <c r="R631" s="2"/>
      <c r="S631" s="2"/>
      <c r="T631" s="2"/>
      <c r="U631" s="2"/>
      <c r="V631" s="2"/>
      <c r="W631" s="2"/>
      <c r="X631" s="2"/>
      <c r="Y631" s="2"/>
      <c r="Z631" s="2"/>
      <c r="AA631" s="2"/>
      <c r="AB631" s="2"/>
      <c r="AC631" s="2"/>
      <c r="AD631" s="2"/>
    </row>
    <row r="632" spans="1:30" ht="13">
      <c r="A632" s="3"/>
      <c r="B632" s="2"/>
      <c r="C632" s="2"/>
      <c r="D632" s="3"/>
      <c r="E632" s="3"/>
      <c r="F632" s="1"/>
      <c r="G632" s="37"/>
      <c r="H632" s="1"/>
      <c r="I632" s="2"/>
      <c r="J632" s="2"/>
      <c r="K632" s="2"/>
      <c r="L632" s="2"/>
      <c r="M632" s="2"/>
      <c r="N632" s="3"/>
      <c r="O632" s="3"/>
      <c r="P632" s="2"/>
      <c r="Q632" s="2"/>
      <c r="R632" s="2"/>
      <c r="S632" s="2"/>
      <c r="T632" s="2"/>
      <c r="U632" s="2"/>
      <c r="V632" s="2"/>
      <c r="W632" s="2"/>
      <c r="X632" s="2"/>
      <c r="Y632" s="2"/>
      <c r="Z632" s="2"/>
      <c r="AA632" s="2"/>
      <c r="AB632" s="2"/>
      <c r="AC632" s="2"/>
      <c r="AD632" s="2"/>
    </row>
    <row r="633" spans="1:30" ht="13">
      <c r="A633" s="3"/>
      <c r="B633" s="2"/>
      <c r="C633" s="2"/>
      <c r="D633" s="3"/>
      <c r="E633" s="3"/>
      <c r="F633" s="1"/>
      <c r="G633" s="37"/>
      <c r="H633" s="1"/>
      <c r="I633" s="2"/>
      <c r="J633" s="2"/>
      <c r="K633" s="2"/>
      <c r="L633" s="2"/>
      <c r="M633" s="2"/>
      <c r="N633" s="3"/>
      <c r="O633" s="3"/>
      <c r="P633" s="2"/>
      <c r="Q633" s="2"/>
      <c r="R633" s="2"/>
      <c r="S633" s="2"/>
      <c r="T633" s="2"/>
      <c r="U633" s="2"/>
      <c r="V633" s="2"/>
      <c r="W633" s="2"/>
      <c r="X633" s="2"/>
      <c r="Y633" s="2"/>
      <c r="Z633" s="2"/>
      <c r="AA633" s="2"/>
      <c r="AB633" s="2"/>
      <c r="AC633" s="2"/>
      <c r="AD633" s="2"/>
    </row>
    <row r="634" spans="1:30" ht="13">
      <c r="A634" s="3"/>
      <c r="B634" s="2"/>
      <c r="C634" s="2"/>
      <c r="D634" s="3"/>
      <c r="E634" s="3"/>
      <c r="F634" s="1"/>
      <c r="G634" s="37"/>
      <c r="H634" s="1"/>
      <c r="I634" s="2"/>
      <c r="J634" s="2"/>
      <c r="K634" s="2"/>
      <c r="L634" s="2"/>
      <c r="M634" s="2"/>
      <c r="N634" s="3"/>
      <c r="O634" s="3"/>
      <c r="P634" s="2"/>
      <c r="Q634" s="2"/>
      <c r="R634" s="2"/>
      <c r="S634" s="2"/>
      <c r="T634" s="2"/>
      <c r="U634" s="2"/>
      <c r="V634" s="2"/>
      <c r="W634" s="2"/>
      <c r="X634" s="2"/>
      <c r="Y634" s="2"/>
      <c r="Z634" s="2"/>
      <c r="AA634" s="2"/>
      <c r="AB634" s="2"/>
      <c r="AC634" s="2"/>
      <c r="AD634" s="2"/>
    </row>
    <row r="635" spans="1:30" ht="13">
      <c r="A635" s="3"/>
      <c r="B635" s="2"/>
      <c r="C635" s="2"/>
      <c r="D635" s="3"/>
      <c r="E635" s="3"/>
      <c r="F635" s="1"/>
      <c r="G635" s="37"/>
      <c r="H635" s="1"/>
      <c r="I635" s="2"/>
      <c r="J635" s="2"/>
      <c r="K635" s="2"/>
      <c r="L635" s="2"/>
      <c r="M635" s="2"/>
      <c r="N635" s="3"/>
      <c r="O635" s="3"/>
      <c r="P635" s="2"/>
      <c r="Q635" s="2"/>
      <c r="R635" s="2"/>
      <c r="S635" s="2"/>
      <c r="T635" s="2"/>
      <c r="U635" s="2"/>
      <c r="V635" s="2"/>
      <c r="W635" s="2"/>
      <c r="X635" s="2"/>
      <c r="Y635" s="2"/>
      <c r="Z635" s="2"/>
      <c r="AA635" s="2"/>
      <c r="AB635" s="2"/>
      <c r="AC635" s="2"/>
      <c r="AD635" s="2"/>
    </row>
    <row r="636" spans="1:30" ht="13">
      <c r="A636" s="3"/>
      <c r="B636" s="2"/>
      <c r="C636" s="2"/>
      <c r="D636" s="3"/>
      <c r="E636" s="3"/>
      <c r="F636" s="1"/>
      <c r="G636" s="37"/>
      <c r="H636" s="1"/>
      <c r="I636" s="2"/>
      <c r="J636" s="2"/>
      <c r="K636" s="2"/>
      <c r="L636" s="2"/>
      <c r="M636" s="2"/>
      <c r="N636" s="3"/>
      <c r="O636" s="3"/>
      <c r="P636" s="2"/>
      <c r="Q636" s="2"/>
      <c r="R636" s="2"/>
      <c r="S636" s="2"/>
      <c r="T636" s="2"/>
      <c r="U636" s="2"/>
      <c r="V636" s="2"/>
      <c r="W636" s="2"/>
      <c r="X636" s="2"/>
      <c r="Y636" s="2"/>
      <c r="Z636" s="2"/>
      <c r="AA636" s="2"/>
      <c r="AB636" s="2"/>
      <c r="AC636" s="2"/>
      <c r="AD636" s="2"/>
    </row>
    <row r="637" spans="1:30" ht="13">
      <c r="A637" s="3"/>
      <c r="B637" s="2"/>
      <c r="C637" s="2"/>
      <c r="D637" s="3"/>
      <c r="E637" s="3"/>
      <c r="F637" s="1"/>
      <c r="G637" s="37"/>
      <c r="H637" s="1"/>
      <c r="I637" s="2"/>
      <c r="J637" s="2"/>
      <c r="K637" s="2"/>
      <c r="L637" s="2"/>
      <c r="M637" s="2"/>
      <c r="N637" s="3"/>
      <c r="O637" s="3"/>
      <c r="P637" s="2"/>
      <c r="Q637" s="2"/>
      <c r="R637" s="2"/>
      <c r="S637" s="2"/>
      <c r="T637" s="2"/>
      <c r="U637" s="2"/>
      <c r="V637" s="2"/>
      <c r="W637" s="2"/>
      <c r="X637" s="2"/>
      <c r="Y637" s="2"/>
      <c r="Z637" s="2"/>
      <c r="AA637" s="2"/>
      <c r="AB637" s="2"/>
      <c r="AC637" s="2"/>
      <c r="AD637" s="2"/>
    </row>
    <row r="638" spans="1:30" ht="13">
      <c r="A638" s="3"/>
      <c r="B638" s="2"/>
      <c r="C638" s="2"/>
      <c r="D638" s="3"/>
      <c r="E638" s="3"/>
      <c r="F638" s="1"/>
      <c r="G638" s="37"/>
      <c r="H638" s="1"/>
      <c r="I638" s="2"/>
      <c r="J638" s="2"/>
      <c r="K638" s="2"/>
      <c r="L638" s="2"/>
      <c r="M638" s="2"/>
      <c r="N638" s="3"/>
      <c r="O638" s="3"/>
      <c r="P638" s="2"/>
      <c r="Q638" s="2"/>
      <c r="R638" s="2"/>
      <c r="S638" s="2"/>
      <c r="T638" s="2"/>
      <c r="U638" s="2"/>
      <c r="V638" s="2"/>
      <c r="W638" s="2"/>
      <c r="X638" s="2"/>
      <c r="Y638" s="2"/>
      <c r="Z638" s="2"/>
      <c r="AA638" s="2"/>
      <c r="AB638" s="2"/>
      <c r="AC638" s="2"/>
      <c r="AD638" s="2"/>
    </row>
    <row r="639" spans="1:30" ht="13">
      <c r="A639" s="3"/>
      <c r="B639" s="2"/>
      <c r="C639" s="2"/>
      <c r="D639" s="3"/>
      <c r="E639" s="3"/>
      <c r="F639" s="1"/>
      <c r="G639" s="37"/>
      <c r="H639" s="1"/>
      <c r="I639" s="2"/>
      <c r="J639" s="2"/>
      <c r="K639" s="2"/>
      <c r="L639" s="2"/>
      <c r="M639" s="2"/>
      <c r="N639" s="3"/>
      <c r="O639" s="3"/>
      <c r="P639" s="2"/>
      <c r="Q639" s="2"/>
      <c r="R639" s="2"/>
      <c r="S639" s="2"/>
      <c r="T639" s="2"/>
      <c r="U639" s="2"/>
      <c r="V639" s="2"/>
      <c r="W639" s="2"/>
      <c r="X639" s="2"/>
      <c r="Y639" s="2"/>
      <c r="Z639" s="2"/>
      <c r="AA639" s="2"/>
      <c r="AB639" s="2"/>
      <c r="AC639" s="2"/>
      <c r="AD639" s="2"/>
    </row>
    <row r="640" spans="1:30" ht="13">
      <c r="A640" s="3"/>
      <c r="B640" s="2"/>
      <c r="C640" s="2"/>
      <c r="D640" s="3"/>
      <c r="E640" s="3"/>
      <c r="F640" s="1"/>
      <c r="G640" s="37"/>
      <c r="H640" s="1"/>
      <c r="I640" s="2"/>
      <c r="J640" s="2"/>
      <c r="K640" s="2"/>
      <c r="L640" s="2"/>
      <c r="M640" s="2"/>
      <c r="N640" s="3"/>
      <c r="O640" s="3"/>
      <c r="P640" s="2"/>
      <c r="Q640" s="2"/>
      <c r="R640" s="2"/>
      <c r="S640" s="2"/>
      <c r="T640" s="2"/>
      <c r="U640" s="2"/>
      <c r="V640" s="2"/>
      <c r="W640" s="2"/>
      <c r="X640" s="2"/>
      <c r="Y640" s="2"/>
      <c r="Z640" s="2"/>
      <c r="AA640" s="2"/>
      <c r="AB640" s="2"/>
      <c r="AC640" s="2"/>
      <c r="AD640" s="2"/>
    </row>
    <row r="641" spans="1:30" ht="13">
      <c r="A641" s="3"/>
      <c r="B641" s="2"/>
      <c r="C641" s="2"/>
      <c r="D641" s="3"/>
      <c r="E641" s="3"/>
      <c r="F641" s="1"/>
      <c r="G641" s="37"/>
      <c r="H641" s="1"/>
      <c r="I641" s="2"/>
      <c r="J641" s="2"/>
      <c r="K641" s="2"/>
      <c r="L641" s="2"/>
      <c r="M641" s="2"/>
      <c r="N641" s="3"/>
      <c r="O641" s="3"/>
      <c r="P641" s="2"/>
      <c r="Q641" s="2"/>
      <c r="R641" s="2"/>
      <c r="S641" s="2"/>
      <c r="T641" s="2"/>
      <c r="U641" s="2"/>
      <c r="V641" s="2"/>
      <c r="W641" s="2"/>
      <c r="X641" s="2"/>
      <c r="Y641" s="2"/>
      <c r="Z641" s="2"/>
      <c r="AA641" s="2"/>
      <c r="AB641" s="2"/>
      <c r="AC641" s="2"/>
      <c r="AD641" s="2"/>
    </row>
    <row r="642" spans="1:30" ht="13">
      <c r="A642" s="3"/>
      <c r="B642" s="2"/>
      <c r="C642" s="2"/>
      <c r="D642" s="3"/>
      <c r="E642" s="3"/>
      <c r="F642" s="1"/>
      <c r="G642" s="37"/>
      <c r="H642" s="1"/>
      <c r="I642" s="2"/>
      <c r="J642" s="2"/>
      <c r="K642" s="2"/>
      <c r="L642" s="2"/>
      <c r="M642" s="2"/>
      <c r="N642" s="3"/>
      <c r="O642" s="3"/>
      <c r="P642" s="2"/>
      <c r="Q642" s="2"/>
      <c r="R642" s="2"/>
      <c r="S642" s="2"/>
      <c r="T642" s="2"/>
      <c r="U642" s="2"/>
      <c r="V642" s="2"/>
      <c r="W642" s="2"/>
      <c r="X642" s="2"/>
      <c r="Y642" s="2"/>
      <c r="Z642" s="2"/>
      <c r="AA642" s="2"/>
      <c r="AB642" s="2"/>
      <c r="AC642" s="2"/>
      <c r="AD642" s="2"/>
    </row>
    <row r="643" spans="1:30" ht="13">
      <c r="A643" s="3"/>
      <c r="B643" s="2"/>
      <c r="C643" s="2"/>
      <c r="D643" s="3"/>
      <c r="E643" s="3"/>
      <c r="F643" s="1"/>
      <c r="G643" s="37"/>
      <c r="H643" s="1"/>
      <c r="I643" s="2"/>
      <c r="J643" s="2"/>
      <c r="K643" s="2"/>
      <c r="L643" s="2"/>
      <c r="M643" s="2"/>
      <c r="N643" s="3"/>
      <c r="O643" s="3"/>
      <c r="P643" s="2"/>
      <c r="Q643" s="2"/>
      <c r="R643" s="2"/>
      <c r="S643" s="2"/>
      <c r="T643" s="2"/>
      <c r="U643" s="2"/>
      <c r="V643" s="2"/>
      <c r="W643" s="2"/>
      <c r="X643" s="2"/>
      <c r="Y643" s="2"/>
      <c r="Z643" s="2"/>
      <c r="AA643" s="2"/>
      <c r="AB643" s="2"/>
      <c r="AC643" s="2"/>
      <c r="AD643" s="2"/>
    </row>
    <row r="644" spans="1:30" ht="13">
      <c r="A644" s="3"/>
      <c r="B644" s="2"/>
      <c r="C644" s="2"/>
      <c r="D644" s="3"/>
      <c r="E644" s="3"/>
      <c r="F644" s="1"/>
      <c r="G644" s="37"/>
      <c r="H644" s="1"/>
      <c r="I644" s="2"/>
      <c r="J644" s="2"/>
      <c r="K644" s="2"/>
      <c r="L644" s="2"/>
      <c r="M644" s="2"/>
      <c r="N644" s="3"/>
      <c r="O644" s="3"/>
      <c r="P644" s="2"/>
      <c r="Q644" s="2"/>
      <c r="R644" s="2"/>
      <c r="S644" s="2"/>
      <c r="T644" s="2"/>
      <c r="U644" s="2"/>
      <c r="V644" s="2"/>
      <c r="W644" s="2"/>
      <c r="X644" s="2"/>
      <c r="Y644" s="2"/>
      <c r="Z644" s="2"/>
      <c r="AA644" s="2"/>
      <c r="AB644" s="2"/>
      <c r="AC644" s="2"/>
      <c r="AD644" s="2"/>
    </row>
    <row r="645" spans="1:30" ht="13">
      <c r="A645" s="3"/>
      <c r="B645" s="2"/>
      <c r="C645" s="2"/>
      <c r="D645" s="3"/>
      <c r="E645" s="3"/>
      <c r="F645" s="1"/>
      <c r="G645" s="37"/>
      <c r="H645" s="1"/>
      <c r="I645" s="2"/>
      <c r="J645" s="2"/>
      <c r="K645" s="2"/>
      <c r="L645" s="2"/>
      <c r="M645" s="2"/>
      <c r="N645" s="3"/>
      <c r="O645" s="3"/>
      <c r="P645" s="2"/>
      <c r="Q645" s="2"/>
      <c r="R645" s="2"/>
      <c r="S645" s="2"/>
      <c r="T645" s="2"/>
      <c r="U645" s="2"/>
      <c r="V645" s="2"/>
      <c r="W645" s="2"/>
      <c r="X645" s="2"/>
      <c r="Y645" s="2"/>
      <c r="Z645" s="2"/>
      <c r="AA645" s="2"/>
      <c r="AB645" s="2"/>
      <c r="AC645" s="2"/>
      <c r="AD645" s="2"/>
    </row>
    <row r="646" spans="1:30" ht="13">
      <c r="A646" s="3"/>
      <c r="B646" s="2"/>
      <c r="C646" s="2"/>
      <c r="D646" s="3"/>
      <c r="E646" s="3"/>
      <c r="F646" s="1"/>
      <c r="G646" s="37"/>
      <c r="H646" s="1"/>
      <c r="I646" s="2"/>
      <c r="J646" s="2"/>
      <c r="K646" s="2"/>
      <c r="L646" s="2"/>
      <c r="M646" s="2"/>
      <c r="N646" s="3"/>
      <c r="O646" s="3"/>
      <c r="P646" s="2"/>
      <c r="Q646" s="2"/>
      <c r="R646" s="2"/>
      <c r="S646" s="2"/>
      <c r="T646" s="2"/>
      <c r="U646" s="2"/>
      <c r="V646" s="2"/>
      <c r="W646" s="2"/>
      <c r="X646" s="2"/>
      <c r="Y646" s="2"/>
      <c r="Z646" s="2"/>
      <c r="AA646" s="2"/>
      <c r="AB646" s="2"/>
      <c r="AC646" s="2"/>
      <c r="AD646" s="2"/>
    </row>
    <row r="647" spans="1:30" ht="13">
      <c r="A647" s="3"/>
      <c r="B647" s="2"/>
      <c r="C647" s="2"/>
      <c r="D647" s="3"/>
      <c r="E647" s="3"/>
      <c r="F647" s="1"/>
      <c r="G647" s="37"/>
      <c r="H647" s="1"/>
      <c r="I647" s="2"/>
      <c r="J647" s="2"/>
      <c r="K647" s="2"/>
      <c r="L647" s="2"/>
      <c r="M647" s="2"/>
      <c r="N647" s="3"/>
      <c r="O647" s="3"/>
      <c r="P647" s="2"/>
      <c r="Q647" s="2"/>
      <c r="R647" s="2"/>
      <c r="S647" s="2"/>
      <c r="T647" s="2"/>
      <c r="U647" s="2"/>
      <c r="V647" s="2"/>
      <c r="W647" s="2"/>
      <c r="X647" s="2"/>
      <c r="Y647" s="2"/>
      <c r="Z647" s="2"/>
      <c r="AA647" s="2"/>
      <c r="AB647" s="2"/>
      <c r="AC647" s="2"/>
      <c r="AD647" s="2"/>
    </row>
    <row r="648" spans="1:30" ht="13">
      <c r="A648" s="3"/>
      <c r="B648" s="2"/>
      <c r="C648" s="2"/>
      <c r="D648" s="3"/>
      <c r="E648" s="3"/>
      <c r="F648" s="1"/>
      <c r="G648" s="37"/>
      <c r="H648" s="1"/>
      <c r="I648" s="2"/>
      <c r="J648" s="2"/>
      <c r="K648" s="2"/>
      <c r="L648" s="2"/>
      <c r="M648" s="2"/>
      <c r="N648" s="3"/>
      <c r="O648" s="3"/>
      <c r="P648" s="2"/>
      <c r="Q648" s="2"/>
      <c r="R648" s="2"/>
      <c r="S648" s="2"/>
      <c r="T648" s="2"/>
      <c r="U648" s="2"/>
      <c r="V648" s="2"/>
      <c r="W648" s="2"/>
      <c r="X648" s="2"/>
      <c r="Y648" s="2"/>
      <c r="Z648" s="2"/>
      <c r="AA648" s="2"/>
      <c r="AB648" s="2"/>
      <c r="AC648" s="2"/>
      <c r="AD648" s="2"/>
    </row>
    <row r="649" spans="1:30" ht="13">
      <c r="A649" s="3"/>
      <c r="B649" s="2"/>
      <c r="C649" s="2"/>
      <c r="D649" s="3"/>
      <c r="E649" s="3"/>
      <c r="F649" s="1"/>
      <c r="G649" s="37"/>
      <c r="H649" s="1"/>
      <c r="I649" s="2"/>
      <c r="J649" s="2"/>
      <c r="K649" s="2"/>
      <c r="L649" s="2"/>
      <c r="M649" s="2"/>
      <c r="N649" s="3"/>
      <c r="O649" s="3"/>
      <c r="P649" s="2"/>
      <c r="Q649" s="2"/>
      <c r="R649" s="2"/>
      <c r="S649" s="2"/>
      <c r="T649" s="2"/>
      <c r="U649" s="2"/>
      <c r="V649" s="2"/>
      <c r="W649" s="2"/>
      <c r="X649" s="2"/>
      <c r="Y649" s="2"/>
      <c r="Z649" s="2"/>
      <c r="AA649" s="2"/>
      <c r="AB649" s="2"/>
      <c r="AC649" s="2"/>
      <c r="AD649" s="2"/>
    </row>
    <row r="650" spans="1:30" ht="13">
      <c r="A650" s="3"/>
      <c r="B650" s="2"/>
      <c r="C650" s="2"/>
      <c r="D650" s="3"/>
      <c r="E650" s="3"/>
      <c r="F650" s="1"/>
      <c r="G650" s="37"/>
      <c r="H650" s="1"/>
      <c r="I650" s="2"/>
      <c r="J650" s="2"/>
      <c r="K650" s="2"/>
      <c r="L650" s="2"/>
      <c r="M650" s="2"/>
      <c r="N650" s="3"/>
      <c r="O650" s="3"/>
      <c r="P650" s="2"/>
      <c r="Q650" s="2"/>
      <c r="R650" s="2"/>
      <c r="S650" s="2"/>
      <c r="T650" s="2"/>
      <c r="U650" s="2"/>
      <c r="V650" s="2"/>
      <c r="W650" s="2"/>
      <c r="X650" s="2"/>
      <c r="Y650" s="2"/>
      <c r="Z650" s="2"/>
      <c r="AA650" s="2"/>
      <c r="AB650" s="2"/>
      <c r="AC650" s="2"/>
      <c r="AD650" s="2"/>
    </row>
    <row r="651" spans="1:30" ht="13">
      <c r="A651" s="3"/>
      <c r="B651" s="2"/>
      <c r="C651" s="2"/>
      <c r="D651" s="3"/>
      <c r="E651" s="3"/>
      <c r="F651" s="1"/>
      <c r="G651" s="37"/>
      <c r="H651" s="1"/>
      <c r="I651" s="2"/>
      <c r="J651" s="2"/>
      <c r="K651" s="2"/>
      <c r="L651" s="2"/>
      <c r="M651" s="2"/>
      <c r="N651" s="3"/>
      <c r="O651" s="3"/>
      <c r="P651" s="2"/>
      <c r="Q651" s="2"/>
      <c r="R651" s="2"/>
      <c r="S651" s="2"/>
      <c r="T651" s="2"/>
      <c r="U651" s="2"/>
      <c r="V651" s="2"/>
      <c r="W651" s="2"/>
      <c r="X651" s="2"/>
      <c r="Y651" s="2"/>
      <c r="Z651" s="2"/>
      <c r="AA651" s="2"/>
      <c r="AB651" s="2"/>
      <c r="AC651" s="2"/>
      <c r="AD651" s="2"/>
    </row>
    <row r="652" spans="1:30" ht="13">
      <c r="A652" s="3"/>
      <c r="B652" s="2"/>
      <c r="C652" s="2"/>
      <c r="D652" s="3"/>
      <c r="E652" s="3"/>
      <c r="F652" s="1"/>
      <c r="G652" s="37"/>
      <c r="H652" s="1"/>
      <c r="I652" s="2"/>
      <c r="J652" s="2"/>
      <c r="K652" s="2"/>
      <c r="L652" s="2"/>
      <c r="M652" s="2"/>
      <c r="N652" s="3"/>
      <c r="O652" s="3"/>
      <c r="P652" s="2"/>
      <c r="Q652" s="2"/>
      <c r="R652" s="2"/>
      <c r="S652" s="2"/>
      <c r="T652" s="2"/>
      <c r="U652" s="2"/>
      <c r="V652" s="2"/>
      <c r="W652" s="2"/>
      <c r="X652" s="2"/>
      <c r="Y652" s="2"/>
      <c r="Z652" s="2"/>
      <c r="AA652" s="2"/>
      <c r="AB652" s="2"/>
      <c r="AC652" s="2"/>
      <c r="AD652" s="2"/>
    </row>
    <row r="653" spans="1:30" ht="13">
      <c r="A653" s="3"/>
      <c r="B653" s="2"/>
      <c r="C653" s="2"/>
      <c r="D653" s="3"/>
      <c r="E653" s="3"/>
      <c r="F653" s="1"/>
      <c r="G653" s="37"/>
      <c r="H653" s="1"/>
      <c r="I653" s="2"/>
      <c r="J653" s="2"/>
      <c r="K653" s="2"/>
      <c r="L653" s="2"/>
      <c r="M653" s="2"/>
      <c r="N653" s="3"/>
      <c r="O653" s="3"/>
      <c r="P653" s="2"/>
      <c r="Q653" s="2"/>
      <c r="R653" s="2"/>
      <c r="S653" s="2"/>
      <c r="T653" s="2"/>
      <c r="U653" s="2"/>
      <c r="V653" s="2"/>
      <c r="W653" s="2"/>
      <c r="X653" s="2"/>
      <c r="Y653" s="2"/>
      <c r="Z653" s="2"/>
      <c r="AA653" s="2"/>
      <c r="AB653" s="2"/>
      <c r="AC653" s="2"/>
      <c r="AD653" s="2"/>
    </row>
    <row r="654" spans="1:30" ht="13">
      <c r="A654" s="3"/>
      <c r="B654" s="2"/>
      <c r="C654" s="2"/>
      <c r="D654" s="3"/>
      <c r="E654" s="3"/>
      <c r="F654" s="1"/>
      <c r="G654" s="37"/>
      <c r="H654" s="1"/>
      <c r="I654" s="2"/>
      <c r="J654" s="2"/>
      <c r="K654" s="2"/>
      <c r="L654" s="2"/>
      <c r="M654" s="2"/>
      <c r="N654" s="3"/>
      <c r="O654" s="3"/>
      <c r="P654" s="2"/>
      <c r="Q654" s="2"/>
      <c r="R654" s="2"/>
      <c r="S654" s="2"/>
      <c r="T654" s="2"/>
      <c r="U654" s="2"/>
      <c r="V654" s="2"/>
      <c r="W654" s="2"/>
      <c r="X654" s="2"/>
      <c r="Y654" s="2"/>
      <c r="Z654" s="2"/>
      <c r="AA654" s="2"/>
      <c r="AB654" s="2"/>
      <c r="AC654" s="2"/>
      <c r="AD654" s="2"/>
    </row>
    <row r="655" spans="1:30" ht="13">
      <c r="A655" s="3"/>
      <c r="B655" s="2"/>
      <c r="C655" s="2"/>
      <c r="D655" s="3"/>
      <c r="E655" s="3"/>
      <c r="F655" s="1"/>
      <c r="G655" s="37"/>
      <c r="H655" s="1"/>
      <c r="I655" s="2"/>
      <c r="J655" s="2"/>
      <c r="K655" s="2"/>
      <c r="L655" s="2"/>
      <c r="M655" s="2"/>
      <c r="N655" s="3"/>
      <c r="O655" s="3"/>
      <c r="P655" s="2"/>
      <c r="Q655" s="2"/>
      <c r="R655" s="2"/>
      <c r="S655" s="2"/>
      <c r="T655" s="2"/>
      <c r="U655" s="2"/>
      <c r="V655" s="2"/>
      <c r="W655" s="2"/>
      <c r="X655" s="2"/>
      <c r="Y655" s="2"/>
      <c r="Z655" s="2"/>
      <c r="AA655" s="2"/>
      <c r="AB655" s="2"/>
      <c r="AC655" s="2"/>
      <c r="AD655" s="2"/>
    </row>
    <row r="656" spans="1:30" ht="13">
      <c r="A656" s="3"/>
      <c r="B656" s="2"/>
      <c r="C656" s="2"/>
      <c r="D656" s="3"/>
      <c r="E656" s="3"/>
      <c r="F656" s="1"/>
      <c r="G656" s="37"/>
      <c r="H656" s="1"/>
      <c r="I656" s="2"/>
      <c r="J656" s="2"/>
      <c r="K656" s="2"/>
      <c r="L656" s="2"/>
      <c r="M656" s="2"/>
      <c r="N656" s="3"/>
      <c r="O656" s="3"/>
      <c r="P656" s="2"/>
      <c r="Q656" s="2"/>
      <c r="R656" s="2"/>
      <c r="S656" s="2"/>
      <c r="T656" s="2"/>
      <c r="U656" s="2"/>
      <c r="V656" s="2"/>
      <c r="W656" s="2"/>
      <c r="X656" s="2"/>
      <c r="Y656" s="2"/>
      <c r="Z656" s="2"/>
      <c r="AA656" s="2"/>
      <c r="AB656" s="2"/>
      <c r="AC656" s="2"/>
      <c r="AD656" s="2"/>
    </row>
    <row r="657" spans="1:30" ht="13">
      <c r="A657" s="3"/>
      <c r="B657" s="2"/>
      <c r="C657" s="2"/>
      <c r="D657" s="3"/>
      <c r="E657" s="3"/>
      <c r="F657" s="1"/>
      <c r="G657" s="37"/>
      <c r="H657" s="1"/>
      <c r="I657" s="2"/>
      <c r="J657" s="2"/>
      <c r="K657" s="2"/>
      <c r="L657" s="2"/>
      <c r="M657" s="2"/>
      <c r="N657" s="3"/>
      <c r="O657" s="3"/>
      <c r="P657" s="2"/>
      <c r="Q657" s="2"/>
      <c r="R657" s="2"/>
      <c r="S657" s="2"/>
      <c r="T657" s="2"/>
      <c r="U657" s="2"/>
      <c r="V657" s="2"/>
      <c r="W657" s="2"/>
      <c r="X657" s="2"/>
      <c r="Y657" s="2"/>
      <c r="Z657" s="2"/>
      <c r="AA657" s="2"/>
      <c r="AB657" s="2"/>
      <c r="AC657" s="2"/>
      <c r="AD657" s="2"/>
    </row>
    <row r="658" spans="1:30" ht="13">
      <c r="A658" s="3"/>
      <c r="B658" s="2"/>
      <c r="C658" s="2"/>
      <c r="D658" s="3"/>
      <c r="E658" s="3"/>
      <c r="F658" s="1"/>
      <c r="G658" s="37"/>
      <c r="H658" s="1"/>
      <c r="I658" s="2"/>
      <c r="J658" s="2"/>
      <c r="K658" s="2"/>
      <c r="L658" s="2"/>
      <c r="M658" s="2"/>
      <c r="N658" s="3"/>
      <c r="O658" s="3"/>
      <c r="P658" s="2"/>
      <c r="Q658" s="2"/>
      <c r="R658" s="2"/>
      <c r="S658" s="2"/>
      <c r="T658" s="2"/>
      <c r="U658" s="2"/>
      <c r="V658" s="2"/>
      <c r="W658" s="2"/>
      <c r="X658" s="2"/>
      <c r="Y658" s="2"/>
      <c r="Z658" s="2"/>
      <c r="AA658" s="2"/>
      <c r="AB658" s="2"/>
      <c r="AC658" s="2"/>
      <c r="AD658" s="2"/>
    </row>
    <row r="659" spans="1:30" ht="13">
      <c r="A659" s="3"/>
      <c r="B659" s="2"/>
      <c r="C659" s="2"/>
      <c r="D659" s="3"/>
      <c r="E659" s="3"/>
      <c r="F659" s="1"/>
      <c r="G659" s="37"/>
      <c r="H659" s="1"/>
      <c r="I659" s="2"/>
      <c r="J659" s="2"/>
      <c r="K659" s="2"/>
      <c r="L659" s="2"/>
      <c r="M659" s="2"/>
      <c r="N659" s="3"/>
      <c r="O659" s="3"/>
      <c r="P659" s="2"/>
      <c r="Q659" s="2"/>
      <c r="R659" s="2"/>
      <c r="S659" s="2"/>
      <c r="T659" s="2"/>
      <c r="U659" s="2"/>
      <c r="V659" s="2"/>
      <c r="W659" s="2"/>
      <c r="X659" s="2"/>
      <c r="Y659" s="2"/>
      <c r="Z659" s="2"/>
      <c r="AA659" s="2"/>
      <c r="AB659" s="2"/>
      <c r="AC659" s="2"/>
      <c r="AD659" s="2"/>
    </row>
    <row r="660" spans="1:30" ht="13">
      <c r="A660" s="3"/>
      <c r="B660" s="2"/>
      <c r="C660" s="2"/>
      <c r="D660" s="3"/>
      <c r="E660" s="3"/>
      <c r="F660" s="1"/>
      <c r="G660" s="37"/>
      <c r="H660" s="1"/>
      <c r="I660" s="2"/>
      <c r="J660" s="2"/>
      <c r="K660" s="2"/>
      <c r="L660" s="2"/>
      <c r="M660" s="2"/>
      <c r="N660" s="3"/>
      <c r="O660" s="3"/>
      <c r="P660" s="2"/>
      <c r="Q660" s="2"/>
      <c r="R660" s="2"/>
      <c r="S660" s="2"/>
      <c r="T660" s="2"/>
      <c r="U660" s="2"/>
      <c r="V660" s="2"/>
      <c r="W660" s="2"/>
      <c r="X660" s="2"/>
      <c r="Y660" s="2"/>
      <c r="Z660" s="2"/>
      <c r="AA660" s="2"/>
      <c r="AB660" s="2"/>
      <c r="AC660" s="2"/>
      <c r="AD660" s="2"/>
    </row>
    <row r="661" spans="1:30" ht="13">
      <c r="A661" s="3"/>
      <c r="B661" s="2"/>
      <c r="C661" s="2"/>
      <c r="D661" s="3"/>
      <c r="E661" s="3"/>
      <c r="F661" s="1"/>
      <c r="G661" s="37"/>
      <c r="H661" s="1"/>
      <c r="I661" s="2"/>
      <c r="J661" s="2"/>
      <c r="K661" s="2"/>
      <c r="L661" s="2"/>
      <c r="M661" s="2"/>
      <c r="N661" s="3"/>
      <c r="O661" s="3"/>
      <c r="P661" s="2"/>
      <c r="Q661" s="2"/>
      <c r="R661" s="2"/>
      <c r="S661" s="2"/>
      <c r="T661" s="2"/>
      <c r="U661" s="2"/>
      <c r="V661" s="2"/>
      <c r="W661" s="2"/>
      <c r="X661" s="2"/>
      <c r="Y661" s="2"/>
      <c r="Z661" s="2"/>
      <c r="AA661" s="2"/>
      <c r="AB661" s="2"/>
      <c r="AC661" s="2"/>
      <c r="AD661" s="2"/>
    </row>
    <row r="662" spans="1:30" ht="13">
      <c r="A662" s="3"/>
      <c r="B662" s="2"/>
      <c r="C662" s="2"/>
      <c r="D662" s="3"/>
      <c r="E662" s="3"/>
      <c r="F662" s="1"/>
      <c r="G662" s="37"/>
      <c r="H662" s="1"/>
      <c r="I662" s="2"/>
      <c r="J662" s="2"/>
      <c r="K662" s="2"/>
      <c r="L662" s="2"/>
      <c r="M662" s="2"/>
      <c r="N662" s="3"/>
      <c r="O662" s="3"/>
      <c r="P662" s="2"/>
      <c r="Q662" s="2"/>
      <c r="R662" s="2"/>
      <c r="S662" s="2"/>
      <c r="T662" s="2"/>
      <c r="U662" s="2"/>
      <c r="V662" s="2"/>
      <c r="W662" s="2"/>
      <c r="X662" s="2"/>
      <c r="Y662" s="2"/>
      <c r="Z662" s="2"/>
      <c r="AA662" s="2"/>
      <c r="AB662" s="2"/>
      <c r="AC662" s="2"/>
      <c r="AD662" s="2"/>
    </row>
    <row r="663" spans="1:30" ht="13">
      <c r="A663" s="3"/>
      <c r="B663" s="2"/>
      <c r="C663" s="2"/>
      <c r="D663" s="3"/>
      <c r="E663" s="3"/>
      <c r="F663" s="1"/>
      <c r="G663" s="37"/>
      <c r="H663" s="1"/>
      <c r="I663" s="2"/>
      <c r="J663" s="2"/>
      <c r="K663" s="2"/>
      <c r="L663" s="2"/>
      <c r="M663" s="2"/>
      <c r="N663" s="3"/>
      <c r="O663" s="3"/>
      <c r="P663" s="2"/>
      <c r="Q663" s="2"/>
      <c r="R663" s="2"/>
      <c r="S663" s="2"/>
      <c r="T663" s="2"/>
      <c r="U663" s="2"/>
      <c r="V663" s="2"/>
      <c r="W663" s="2"/>
      <c r="X663" s="2"/>
      <c r="Y663" s="2"/>
      <c r="Z663" s="2"/>
      <c r="AA663" s="2"/>
      <c r="AB663" s="2"/>
      <c r="AC663" s="2"/>
      <c r="AD663" s="2"/>
    </row>
    <row r="664" spans="1:30" ht="13">
      <c r="A664" s="3"/>
      <c r="B664" s="2"/>
      <c r="C664" s="2"/>
      <c r="D664" s="3"/>
      <c r="E664" s="3"/>
      <c r="F664" s="1"/>
      <c r="G664" s="37"/>
      <c r="H664" s="1"/>
      <c r="I664" s="2"/>
      <c r="J664" s="2"/>
      <c r="K664" s="2"/>
      <c r="L664" s="2"/>
      <c r="M664" s="2"/>
      <c r="N664" s="3"/>
      <c r="O664" s="3"/>
      <c r="P664" s="2"/>
      <c r="Q664" s="2"/>
      <c r="R664" s="2"/>
      <c r="S664" s="2"/>
      <c r="T664" s="2"/>
      <c r="U664" s="2"/>
      <c r="V664" s="2"/>
      <c r="W664" s="2"/>
      <c r="X664" s="2"/>
      <c r="Y664" s="2"/>
      <c r="Z664" s="2"/>
      <c r="AA664" s="2"/>
      <c r="AB664" s="2"/>
      <c r="AC664" s="2"/>
      <c r="AD664" s="2"/>
    </row>
    <row r="665" spans="1:30" ht="13">
      <c r="A665" s="3"/>
      <c r="B665" s="2"/>
      <c r="C665" s="2"/>
      <c r="D665" s="3"/>
      <c r="E665" s="3"/>
      <c r="F665" s="1"/>
      <c r="G665" s="37"/>
      <c r="H665" s="1"/>
      <c r="I665" s="2"/>
      <c r="J665" s="2"/>
      <c r="K665" s="2"/>
      <c r="L665" s="2"/>
      <c r="M665" s="2"/>
      <c r="N665" s="3"/>
      <c r="O665" s="3"/>
      <c r="P665" s="2"/>
      <c r="Q665" s="2"/>
      <c r="R665" s="2"/>
      <c r="S665" s="2"/>
      <c r="T665" s="2"/>
      <c r="U665" s="2"/>
      <c r="V665" s="2"/>
      <c r="W665" s="2"/>
      <c r="X665" s="2"/>
      <c r="Y665" s="2"/>
      <c r="Z665" s="2"/>
      <c r="AA665" s="2"/>
      <c r="AB665" s="2"/>
      <c r="AC665" s="2"/>
      <c r="AD665" s="2"/>
    </row>
    <row r="666" spans="1:30" ht="13">
      <c r="A666" s="3"/>
      <c r="B666" s="2"/>
      <c r="C666" s="2"/>
      <c r="D666" s="3"/>
      <c r="E666" s="3"/>
      <c r="F666" s="1"/>
      <c r="G666" s="37"/>
      <c r="H666" s="1"/>
      <c r="I666" s="2"/>
      <c r="J666" s="2"/>
      <c r="K666" s="2"/>
      <c r="L666" s="2"/>
      <c r="M666" s="2"/>
      <c r="N666" s="3"/>
      <c r="O666" s="3"/>
      <c r="P666" s="2"/>
      <c r="Q666" s="2"/>
      <c r="R666" s="2"/>
      <c r="S666" s="2"/>
      <c r="T666" s="2"/>
      <c r="U666" s="2"/>
      <c r="V666" s="2"/>
      <c r="W666" s="2"/>
      <c r="X666" s="2"/>
      <c r="Y666" s="2"/>
      <c r="Z666" s="2"/>
      <c r="AA666" s="2"/>
      <c r="AB666" s="2"/>
      <c r="AC666" s="2"/>
      <c r="AD666" s="2"/>
    </row>
    <row r="667" spans="1:30" ht="13">
      <c r="A667" s="3"/>
      <c r="B667" s="2"/>
      <c r="C667" s="2"/>
      <c r="D667" s="3"/>
      <c r="E667" s="3"/>
      <c r="F667" s="1"/>
      <c r="G667" s="37"/>
      <c r="H667" s="1"/>
      <c r="I667" s="2"/>
      <c r="J667" s="2"/>
      <c r="K667" s="2"/>
      <c r="L667" s="2"/>
      <c r="M667" s="2"/>
      <c r="N667" s="3"/>
      <c r="O667" s="3"/>
      <c r="P667" s="2"/>
      <c r="Q667" s="2"/>
      <c r="R667" s="2"/>
      <c r="S667" s="2"/>
      <c r="T667" s="2"/>
      <c r="U667" s="2"/>
      <c r="V667" s="2"/>
      <c r="W667" s="2"/>
      <c r="X667" s="2"/>
      <c r="Y667" s="2"/>
      <c r="Z667" s="2"/>
      <c r="AA667" s="2"/>
      <c r="AB667" s="2"/>
      <c r="AC667" s="2"/>
      <c r="AD667" s="2"/>
    </row>
    <row r="668" spans="1:30" ht="13">
      <c r="A668" s="3"/>
      <c r="B668" s="2"/>
      <c r="C668" s="2"/>
      <c r="D668" s="3"/>
      <c r="E668" s="3"/>
      <c r="F668" s="1"/>
      <c r="G668" s="37"/>
      <c r="H668" s="1"/>
      <c r="I668" s="2"/>
      <c r="J668" s="2"/>
      <c r="K668" s="2"/>
      <c r="L668" s="2"/>
      <c r="M668" s="2"/>
      <c r="N668" s="3"/>
      <c r="O668" s="3"/>
      <c r="P668" s="2"/>
      <c r="Q668" s="2"/>
      <c r="R668" s="2"/>
      <c r="S668" s="2"/>
      <c r="T668" s="2"/>
      <c r="U668" s="2"/>
      <c r="V668" s="2"/>
      <c r="W668" s="2"/>
      <c r="X668" s="2"/>
      <c r="Y668" s="2"/>
      <c r="Z668" s="2"/>
      <c r="AA668" s="2"/>
      <c r="AB668" s="2"/>
      <c r="AC668" s="2"/>
      <c r="AD668" s="2"/>
    </row>
    <row r="669" spans="1:30" ht="13">
      <c r="A669" s="3"/>
      <c r="B669" s="2"/>
      <c r="C669" s="2"/>
      <c r="D669" s="3"/>
      <c r="E669" s="3"/>
      <c r="F669" s="1"/>
      <c r="G669" s="37"/>
      <c r="H669" s="1"/>
      <c r="I669" s="2"/>
      <c r="J669" s="2"/>
      <c r="K669" s="2"/>
      <c r="L669" s="2"/>
      <c r="M669" s="2"/>
      <c r="N669" s="3"/>
      <c r="O669" s="3"/>
      <c r="P669" s="2"/>
      <c r="Q669" s="2"/>
      <c r="R669" s="2"/>
      <c r="S669" s="2"/>
      <c r="T669" s="2"/>
      <c r="U669" s="2"/>
      <c r="V669" s="2"/>
      <c r="W669" s="2"/>
      <c r="X669" s="2"/>
      <c r="Y669" s="2"/>
      <c r="Z669" s="2"/>
      <c r="AA669" s="2"/>
      <c r="AB669" s="2"/>
      <c r="AC669" s="2"/>
      <c r="AD669" s="2"/>
    </row>
    <row r="670" spans="1:30" ht="13">
      <c r="A670" s="3"/>
      <c r="B670" s="2"/>
      <c r="C670" s="2"/>
      <c r="D670" s="3"/>
      <c r="E670" s="3"/>
      <c r="F670" s="1"/>
      <c r="G670" s="37"/>
      <c r="H670" s="1"/>
      <c r="I670" s="2"/>
      <c r="J670" s="2"/>
      <c r="K670" s="2"/>
      <c r="L670" s="2"/>
      <c r="M670" s="2"/>
      <c r="N670" s="3"/>
      <c r="O670" s="3"/>
      <c r="P670" s="2"/>
      <c r="Q670" s="2"/>
      <c r="R670" s="2"/>
      <c r="S670" s="2"/>
      <c r="T670" s="2"/>
      <c r="U670" s="2"/>
      <c r="V670" s="2"/>
      <c r="W670" s="2"/>
      <c r="X670" s="2"/>
      <c r="Y670" s="2"/>
      <c r="Z670" s="2"/>
      <c r="AA670" s="2"/>
      <c r="AB670" s="2"/>
      <c r="AC670" s="2"/>
      <c r="AD670" s="2"/>
    </row>
    <row r="671" spans="1:30" ht="13">
      <c r="A671" s="3"/>
      <c r="B671" s="2"/>
      <c r="C671" s="2"/>
      <c r="D671" s="3"/>
      <c r="E671" s="3"/>
      <c r="F671" s="1"/>
      <c r="G671" s="37"/>
      <c r="H671" s="1"/>
      <c r="I671" s="2"/>
      <c r="J671" s="2"/>
      <c r="K671" s="2"/>
      <c r="L671" s="2"/>
      <c r="M671" s="2"/>
      <c r="N671" s="3"/>
      <c r="O671" s="3"/>
      <c r="P671" s="2"/>
      <c r="Q671" s="2"/>
      <c r="R671" s="2"/>
      <c r="S671" s="2"/>
      <c r="T671" s="2"/>
      <c r="U671" s="2"/>
      <c r="V671" s="2"/>
      <c r="W671" s="2"/>
      <c r="X671" s="2"/>
      <c r="Y671" s="2"/>
      <c r="Z671" s="2"/>
      <c r="AA671" s="2"/>
      <c r="AB671" s="2"/>
      <c r="AC671" s="2"/>
      <c r="AD671" s="2"/>
    </row>
    <row r="672" spans="1:30" ht="13">
      <c r="A672" s="3"/>
      <c r="B672" s="2"/>
      <c r="C672" s="2"/>
      <c r="D672" s="3"/>
      <c r="E672" s="3"/>
      <c r="F672" s="1"/>
      <c r="G672" s="37"/>
      <c r="H672" s="1"/>
      <c r="I672" s="2"/>
      <c r="J672" s="2"/>
      <c r="K672" s="2"/>
      <c r="L672" s="2"/>
      <c r="M672" s="2"/>
      <c r="N672" s="3"/>
      <c r="O672" s="3"/>
      <c r="P672" s="2"/>
      <c r="Q672" s="2"/>
      <c r="R672" s="2"/>
      <c r="S672" s="2"/>
      <c r="T672" s="2"/>
      <c r="U672" s="2"/>
      <c r="V672" s="2"/>
      <c r="W672" s="2"/>
      <c r="X672" s="2"/>
      <c r="Y672" s="2"/>
      <c r="Z672" s="2"/>
      <c r="AA672" s="2"/>
      <c r="AB672" s="2"/>
      <c r="AC672" s="2"/>
      <c r="AD672" s="2"/>
    </row>
    <row r="673" spans="1:30" ht="13">
      <c r="A673" s="3"/>
      <c r="B673" s="2"/>
      <c r="C673" s="2"/>
      <c r="D673" s="3"/>
      <c r="E673" s="3"/>
      <c r="F673" s="1"/>
      <c r="G673" s="37"/>
      <c r="H673" s="1"/>
      <c r="I673" s="2"/>
      <c r="J673" s="2"/>
      <c r="K673" s="2"/>
      <c r="L673" s="2"/>
      <c r="M673" s="2"/>
      <c r="N673" s="3"/>
      <c r="O673" s="3"/>
      <c r="P673" s="2"/>
      <c r="Q673" s="2"/>
      <c r="R673" s="2"/>
      <c r="S673" s="2"/>
      <c r="T673" s="2"/>
      <c r="U673" s="2"/>
      <c r="V673" s="2"/>
      <c r="W673" s="2"/>
      <c r="X673" s="2"/>
      <c r="Y673" s="2"/>
      <c r="Z673" s="2"/>
      <c r="AA673" s="2"/>
      <c r="AB673" s="2"/>
      <c r="AC673" s="2"/>
      <c r="AD673" s="2"/>
    </row>
    <row r="674" spans="1:30" ht="13">
      <c r="A674" s="3"/>
      <c r="B674" s="2"/>
      <c r="C674" s="2"/>
      <c r="D674" s="3"/>
      <c r="E674" s="3"/>
      <c r="F674" s="1"/>
      <c r="G674" s="37"/>
      <c r="H674" s="1"/>
      <c r="I674" s="2"/>
      <c r="J674" s="2"/>
      <c r="K674" s="2"/>
      <c r="L674" s="2"/>
      <c r="M674" s="2"/>
      <c r="N674" s="3"/>
      <c r="O674" s="3"/>
      <c r="P674" s="2"/>
      <c r="Q674" s="2"/>
      <c r="R674" s="2"/>
      <c r="S674" s="2"/>
      <c r="T674" s="2"/>
      <c r="U674" s="2"/>
      <c r="V674" s="2"/>
      <c r="W674" s="2"/>
      <c r="X674" s="2"/>
      <c r="Y674" s="2"/>
      <c r="Z674" s="2"/>
      <c r="AA674" s="2"/>
      <c r="AB674" s="2"/>
      <c r="AC674" s="2"/>
      <c r="AD674" s="2"/>
    </row>
    <row r="675" spans="1:30" ht="13">
      <c r="A675" s="3"/>
      <c r="B675" s="2"/>
      <c r="C675" s="2"/>
      <c r="D675" s="3"/>
      <c r="E675" s="3"/>
      <c r="F675" s="1"/>
      <c r="G675" s="37"/>
      <c r="H675" s="1"/>
      <c r="I675" s="2"/>
      <c r="J675" s="2"/>
      <c r="K675" s="2"/>
      <c r="L675" s="2"/>
      <c r="M675" s="2"/>
      <c r="N675" s="3"/>
      <c r="O675" s="3"/>
      <c r="P675" s="2"/>
      <c r="Q675" s="2"/>
      <c r="R675" s="2"/>
      <c r="S675" s="2"/>
      <c r="T675" s="2"/>
      <c r="U675" s="2"/>
      <c r="V675" s="2"/>
      <c r="W675" s="2"/>
      <c r="X675" s="2"/>
      <c r="Y675" s="2"/>
      <c r="Z675" s="2"/>
      <c r="AA675" s="2"/>
      <c r="AB675" s="2"/>
      <c r="AC675" s="2"/>
      <c r="AD675" s="2"/>
    </row>
    <row r="676" spans="1:30" ht="13">
      <c r="A676" s="3"/>
      <c r="B676" s="2"/>
      <c r="C676" s="2"/>
      <c r="D676" s="3"/>
      <c r="E676" s="3"/>
      <c r="F676" s="1"/>
      <c r="G676" s="37"/>
      <c r="H676" s="1"/>
      <c r="I676" s="2"/>
      <c r="J676" s="2"/>
      <c r="K676" s="2"/>
      <c r="L676" s="2"/>
      <c r="M676" s="2"/>
      <c r="N676" s="3"/>
      <c r="O676" s="3"/>
      <c r="P676" s="2"/>
      <c r="Q676" s="2"/>
      <c r="R676" s="2"/>
      <c r="S676" s="2"/>
      <c r="T676" s="2"/>
      <c r="U676" s="2"/>
      <c r="V676" s="2"/>
      <c r="W676" s="2"/>
      <c r="X676" s="2"/>
      <c r="Y676" s="2"/>
      <c r="Z676" s="2"/>
      <c r="AA676" s="2"/>
      <c r="AB676" s="2"/>
      <c r="AC676" s="2"/>
      <c r="AD676" s="2"/>
    </row>
    <row r="677" spans="1:30" ht="13">
      <c r="A677" s="3"/>
      <c r="B677" s="2"/>
      <c r="C677" s="2"/>
      <c r="D677" s="3"/>
      <c r="E677" s="3"/>
      <c r="F677" s="1"/>
      <c r="G677" s="37"/>
      <c r="H677" s="1"/>
      <c r="I677" s="2"/>
      <c r="J677" s="2"/>
      <c r="K677" s="2"/>
      <c r="L677" s="2"/>
      <c r="M677" s="2"/>
      <c r="N677" s="3"/>
      <c r="O677" s="3"/>
      <c r="P677" s="2"/>
      <c r="Q677" s="2"/>
      <c r="R677" s="2"/>
      <c r="S677" s="2"/>
      <c r="T677" s="2"/>
      <c r="U677" s="2"/>
      <c r="V677" s="2"/>
      <c r="W677" s="2"/>
      <c r="X677" s="2"/>
      <c r="Y677" s="2"/>
      <c r="Z677" s="2"/>
      <c r="AA677" s="2"/>
      <c r="AB677" s="2"/>
      <c r="AC677" s="2"/>
      <c r="AD677" s="2"/>
    </row>
    <row r="678" spans="1:30" ht="13">
      <c r="A678" s="3"/>
      <c r="B678" s="2"/>
      <c r="C678" s="2"/>
      <c r="D678" s="3"/>
      <c r="E678" s="3"/>
      <c r="F678" s="1"/>
      <c r="G678" s="37"/>
      <c r="H678" s="1"/>
      <c r="I678" s="2"/>
      <c r="J678" s="2"/>
      <c r="K678" s="2"/>
      <c r="L678" s="2"/>
      <c r="M678" s="2"/>
      <c r="N678" s="3"/>
      <c r="O678" s="3"/>
      <c r="P678" s="2"/>
      <c r="Q678" s="2"/>
      <c r="R678" s="2"/>
      <c r="S678" s="2"/>
      <c r="T678" s="2"/>
      <c r="U678" s="2"/>
      <c r="V678" s="2"/>
      <c r="W678" s="2"/>
      <c r="X678" s="2"/>
      <c r="Y678" s="2"/>
      <c r="Z678" s="2"/>
      <c r="AA678" s="2"/>
      <c r="AB678" s="2"/>
      <c r="AC678" s="2"/>
      <c r="AD678" s="2"/>
    </row>
    <row r="679" spans="1:30" ht="13">
      <c r="A679" s="3"/>
      <c r="B679" s="2"/>
      <c r="C679" s="2"/>
      <c r="D679" s="3"/>
      <c r="E679" s="3"/>
      <c r="F679" s="1"/>
      <c r="G679" s="37"/>
      <c r="H679" s="1"/>
      <c r="I679" s="2"/>
      <c r="J679" s="2"/>
      <c r="K679" s="2"/>
      <c r="L679" s="2"/>
      <c r="M679" s="2"/>
      <c r="N679" s="3"/>
      <c r="O679" s="3"/>
      <c r="P679" s="2"/>
      <c r="Q679" s="2"/>
      <c r="R679" s="2"/>
      <c r="S679" s="2"/>
      <c r="T679" s="2"/>
      <c r="U679" s="2"/>
      <c r="V679" s="2"/>
      <c r="W679" s="2"/>
      <c r="X679" s="2"/>
      <c r="Y679" s="2"/>
      <c r="Z679" s="2"/>
      <c r="AA679" s="2"/>
      <c r="AB679" s="2"/>
      <c r="AC679" s="2"/>
      <c r="AD679" s="2"/>
    </row>
    <row r="680" spans="1:30" ht="13">
      <c r="A680" s="3"/>
      <c r="B680" s="2"/>
      <c r="C680" s="2"/>
      <c r="D680" s="3"/>
      <c r="E680" s="3"/>
      <c r="F680" s="1"/>
      <c r="G680" s="37"/>
      <c r="H680" s="1"/>
      <c r="I680" s="2"/>
      <c r="J680" s="2"/>
      <c r="K680" s="2"/>
      <c r="L680" s="2"/>
      <c r="M680" s="2"/>
      <c r="N680" s="3"/>
      <c r="O680" s="3"/>
      <c r="P680" s="2"/>
      <c r="Q680" s="2"/>
      <c r="R680" s="2"/>
      <c r="S680" s="2"/>
      <c r="T680" s="2"/>
      <c r="U680" s="2"/>
      <c r="V680" s="2"/>
      <c r="W680" s="2"/>
      <c r="X680" s="2"/>
      <c r="Y680" s="2"/>
      <c r="Z680" s="2"/>
      <c r="AA680" s="2"/>
      <c r="AB680" s="2"/>
      <c r="AC680" s="2"/>
      <c r="AD680" s="2"/>
    </row>
    <row r="681" spans="1:30" ht="13">
      <c r="A681" s="3"/>
      <c r="B681" s="2"/>
      <c r="C681" s="2"/>
      <c r="D681" s="3"/>
      <c r="E681" s="3"/>
      <c r="F681" s="1"/>
      <c r="G681" s="37"/>
      <c r="H681" s="1"/>
      <c r="I681" s="2"/>
      <c r="J681" s="2"/>
      <c r="K681" s="2"/>
      <c r="L681" s="2"/>
      <c r="M681" s="2"/>
      <c r="N681" s="3"/>
      <c r="O681" s="3"/>
      <c r="P681" s="2"/>
      <c r="Q681" s="2"/>
      <c r="R681" s="2"/>
      <c r="S681" s="2"/>
      <c r="T681" s="2"/>
      <c r="U681" s="2"/>
      <c r="V681" s="2"/>
      <c r="W681" s="2"/>
      <c r="X681" s="2"/>
      <c r="Y681" s="2"/>
      <c r="Z681" s="2"/>
      <c r="AA681" s="2"/>
      <c r="AB681" s="2"/>
      <c r="AC681" s="2"/>
      <c r="AD681" s="2"/>
    </row>
    <row r="682" spans="1:30" ht="13">
      <c r="A682" s="3"/>
      <c r="B682" s="2"/>
      <c r="C682" s="2"/>
      <c r="D682" s="3"/>
      <c r="E682" s="3"/>
      <c r="F682" s="1"/>
      <c r="G682" s="37"/>
      <c r="H682" s="1"/>
      <c r="I682" s="2"/>
      <c r="J682" s="2"/>
      <c r="K682" s="2"/>
      <c r="L682" s="2"/>
      <c r="M682" s="2"/>
      <c r="N682" s="3"/>
      <c r="O682" s="3"/>
      <c r="P682" s="2"/>
      <c r="Q682" s="2"/>
      <c r="R682" s="2"/>
      <c r="S682" s="2"/>
      <c r="T682" s="2"/>
      <c r="U682" s="2"/>
      <c r="V682" s="2"/>
      <c r="W682" s="2"/>
      <c r="X682" s="2"/>
      <c r="Y682" s="2"/>
      <c r="Z682" s="2"/>
      <c r="AA682" s="2"/>
      <c r="AB682" s="2"/>
      <c r="AC682" s="2"/>
      <c r="AD682" s="2"/>
    </row>
    <row r="683" spans="1:30" ht="13">
      <c r="A683" s="3"/>
      <c r="B683" s="2"/>
      <c r="C683" s="2"/>
      <c r="D683" s="3"/>
      <c r="E683" s="3"/>
      <c r="F683" s="1"/>
      <c r="G683" s="37"/>
      <c r="H683" s="1"/>
      <c r="I683" s="2"/>
      <c r="J683" s="2"/>
      <c r="K683" s="2"/>
      <c r="L683" s="2"/>
      <c r="M683" s="2"/>
      <c r="N683" s="3"/>
      <c r="O683" s="3"/>
      <c r="P683" s="2"/>
      <c r="Q683" s="2"/>
      <c r="R683" s="2"/>
      <c r="S683" s="2"/>
      <c r="T683" s="2"/>
      <c r="U683" s="2"/>
      <c r="V683" s="2"/>
      <c r="W683" s="2"/>
      <c r="X683" s="2"/>
      <c r="Y683" s="2"/>
      <c r="Z683" s="2"/>
      <c r="AA683" s="2"/>
      <c r="AB683" s="2"/>
      <c r="AC683" s="2"/>
      <c r="AD683" s="2"/>
    </row>
    <row r="684" spans="1:30" ht="13">
      <c r="A684" s="3"/>
      <c r="B684" s="2"/>
      <c r="C684" s="2"/>
      <c r="D684" s="3"/>
      <c r="E684" s="3"/>
      <c r="F684" s="1"/>
      <c r="G684" s="37"/>
      <c r="H684" s="1"/>
      <c r="I684" s="2"/>
      <c r="J684" s="2"/>
      <c r="K684" s="2"/>
      <c r="L684" s="2"/>
      <c r="M684" s="2"/>
      <c r="N684" s="3"/>
      <c r="O684" s="3"/>
      <c r="P684" s="2"/>
      <c r="Q684" s="2"/>
      <c r="R684" s="2"/>
      <c r="S684" s="2"/>
      <c r="T684" s="2"/>
      <c r="U684" s="2"/>
      <c r="V684" s="2"/>
      <c r="W684" s="2"/>
      <c r="X684" s="2"/>
      <c r="Y684" s="2"/>
      <c r="Z684" s="2"/>
      <c r="AA684" s="2"/>
      <c r="AB684" s="2"/>
      <c r="AC684" s="2"/>
      <c r="AD684" s="2"/>
    </row>
    <row r="685" spans="1:30" ht="13">
      <c r="A685" s="3"/>
      <c r="B685" s="2"/>
      <c r="C685" s="2"/>
      <c r="D685" s="3"/>
      <c r="E685" s="3"/>
      <c r="F685" s="1"/>
      <c r="G685" s="37"/>
      <c r="H685" s="1"/>
      <c r="I685" s="2"/>
      <c r="J685" s="2"/>
      <c r="K685" s="2"/>
      <c r="L685" s="2"/>
      <c r="M685" s="2"/>
      <c r="N685" s="3"/>
      <c r="O685" s="3"/>
      <c r="P685" s="2"/>
      <c r="Q685" s="2"/>
      <c r="R685" s="2"/>
      <c r="S685" s="2"/>
      <c r="T685" s="2"/>
      <c r="U685" s="2"/>
      <c r="V685" s="2"/>
      <c r="W685" s="2"/>
      <c r="X685" s="2"/>
      <c r="Y685" s="2"/>
      <c r="Z685" s="2"/>
      <c r="AA685" s="2"/>
      <c r="AB685" s="2"/>
      <c r="AC685" s="2"/>
      <c r="AD685" s="2"/>
    </row>
    <row r="686" spans="1:30" ht="13">
      <c r="A686" s="3"/>
      <c r="B686" s="2"/>
      <c r="C686" s="2"/>
      <c r="D686" s="3"/>
      <c r="E686" s="3"/>
      <c r="F686" s="1"/>
      <c r="G686" s="37"/>
      <c r="H686" s="1"/>
      <c r="I686" s="2"/>
      <c r="J686" s="2"/>
      <c r="K686" s="2"/>
      <c r="L686" s="2"/>
      <c r="M686" s="2"/>
      <c r="N686" s="3"/>
      <c r="O686" s="3"/>
      <c r="P686" s="2"/>
      <c r="Q686" s="2"/>
      <c r="R686" s="2"/>
      <c r="S686" s="2"/>
      <c r="T686" s="2"/>
      <c r="U686" s="2"/>
      <c r="V686" s="2"/>
      <c r="W686" s="2"/>
      <c r="X686" s="2"/>
      <c r="Y686" s="2"/>
      <c r="Z686" s="2"/>
      <c r="AA686" s="2"/>
      <c r="AB686" s="2"/>
      <c r="AC686" s="2"/>
      <c r="AD686" s="2"/>
    </row>
    <row r="687" spans="1:30" ht="13">
      <c r="A687" s="3"/>
      <c r="B687" s="2"/>
      <c r="C687" s="2"/>
      <c r="D687" s="3"/>
      <c r="E687" s="3"/>
      <c r="F687" s="1"/>
      <c r="G687" s="37"/>
      <c r="H687" s="1"/>
      <c r="I687" s="2"/>
      <c r="J687" s="2"/>
      <c r="K687" s="2"/>
      <c r="L687" s="2"/>
      <c r="M687" s="2"/>
      <c r="N687" s="3"/>
      <c r="O687" s="3"/>
      <c r="P687" s="2"/>
      <c r="Q687" s="2"/>
      <c r="R687" s="2"/>
      <c r="S687" s="2"/>
      <c r="T687" s="2"/>
      <c r="U687" s="2"/>
      <c r="V687" s="2"/>
      <c r="W687" s="2"/>
      <c r="X687" s="2"/>
      <c r="Y687" s="2"/>
      <c r="Z687" s="2"/>
      <c r="AA687" s="2"/>
      <c r="AB687" s="2"/>
      <c r="AC687" s="2"/>
      <c r="AD687" s="2"/>
    </row>
    <row r="688" spans="1:30" ht="13">
      <c r="A688" s="3"/>
      <c r="B688" s="2"/>
      <c r="C688" s="2"/>
      <c r="D688" s="3"/>
      <c r="E688" s="3"/>
      <c r="F688" s="1"/>
      <c r="G688" s="37"/>
      <c r="H688" s="1"/>
      <c r="I688" s="2"/>
      <c r="J688" s="2"/>
      <c r="K688" s="2"/>
      <c r="L688" s="2"/>
      <c r="M688" s="2"/>
      <c r="N688" s="3"/>
      <c r="O688" s="3"/>
      <c r="P688" s="2"/>
      <c r="Q688" s="2"/>
      <c r="R688" s="2"/>
      <c r="S688" s="2"/>
      <c r="T688" s="2"/>
      <c r="U688" s="2"/>
      <c r="V688" s="2"/>
      <c r="W688" s="2"/>
      <c r="X688" s="2"/>
      <c r="Y688" s="2"/>
      <c r="Z688" s="2"/>
      <c r="AA688" s="2"/>
      <c r="AB688" s="2"/>
      <c r="AC688" s="2"/>
      <c r="AD688" s="2"/>
    </row>
    <row r="689" spans="1:30" ht="13">
      <c r="A689" s="3"/>
      <c r="B689" s="2"/>
      <c r="C689" s="2"/>
      <c r="D689" s="3"/>
      <c r="E689" s="3"/>
      <c r="F689" s="1"/>
      <c r="G689" s="37"/>
      <c r="H689" s="1"/>
      <c r="I689" s="2"/>
      <c r="J689" s="2"/>
      <c r="K689" s="2"/>
      <c r="L689" s="2"/>
      <c r="M689" s="2"/>
      <c r="N689" s="3"/>
      <c r="O689" s="3"/>
      <c r="P689" s="2"/>
      <c r="Q689" s="2"/>
      <c r="R689" s="2"/>
      <c r="S689" s="2"/>
      <c r="T689" s="2"/>
      <c r="U689" s="2"/>
      <c r="V689" s="2"/>
      <c r="W689" s="2"/>
      <c r="X689" s="2"/>
      <c r="Y689" s="2"/>
      <c r="Z689" s="2"/>
      <c r="AA689" s="2"/>
      <c r="AB689" s="2"/>
      <c r="AC689" s="2"/>
      <c r="AD689" s="2"/>
    </row>
    <row r="690" spans="1:30" ht="13">
      <c r="A690" s="3"/>
      <c r="B690" s="2"/>
      <c r="C690" s="2"/>
      <c r="D690" s="3"/>
      <c r="E690" s="3"/>
      <c r="F690" s="1"/>
      <c r="G690" s="37"/>
      <c r="H690" s="1"/>
      <c r="I690" s="2"/>
      <c r="J690" s="2"/>
      <c r="K690" s="2"/>
      <c r="L690" s="2"/>
      <c r="M690" s="2"/>
      <c r="N690" s="3"/>
      <c r="O690" s="3"/>
      <c r="P690" s="2"/>
      <c r="Q690" s="2"/>
      <c r="R690" s="2"/>
      <c r="S690" s="2"/>
      <c r="T690" s="2"/>
      <c r="U690" s="2"/>
      <c r="V690" s="2"/>
      <c r="W690" s="2"/>
      <c r="X690" s="2"/>
      <c r="Y690" s="2"/>
      <c r="Z690" s="2"/>
      <c r="AA690" s="2"/>
      <c r="AB690" s="2"/>
      <c r="AC690" s="2"/>
      <c r="AD690" s="2"/>
    </row>
    <row r="691" spans="1:30" ht="13">
      <c r="A691" s="3"/>
      <c r="B691" s="2"/>
      <c r="C691" s="2"/>
      <c r="D691" s="3"/>
      <c r="E691" s="3"/>
      <c r="F691" s="1"/>
      <c r="G691" s="37"/>
      <c r="H691" s="1"/>
      <c r="I691" s="2"/>
      <c r="J691" s="2"/>
      <c r="K691" s="2"/>
      <c r="L691" s="2"/>
      <c r="M691" s="2"/>
      <c r="N691" s="3"/>
      <c r="O691" s="3"/>
      <c r="P691" s="2"/>
      <c r="Q691" s="2"/>
      <c r="R691" s="2"/>
      <c r="S691" s="2"/>
      <c r="T691" s="2"/>
      <c r="U691" s="2"/>
      <c r="V691" s="2"/>
      <c r="W691" s="2"/>
      <c r="X691" s="2"/>
      <c r="Y691" s="2"/>
      <c r="Z691" s="2"/>
      <c r="AA691" s="2"/>
      <c r="AB691" s="2"/>
      <c r="AC691" s="2"/>
      <c r="AD691" s="2"/>
    </row>
    <row r="692" spans="1:30" ht="13">
      <c r="A692" s="3"/>
      <c r="B692" s="2"/>
      <c r="C692" s="2"/>
      <c r="D692" s="3"/>
      <c r="E692" s="3"/>
      <c r="F692" s="1"/>
      <c r="G692" s="37"/>
      <c r="H692" s="1"/>
      <c r="I692" s="2"/>
      <c r="J692" s="2"/>
      <c r="K692" s="2"/>
      <c r="L692" s="2"/>
      <c r="M692" s="2"/>
      <c r="N692" s="3"/>
      <c r="O692" s="3"/>
      <c r="P692" s="2"/>
      <c r="Q692" s="2"/>
      <c r="R692" s="2"/>
      <c r="S692" s="2"/>
      <c r="T692" s="2"/>
      <c r="U692" s="2"/>
      <c r="V692" s="2"/>
      <c r="W692" s="2"/>
      <c r="X692" s="2"/>
      <c r="Y692" s="2"/>
      <c r="Z692" s="2"/>
      <c r="AA692" s="2"/>
      <c r="AB692" s="2"/>
      <c r="AC692" s="2"/>
      <c r="AD692" s="2"/>
    </row>
    <row r="693" spans="1:30" ht="13">
      <c r="A693" s="3"/>
      <c r="B693" s="2"/>
      <c r="C693" s="2"/>
      <c r="D693" s="3"/>
      <c r="E693" s="3"/>
      <c r="F693" s="1"/>
      <c r="G693" s="37"/>
      <c r="H693" s="1"/>
      <c r="I693" s="2"/>
      <c r="J693" s="2"/>
      <c r="K693" s="2"/>
      <c r="L693" s="2"/>
      <c r="M693" s="2"/>
      <c r="N693" s="3"/>
      <c r="O693" s="3"/>
      <c r="P693" s="2"/>
      <c r="Q693" s="2"/>
      <c r="R693" s="2"/>
      <c r="S693" s="2"/>
      <c r="T693" s="2"/>
      <c r="U693" s="2"/>
      <c r="V693" s="2"/>
      <c r="W693" s="2"/>
      <c r="X693" s="2"/>
      <c r="Y693" s="2"/>
      <c r="Z693" s="2"/>
      <c r="AA693" s="2"/>
      <c r="AB693" s="2"/>
      <c r="AC693" s="2"/>
      <c r="AD693" s="2"/>
    </row>
    <row r="694" spans="1:30" ht="13">
      <c r="A694" s="3"/>
      <c r="B694" s="2"/>
      <c r="C694" s="2"/>
      <c r="D694" s="3"/>
      <c r="E694" s="3"/>
      <c r="F694" s="1"/>
      <c r="G694" s="37"/>
      <c r="H694" s="1"/>
      <c r="I694" s="2"/>
      <c r="J694" s="2"/>
      <c r="K694" s="2"/>
      <c r="L694" s="2"/>
      <c r="M694" s="2"/>
      <c r="N694" s="3"/>
      <c r="O694" s="3"/>
      <c r="P694" s="2"/>
      <c r="Q694" s="2"/>
      <c r="R694" s="2"/>
      <c r="S694" s="2"/>
      <c r="T694" s="2"/>
      <c r="U694" s="2"/>
      <c r="V694" s="2"/>
      <c r="W694" s="2"/>
      <c r="X694" s="2"/>
      <c r="Y694" s="2"/>
      <c r="Z694" s="2"/>
      <c r="AA694" s="2"/>
      <c r="AB694" s="2"/>
      <c r="AC694" s="2"/>
      <c r="AD694" s="2"/>
    </row>
    <row r="695" spans="1:30" ht="13">
      <c r="A695" s="3"/>
      <c r="B695" s="2"/>
      <c r="C695" s="2"/>
      <c r="D695" s="3"/>
      <c r="E695" s="3"/>
      <c r="F695" s="1"/>
      <c r="G695" s="37"/>
      <c r="H695" s="1"/>
      <c r="I695" s="2"/>
      <c r="J695" s="2"/>
      <c r="K695" s="2"/>
      <c r="L695" s="2"/>
      <c r="M695" s="2"/>
      <c r="N695" s="3"/>
      <c r="O695" s="3"/>
      <c r="P695" s="2"/>
      <c r="Q695" s="2"/>
      <c r="R695" s="2"/>
      <c r="S695" s="2"/>
      <c r="T695" s="2"/>
      <c r="U695" s="2"/>
      <c r="V695" s="2"/>
      <c r="W695" s="2"/>
      <c r="X695" s="2"/>
      <c r="Y695" s="2"/>
      <c r="Z695" s="2"/>
      <c r="AA695" s="2"/>
      <c r="AB695" s="2"/>
      <c r="AC695" s="2"/>
      <c r="AD695" s="2"/>
    </row>
    <row r="696" spans="1:30" ht="13">
      <c r="A696" s="3"/>
      <c r="B696" s="2"/>
      <c r="C696" s="2"/>
      <c r="D696" s="3"/>
      <c r="E696" s="3"/>
      <c r="F696" s="1"/>
      <c r="G696" s="37"/>
      <c r="H696" s="1"/>
      <c r="I696" s="2"/>
      <c r="J696" s="2"/>
      <c r="K696" s="2"/>
      <c r="L696" s="2"/>
      <c r="M696" s="2"/>
      <c r="N696" s="3"/>
      <c r="O696" s="3"/>
      <c r="P696" s="2"/>
      <c r="Q696" s="2"/>
      <c r="R696" s="2"/>
      <c r="S696" s="2"/>
      <c r="T696" s="2"/>
      <c r="U696" s="2"/>
      <c r="V696" s="2"/>
      <c r="W696" s="2"/>
      <c r="X696" s="2"/>
      <c r="Y696" s="2"/>
      <c r="Z696" s="2"/>
      <c r="AA696" s="2"/>
      <c r="AB696" s="2"/>
      <c r="AC696" s="2"/>
      <c r="AD696" s="2"/>
    </row>
    <row r="697" spans="1:30" ht="13">
      <c r="A697" s="3"/>
      <c r="B697" s="2"/>
      <c r="C697" s="2"/>
      <c r="D697" s="3"/>
      <c r="E697" s="3"/>
      <c r="F697" s="1"/>
      <c r="G697" s="37"/>
      <c r="H697" s="1"/>
      <c r="I697" s="2"/>
      <c r="J697" s="2"/>
      <c r="K697" s="2"/>
      <c r="L697" s="2"/>
      <c r="M697" s="2"/>
      <c r="N697" s="3"/>
      <c r="O697" s="3"/>
      <c r="P697" s="2"/>
      <c r="Q697" s="2"/>
      <c r="R697" s="2"/>
      <c r="S697" s="2"/>
      <c r="T697" s="2"/>
      <c r="U697" s="2"/>
      <c r="V697" s="2"/>
      <c r="W697" s="2"/>
      <c r="X697" s="2"/>
      <c r="Y697" s="2"/>
      <c r="Z697" s="2"/>
      <c r="AA697" s="2"/>
      <c r="AB697" s="2"/>
      <c r="AC697" s="2"/>
      <c r="AD697" s="2"/>
    </row>
    <row r="698" spans="1:30" ht="13">
      <c r="A698" s="3"/>
      <c r="B698" s="2"/>
      <c r="C698" s="2"/>
      <c r="D698" s="3"/>
      <c r="E698" s="3"/>
      <c r="F698" s="1"/>
      <c r="G698" s="37"/>
      <c r="H698" s="1"/>
      <c r="I698" s="2"/>
      <c r="J698" s="2"/>
      <c r="K698" s="2"/>
      <c r="L698" s="2"/>
      <c r="M698" s="2"/>
      <c r="N698" s="3"/>
      <c r="O698" s="3"/>
      <c r="P698" s="2"/>
      <c r="Q698" s="2"/>
      <c r="R698" s="2"/>
      <c r="S698" s="2"/>
      <c r="T698" s="2"/>
      <c r="U698" s="2"/>
      <c r="V698" s="2"/>
      <c r="W698" s="2"/>
      <c r="X698" s="2"/>
      <c r="Y698" s="2"/>
      <c r="Z698" s="2"/>
      <c r="AA698" s="2"/>
      <c r="AB698" s="2"/>
      <c r="AC698" s="2"/>
      <c r="AD698" s="2"/>
    </row>
    <row r="699" spans="1:30" ht="13">
      <c r="A699" s="3"/>
      <c r="B699" s="2"/>
      <c r="C699" s="2"/>
      <c r="D699" s="3"/>
      <c r="E699" s="3"/>
      <c r="F699" s="1"/>
      <c r="G699" s="37"/>
      <c r="H699" s="1"/>
      <c r="I699" s="2"/>
      <c r="J699" s="2"/>
      <c r="K699" s="2"/>
      <c r="L699" s="2"/>
      <c r="M699" s="2"/>
      <c r="N699" s="3"/>
      <c r="O699" s="3"/>
      <c r="P699" s="2"/>
      <c r="Q699" s="2"/>
      <c r="R699" s="2"/>
      <c r="S699" s="2"/>
      <c r="T699" s="2"/>
      <c r="U699" s="2"/>
      <c r="V699" s="2"/>
      <c r="W699" s="2"/>
      <c r="X699" s="2"/>
      <c r="Y699" s="2"/>
      <c r="Z699" s="2"/>
      <c r="AA699" s="2"/>
      <c r="AB699" s="2"/>
      <c r="AC699" s="2"/>
      <c r="AD699" s="2"/>
    </row>
    <row r="700" spans="1:30" ht="13">
      <c r="A700" s="3"/>
      <c r="B700" s="2"/>
      <c r="C700" s="2"/>
      <c r="D700" s="3"/>
      <c r="E700" s="3"/>
      <c r="F700" s="1"/>
      <c r="G700" s="37"/>
      <c r="H700" s="1"/>
      <c r="I700" s="2"/>
      <c r="J700" s="2"/>
      <c r="K700" s="2"/>
      <c r="L700" s="2"/>
      <c r="M700" s="2"/>
      <c r="N700" s="3"/>
      <c r="O700" s="3"/>
      <c r="P700" s="2"/>
      <c r="Q700" s="2"/>
      <c r="R700" s="2"/>
      <c r="S700" s="2"/>
      <c r="T700" s="2"/>
      <c r="U700" s="2"/>
      <c r="V700" s="2"/>
      <c r="W700" s="2"/>
      <c r="X700" s="2"/>
      <c r="Y700" s="2"/>
      <c r="Z700" s="2"/>
      <c r="AA700" s="2"/>
      <c r="AB700" s="2"/>
      <c r="AC700" s="2"/>
      <c r="AD700" s="2"/>
    </row>
    <row r="701" spans="1:30" ht="13">
      <c r="A701" s="3"/>
      <c r="B701" s="2"/>
      <c r="C701" s="2"/>
      <c r="D701" s="3"/>
      <c r="E701" s="3"/>
      <c r="F701" s="1"/>
      <c r="G701" s="37"/>
      <c r="H701" s="1"/>
      <c r="I701" s="2"/>
      <c r="J701" s="2"/>
      <c r="K701" s="2"/>
      <c r="L701" s="2"/>
      <c r="M701" s="2"/>
      <c r="N701" s="3"/>
      <c r="O701" s="3"/>
      <c r="P701" s="2"/>
      <c r="Q701" s="2"/>
      <c r="R701" s="2"/>
      <c r="S701" s="2"/>
      <c r="T701" s="2"/>
      <c r="U701" s="2"/>
      <c r="V701" s="2"/>
      <c r="W701" s="2"/>
      <c r="X701" s="2"/>
      <c r="Y701" s="2"/>
      <c r="Z701" s="2"/>
      <c r="AA701" s="2"/>
      <c r="AB701" s="2"/>
      <c r="AC701" s="2"/>
      <c r="AD701" s="2"/>
    </row>
    <row r="702" spans="1:30" ht="13">
      <c r="A702" s="3"/>
      <c r="B702" s="2"/>
      <c r="C702" s="2"/>
      <c r="D702" s="3"/>
      <c r="E702" s="3"/>
      <c r="F702" s="1"/>
      <c r="G702" s="37"/>
      <c r="H702" s="1"/>
      <c r="I702" s="2"/>
      <c r="J702" s="2"/>
      <c r="K702" s="2"/>
      <c r="L702" s="2"/>
      <c r="M702" s="2"/>
      <c r="N702" s="3"/>
      <c r="O702" s="3"/>
      <c r="P702" s="2"/>
      <c r="Q702" s="2"/>
      <c r="R702" s="2"/>
      <c r="S702" s="2"/>
      <c r="T702" s="2"/>
      <c r="U702" s="2"/>
      <c r="V702" s="2"/>
      <c r="W702" s="2"/>
      <c r="X702" s="2"/>
      <c r="Y702" s="2"/>
      <c r="Z702" s="2"/>
      <c r="AA702" s="2"/>
      <c r="AB702" s="2"/>
      <c r="AC702" s="2"/>
      <c r="AD702" s="2"/>
    </row>
    <row r="703" spans="1:30" ht="13">
      <c r="A703" s="3"/>
      <c r="B703" s="2"/>
      <c r="C703" s="2"/>
      <c r="D703" s="3"/>
      <c r="E703" s="3"/>
      <c r="F703" s="1"/>
      <c r="G703" s="37"/>
      <c r="H703" s="1"/>
      <c r="I703" s="2"/>
      <c r="J703" s="2"/>
      <c r="K703" s="2"/>
      <c r="L703" s="2"/>
      <c r="M703" s="2"/>
      <c r="N703" s="3"/>
      <c r="O703" s="3"/>
      <c r="P703" s="2"/>
      <c r="Q703" s="2"/>
      <c r="R703" s="2"/>
      <c r="S703" s="2"/>
      <c r="T703" s="2"/>
      <c r="U703" s="2"/>
      <c r="V703" s="2"/>
      <c r="W703" s="2"/>
      <c r="X703" s="2"/>
      <c r="Y703" s="2"/>
      <c r="Z703" s="2"/>
      <c r="AA703" s="2"/>
      <c r="AB703" s="2"/>
      <c r="AC703" s="2"/>
      <c r="AD703" s="2"/>
    </row>
    <row r="704" spans="1:30" ht="13">
      <c r="A704" s="3"/>
      <c r="B704" s="2"/>
      <c r="C704" s="2"/>
      <c r="D704" s="3"/>
      <c r="E704" s="3"/>
      <c r="F704" s="1"/>
      <c r="G704" s="37"/>
      <c r="H704" s="1"/>
      <c r="I704" s="2"/>
      <c r="J704" s="2"/>
      <c r="K704" s="2"/>
      <c r="L704" s="2"/>
      <c r="M704" s="2"/>
      <c r="N704" s="3"/>
      <c r="O704" s="3"/>
      <c r="P704" s="2"/>
      <c r="Q704" s="2"/>
      <c r="R704" s="2"/>
      <c r="S704" s="2"/>
      <c r="T704" s="2"/>
      <c r="U704" s="2"/>
      <c r="V704" s="2"/>
      <c r="W704" s="2"/>
      <c r="X704" s="2"/>
      <c r="Y704" s="2"/>
      <c r="Z704" s="2"/>
      <c r="AA704" s="2"/>
      <c r="AB704" s="2"/>
      <c r="AC704" s="2"/>
      <c r="AD704" s="2"/>
    </row>
    <row r="705" spans="1:30" ht="13">
      <c r="A705" s="3"/>
      <c r="B705" s="2"/>
      <c r="C705" s="2"/>
      <c r="D705" s="3"/>
      <c r="E705" s="3"/>
      <c r="F705" s="1"/>
      <c r="G705" s="37"/>
      <c r="H705" s="1"/>
      <c r="I705" s="2"/>
      <c r="J705" s="2"/>
      <c r="K705" s="2"/>
      <c r="L705" s="2"/>
      <c r="M705" s="2"/>
      <c r="N705" s="3"/>
      <c r="O705" s="3"/>
      <c r="P705" s="2"/>
      <c r="Q705" s="2"/>
      <c r="R705" s="2"/>
      <c r="S705" s="2"/>
      <c r="T705" s="2"/>
      <c r="U705" s="2"/>
      <c r="V705" s="2"/>
      <c r="W705" s="2"/>
      <c r="X705" s="2"/>
      <c r="Y705" s="2"/>
      <c r="Z705" s="2"/>
      <c r="AA705" s="2"/>
      <c r="AB705" s="2"/>
      <c r="AC705" s="2"/>
      <c r="AD705" s="2"/>
    </row>
    <row r="706" spans="1:30" ht="13">
      <c r="A706" s="3"/>
      <c r="B706" s="2"/>
      <c r="C706" s="2"/>
      <c r="D706" s="3"/>
      <c r="E706" s="3"/>
      <c r="F706" s="1"/>
      <c r="G706" s="37"/>
      <c r="H706" s="1"/>
      <c r="I706" s="2"/>
      <c r="J706" s="2"/>
      <c r="K706" s="2"/>
      <c r="L706" s="2"/>
      <c r="M706" s="2"/>
      <c r="N706" s="3"/>
      <c r="O706" s="3"/>
      <c r="P706" s="2"/>
      <c r="Q706" s="2"/>
      <c r="R706" s="2"/>
      <c r="S706" s="2"/>
      <c r="T706" s="2"/>
      <c r="U706" s="2"/>
      <c r="V706" s="2"/>
      <c r="W706" s="2"/>
      <c r="X706" s="2"/>
      <c r="Y706" s="2"/>
      <c r="Z706" s="2"/>
      <c r="AA706" s="2"/>
      <c r="AB706" s="2"/>
      <c r="AC706" s="2"/>
      <c r="AD706" s="2"/>
    </row>
    <row r="707" spans="1:30" ht="13">
      <c r="A707" s="3"/>
      <c r="B707" s="2"/>
      <c r="C707" s="2"/>
      <c r="D707" s="3"/>
      <c r="E707" s="3"/>
      <c r="F707" s="1"/>
      <c r="G707" s="37"/>
      <c r="H707" s="1"/>
      <c r="I707" s="2"/>
      <c r="J707" s="2"/>
      <c r="K707" s="2"/>
      <c r="L707" s="2"/>
      <c r="M707" s="2"/>
      <c r="N707" s="3"/>
      <c r="O707" s="3"/>
      <c r="P707" s="2"/>
      <c r="Q707" s="2"/>
      <c r="R707" s="2"/>
      <c r="S707" s="2"/>
      <c r="T707" s="2"/>
      <c r="U707" s="2"/>
      <c r="V707" s="2"/>
      <c r="W707" s="2"/>
      <c r="X707" s="2"/>
      <c r="Y707" s="2"/>
      <c r="Z707" s="2"/>
      <c r="AA707" s="2"/>
      <c r="AB707" s="2"/>
      <c r="AC707" s="2"/>
      <c r="AD707" s="2"/>
    </row>
    <row r="708" spans="1:30" ht="13">
      <c r="A708" s="3"/>
      <c r="B708" s="2"/>
      <c r="C708" s="2"/>
      <c r="D708" s="3"/>
      <c r="E708" s="3"/>
      <c r="F708" s="1"/>
      <c r="G708" s="37"/>
      <c r="H708" s="1"/>
      <c r="I708" s="2"/>
      <c r="J708" s="2"/>
      <c r="K708" s="2"/>
      <c r="L708" s="2"/>
      <c r="M708" s="2"/>
      <c r="N708" s="3"/>
      <c r="O708" s="3"/>
      <c r="P708" s="2"/>
      <c r="Q708" s="2"/>
      <c r="R708" s="2"/>
      <c r="S708" s="2"/>
      <c r="T708" s="2"/>
      <c r="U708" s="2"/>
      <c r="V708" s="2"/>
      <c r="W708" s="2"/>
      <c r="X708" s="2"/>
      <c r="Y708" s="2"/>
      <c r="Z708" s="2"/>
      <c r="AA708" s="2"/>
      <c r="AB708" s="2"/>
      <c r="AC708" s="2"/>
      <c r="AD708" s="2"/>
    </row>
    <row r="709" spans="1:30" ht="13">
      <c r="A709" s="3"/>
      <c r="B709" s="2"/>
      <c r="C709" s="2"/>
      <c r="D709" s="3"/>
      <c r="E709" s="3"/>
      <c r="F709" s="1"/>
      <c r="G709" s="37"/>
      <c r="H709" s="1"/>
      <c r="I709" s="2"/>
      <c r="J709" s="2"/>
      <c r="K709" s="2"/>
      <c r="L709" s="2"/>
      <c r="M709" s="2"/>
      <c r="N709" s="3"/>
      <c r="O709" s="3"/>
      <c r="P709" s="2"/>
      <c r="Q709" s="2"/>
      <c r="R709" s="2"/>
      <c r="S709" s="2"/>
      <c r="T709" s="2"/>
      <c r="U709" s="2"/>
      <c r="V709" s="2"/>
      <c r="W709" s="2"/>
      <c r="X709" s="2"/>
      <c r="Y709" s="2"/>
      <c r="Z709" s="2"/>
      <c r="AA709" s="2"/>
      <c r="AB709" s="2"/>
      <c r="AC709" s="2"/>
      <c r="AD709" s="2"/>
    </row>
    <row r="710" spans="1:30" ht="13">
      <c r="A710" s="3"/>
      <c r="B710" s="2"/>
      <c r="C710" s="2"/>
      <c r="D710" s="3"/>
      <c r="E710" s="3"/>
      <c r="F710" s="1"/>
      <c r="G710" s="37"/>
      <c r="H710" s="1"/>
      <c r="I710" s="2"/>
      <c r="J710" s="2"/>
      <c r="K710" s="2"/>
      <c r="L710" s="2"/>
      <c r="M710" s="2"/>
      <c r="N710" s="3"/>
      <c r="O710" s="3"/>
      <c r="P710" s="2"/>
      <c r="Q710" s="2"/>
      <c r="R710" s="2"/>
      <c r="S710" s="2"/>
      <c r="T710" s="2"/>
      <c r="U710" s="2"/>
      <c r="V710" s="2"/>
      <c r="W710" s="2"/>
      <c r="X710" s="2"/>
      <c r="Y710" s="2"/>
      <c r="Z710" s="2"/>
      <c r="AA710" s="2"/>
      <c r="AB710" s="2"/>
      <c r="AC710" s="2"/>
      <c r="AD710" s="2"/>
    </row>
    <row r="711" spans="1:30" ht="13">
      <c r="A711" s="3"/>
      <c r="B711" s="2"/>
      <c r="C711" s="2"/>
      <c r="D711" s="3"/>
      <c r="E711" s="3"/>
      <c r="F711" s="1"/>
      <c r="G711" s="37"/>
      <c r="H711" s="1"/>
      <c r="I711" s="2"/>
      <c r="J711" s="2"/>
      <c r="K711" s="2"/>
      <c r="L711" s="2"/>
      <c r="M711" s="2"/>
      <c r="N711" s="3"/>
      <c r="O711" s="3"/>
      <c r="P711" s="2"/>
      <c r="Q711" s="2"/>
      <c r="R711" s="2"/>
      <c r="S711" s="2"/>
      <c r="T711" s="2"/>
      <c r="U711" s="2"/>
      <c r="V711" s="2"/>
      <c r="W711" s="2"/>
      <c r="X711" s="2"/>
      <c r="Y711" s="2"/>
      <c r="Z711" s="2"/>
      <c r="AA711" s="2"/>
      <c r="AB711" s="2"/>
      <c r="AC711" s="2"/>
      <c r="AD711" s="2"/>
    </row>
    <row r="712" spans="1:30" ht="13">
      <c r="A712" s="3"/>
      <c r="B712" s="2"/>
      <c r="C712" s="2"/>
      <c r="D712" s="3"/>
      <c r="E712" s="3"/>
      <c r="F712" s="1"/>
      <c r="G712" s="37"/>
      <c r="H712" s="1"/>
      <c r="I712" s="2"/>
      <c r="J712" s="2"/>
      <c r="K712" s="2"/>
      <c r="L712" s="2"/>
      <c r="M712" s="2"/>
      <c r="N712" s="3"/>
      <c r="O712" s="3"/>
      <c r="P712" s="2"/>
      <c r="Q712" s="2"/>
      <c r="R712" s="2"/>
      <c r="S712" s="2"/>
      <c r="T712" s="2"/>
      <c r="U712" s="2"/>
      <c r="V712" s="2"/>
      <c r="W712" s="2"/>
      <c r="X712" s="2"/>
      <c r="Y712" s="2"/>
      <c r="Z712" s="2"/>
      <c r="AA712" s="2"/>
      <c r="AB712" s="2"/>
      <c r="AC712" s="2"/>
      <c r="AD712" s="2"/>
    </row>
    <row r="713" spans="1:30" ht="13">
      <c r="A713" s="3"/>
      <c r="B713" s="2"/>
      <c r="C713" s="2"/>
      <c r="D713" s="3"/>
      <c r="E713" s="3"/>
      <c r="F713" s="1"/>
      <c r="G713" s="37"/>
      <c r="H713" s="1"/>
      <c r="I713" s="2"/>
      <c r="J713" s="2"/>
      <c r="K713" s="2"/>
      <c r="L713" s="2"/>
      <c r="M713" s="2"/>
      <c r="N713" s="3"/>
      <c r="O713" s="3"/>
      <c r="P713" s="2"/>
      <c r="Q713" s="2"/>
      <c r="R713" s="2"/>
      <c r="S713" s="2"/>
      <c r="T713" s="2"/>
      <c r="U713" s="2"/>
      <c r="V713" s="2"/>
      <c r="W713" s="2"/>
      <c r="X713" s="2"/>
      <c r="Y713" s="2"/>
      <c r="Z713" s="2"/>
      <c r="AA713" s="2"/>
      <c r="AB713" s="2"/>
      <c r="AC713" s="2"/>
      <c r="AD713" s="2"/>
    </row>
    <row r="714" spans="1:30" ht="13">
      <c r="A714" s="3"/>
      <c r="B714" s="2"/>
      <c r="C714" s="2"/>
      <c r="D714" s="3"/>
      <c r="E714" s="3"/>
      <c r="F714" s="1"/>
      <c r="G714" s="37"/>
      <c r="H714" s="1"/>
      <c r="I714" s="2"/>
      <c r="J714" s="2"/>
      <c r="K714" s="2"/>
      <c r="L714" s="2"/>
      <c r="M714" s="2"/>
      <c r="N714" s="3"/>
      <c r="O714" s="3"/>
      <c r="P714" s="2"/>
      <c r="Q714" s="2"/>
      <c r="R714" s="2"/>
      <c r="S714" s="2"/>
      <c r="T714" s="2"/>
      <c r="U714" s="2"/>
      <c r="V714" s="2"/>
      <c r="W714" s="2"/>
      <c r="X714" s="2"/>
      <c r="Y714" s="2"/>
      <c r="Z714" s="2"/>
      <c r="AA714" s="2"/>
      <c r="AB714" s="2"/>
      <c r="AC714" s="2"/>
      <c r="AD714" s="2"/>
    </row>
    <row r="715" spans="1:30" ht="13">
      <c r="A715" s="3"/>
      <c r="B715" s="2"/>
      <c r="C715" s="2"/>
      <c r="D715" s="3"/>
      <c r="E715" s="3"/>
      <c r="F715" s="1"/>
      <c r="G715" s="37"/>
      <c r="H715" s="1"/>
      <c r="I715" s="2"/>
      <c r="J715" s="2"/>
      <c r="K715" s="2"/>
      <c r="L715" s="2"/>
      <c r="M715" s="2"/>
      <c r="N715" s="3"/>
      <c r="O715" s="3"/>
      <c r="P715" s="2"/>
      <c r="Q715" s="2"/>
      <c r="R715" s="2"/>
      <c r="S715" s="2"/>
      <c r="T715" s="2"/>
      <c r="U715" s="2"/>
      <c r="V715" s="2"/>
      <c r="W715" s="2"/>
      <c r="X715" s="2"/>
      <c r="Y715" s="2"/>
      <c r="Z715" s="2"/>
      <c r="AA715" s="2"/>
      <c r="AB715" s="2"/>
      <c r="AC715" s="2"/>
      <c r="AD715" s="2"/>
    </row>
    <row r="716" spans="1:30" ht="13">
      <c r="A716" s="3"/>
      <c r="B716" s="2"/>
      <c r="C716" s="2"/>
      <c r="D716" s="3"/>
      <c r="E716" s="3"/>
      <c r="F716" s="1"/>
      <c r="G716" s="37"/>
      <c r="H716" s="1"/>
      <c r="I716" s="2"/>
      <c r="J716" s="2"/>
      <c r="K716" s="2"/>
      <c r="L716" s="2"/>
      <c r="M716" s="2"/>
      <c r="N716" s="3"/>
      <c r="O716" s="3"/>
      <c r="P716" s="2"/>
      <c r="Q716" s="2"/>
      <c r="R716" s="2"/>
      <c r="S716" s="2"/>
      <c r="T716" s="2"/>
      <c r="U716" s="2"/>
      <c r="V716" s="2"/>
      <c r="W716" s="2"/>
      <c r="X716" s="2"/>
      <c r="Y716" s="2"/>
      <c r="Z716" s="2"/>
      <c r="AA716" s="2"/>
      <c r="AB716" s="2"/>
      <c r="AC716" s="2"/>
      <c r="AD716" s="2"/>
    </row>
    <row r="717" spans="1:30" ht="13">
      <c r="A717" s="3"/>
      <c r="B717" s="2"/>
      <c r="C717" s="2"/>
      <c r="D717" s="3"/>
      <c r="E717" s="3"/>
      <c r="F717" s="1"/>
      <c r="G717" s="37"/>
      <c r="H717" s="1"/>
      <c r="I717" s="2"/>
      <c r="J717" s="2"/>
      <c r="K717" s="2"/>
      <c r="L717" s="2"/>
      <c r="M717" s="2"/>
      <c r="N717" s="3"/>
      <c r="O717" s="3"/>
      <c r="P717" s="2"/>
      <c r="Q717" s="2"/>
      <c r="R717" s="2"/>
      <c r="S717" s="2"/>
      <c r="T717" s="2"/>
      <c r="U717" s="2"/>
      <c r="V717" s="2"/>
      <c r="W717" s="2"/>
      <c r="X717" s="2"/>
      <c r="Y717" s="2"/>
      <c r="Z717" s="2"/>
      <c r="AA717" s="2"/>
      <c r="AB717" s="2"/>
      <c r="AC717" s="2"/>
      <c r="AD717" s="2"/>
    </row>
    <row r="718" spans="1:30" ht="13">
      <c r="A718" s="3"/>
      <c r="B718" s="2"/>
      <c r="C718" s="2"/>
      <c r="D718" s="3"/>
      <c r="E718" s="3"/>
      <c r="F718" s="1"/>
      <c r="G718" s="37"/>
      <c r="H718" s="1"/>
      <c r="I718" s="2"/>
      <c r="J718" s="2"/>
      <c r="K718" s="2"/>
      <c r="L718" s="2"/>
      <c r="M718" s="2"/>
      <c r="N718" s="3"/>
      <c r="O718" s="3"/>
      <c r="P718" s="2"/>
      <c r="Q718" s="2"/>
      <c r="R718" s="2"/>
      <c r="S718" s="2"/>
      <c r="T718" s="2"/>
      <c r="U718" s="2"/>
      <c r="V718" s="2"/>
      <c r="W718" s="2"/>
      <c r="X718" s="2"/>
      <c r="Y718" s="2"/>
      <c r="Z718" s="2"/>
      <c r="AA718" s="2"/>
      <c r="AB718" s="2"/>
      <c r="AC718" s="2"/>
      <c r="AD718" s="2"/>
    </row>
    <row r="719" spans="1:30" ht="13">
      <c r="A719" s="3"/>
      <c r="B719" s="2"/>
      <c r="C719" s="2"/>
      <c r="D719" s="3"/>
      <c r="E719" s="3"/>
      <c r="F719" s="1"/>
      <c r="G719" s="37"/>
      <c r="H719" s="1"/>
      <c r="I719" s="2"/>
      <c r="J719" s="2"/>
      <c r="K719" s="2"/>
      <c r="L719" s="2"/>
      <c r="M719" s="2"/>
      <c r="N719" s="3"/>
      <c r="O719" s="3"/>
      <c r="P719" s="2"/>
      <c r="Q719" s="2"/>
      <c r="R719" s="2"/>
      <c r="S719" s="2"/>
      <c r="T719" s="2"/>
      <c r="U719" s="2"/>
      <c r="V719" s="2"/>
      <c r="W719" s="2"/>
      <c r="X719" s="2"/>
      <c r="Y719" s="2"/>
      <c r="Z719" s="2"/>
      <c r="AA719" s="2"/>
      <c r="AB719" s="2"/>
      <c r="AC719" s="2"/>
      <c r="AD719" s="2"/>
    </row>
    <row r="720" spans="1:30" ht="13">
      <c r="A720" s="3"/>
      <c r="B720" s="2"/>
      <c r="C720" s="2"/>
      <c r="D720" s="3"/>
      <c r="E720" s="3"/>
      <c r="F720" s="1"/>
      <c r="G720" s="37"/>
      <c r="H720" s="1"/>
      <c r="I720" s="2"/>
      <c r="J720" s="2"/>
      <c r="K720" s="2"/>
      <c r="L720" s="2"/>
      <c r="M720" s="2"/>
      <c r="N720" s="3"/>
      <c r="O720" s="3"/>
      <c r="P720" s="2"/>
      <c r="Q720" s="2"/>
      <c r="R720" s="2"/>
      <c r="S720" s="2"/>
      <c r="T720" s="2"/>
      <c r="U720" s="2"/>
      <c r="V720" s="2"/>
      <c r="W720" s="2"/>
      <c r="X720" s="2"/>
      <c r="Y720" s="2"/>
      <c r="Z720" s="2"/>
      <c r="AA720" s="2"/>
      <c r="AB720" s="2"/>
      <c r="AC720" s="2"/>
      <c r="AD720" s="2"/>
    </row>
    <row r="721" spans="1:30" ht="13">
      <c r="A721" s="3"/>
      <c r="B721" s="2"/>
      <c r="C721" s="2"/>
      <c r="D721" s="3"/>
      <c r="E721" s="3"/>
      <c r="F721" s="1"/>
      <c r="G721" s="37"/>
      <c r="H721" s="1"/>
      <c r="I721" s="2"/>
      <c r="J721" s="2"/>
      <c r="K721" s="2"/>
      <c r="L721" s="2"/>
      <c r="M721" s="2"/>
      <c r="N721" s="3"/>
      <c r="O721" s="3"/>
      <c r="P721" s="2"/>
      <c r="Q721" s="2"/>
      <c r="R721" s="2"/>
      <c r="S721" s="2"/>
      <c r="T721" s="2"/>
      <c r="U721" s="2"/>
      <c r="V721" s="2"/>
      <c r="W721" s="2"/>
      <c r="X721" s="2"/>
      <c r="Y721" s="2"/>
      <c r="Z721" s="2"/>
      <c r="AA721" s="2"/>
      <c r="AB721" s="2"/>
      <c r="AC721" s="2"/>
      <c r="AD721" s="2"/>
    </row>
    <row r="722" spans="1:30" ht="13">
      <c r="A722" s="3"/>
      <c r="B722" s="2"/>
      <c r="C722" s="2"/>
      <c r="D722" s="3"/>
      <c r="E722" s="3"/>
      <c r="F722" s="1"/>
      <c r="G722" s="37"/>
      <c r="H722" s="1"/>
      <c r="I722" s="2"/>
      <c r="J722" s="2"/>
      <c r="K722" s="2"/>
      <c r="L722" s="2"/>
      <c r="M722" s="2"/>
      <c r="N722" s="3"/>
      <c r="O722" s="3"/>
      <c r="P722" s="2"/>
      <c r="Q722" s="2"/>
      <c r="R722" s="2"/>
      <c r="S722" s="2"/>
      <c r="T722" s="2"/>
      <c r="U722" s="2"/>
      <c r="V722" s="2"/>
      <c r="W722" s="2"/>
      <c r="X722" s="2"/>
      <c r="Y722" s="2"/>
      <c r="Z722" s="2"/>
      <c r="AA722" s="2"/>
      <c r="AB722" s="2"/>
      <c r="AC722" s="2"/>
      <c r="AD722" s="2"/>
    </row>
    <row r="723" spans="1:30" ht="13">
      <c r="A723" s="3"/>
      <c r="B723" s="2"/>
      <c r="C723" s="2"/>
      <c r="D723" s="3"/>
      <c r="E723" s="3"/>
      <c r="F723" s="1"/>
      <c r="G723" s="37"/>
      <c r="H723" s="1"/>
      <c r="I723" s="2"/>
      <c r="J723" s="2"/>
      <c r="K723" s="2"/>
      <c r="L723" s="2"/>
      <c r="M723" s="2"/>
      <c r="N723" s="3"/>
      <c r="O723" s="3"/>
      <c r="P723" s="2"/>
      <c r="Q723" s="2"/>
      <c r="R723" s="2"/>
      <c r="S723" s="2"/>
      <c r="T723" s="2"/>
      <c r="U723" s="2"/>
      <c r="V723" s="2"/>
      <c r="W723" s="2"/>
      <c r="X723" s="2"/>
      <c r="Y723" s="2"/>
      <c r="Z723" s="2"/>
      <c r="AA723" s="2"/>
      <c r="AB723" s="2"/>
      <c r="AC723" s="2"/>
      <c r="AD723" s="2"/>
    </row>
    <row r="724" spans="1:30" ht="13">
      <c r="A724" s="3"/>
      <c r="B724" s="2"/>
      <c r="C724" s="2"/>
      <c r="D724" s="3"/>
      <c r="E724" s="3"/>
      <c r="F724" s="1"/>
      <c r="G724" s="37"/>
      <c r="H724" s="1"/>
      <c r="I724" s="2"/>
      <c r="J724" s="2"/>
      <c r="K724" s="2"/>
      <c r="L724" s="2"/>
      <c r="M724" s="2"/>
      <c r="N724" s="3"/>
      <c r="O724" s="3"/>
      <c r="P724" s="2"/>
      <c r="Q724" s="2"/>
      <c r="R724" s="2"/>
      <c r="S724" s="2"/>
      <c r="T724" s="2"/>
      <c r="U724" s="2"/>
      <c r="V724" s="2"/>
      <c r="W724" s="2"/>
      <c r="X724" s="2"/>
      <c r="Y724" s="2"/>
      <c r="Z724" s="2"/>
      <c r="AA724" s="2"/>
      <c r="AB724" s="2"/>
      <c r="AC724" s="2"/>
      <c r="AD724" s="2"/>
    </row>
    <row r="725" spans="1:30" ht="13">
      <c r="A725" s="3"/>
      <c r="B725" s="2"/>
      <c r="C725" s="2"/>
      <c r="D725" s="3"/>
      <c r="E725" s="3"/>
      <c r="F725" s="1"/>
      <c r="G725" s="37"/>
      <c r="H725" s="1"/>
      <c r="I725" s="2"/>
      <c r="J725" s="2"/>
      <c r="K725" s="2"/>
      <c r="L725" s="2"/>
      <c r="M725" s="2"/>
      <c r="N725" s="3"/>
      <c r="O725" s="3"/>
      <c r="P725" s="2"/>
      <c r="Q725" s="2"/>
      <c r="R725" s="2"/>
      <c r="S725" s="2"/>
      <c r="T725" s="2"/>
      <c r="U725" s="2"/>
      <c r="V725" s="2"/>
      <c r="W725" s="2"/>
      <c r="X725" s="2"/>
      <c r="Y725" s="2"/>
      <c r="Z725" s="2"/>
      <c r="AA725" s="2"/>
      <c r="AB725" s="2"/>
      <c r="AC725" s="2"/>
      <c r="AD725" s="2"/>
    </row>
    <row r="726" spans="1:30" ht="13">
      <c r="A726" s="3"/>
      <c r="B726" s="2"/>
      <c r="C726" s="2"/>
      <c r="D726" s="3"/>
      <c r="E726" s="3"/>
      <c r="F726" s="1"/>
      <c r="G726" s="37"/>
      <c r="H726" s="1"/>
      <c r="I726" s="2"/>
      <c r="J726" s="2"/>
      <c r="K726" s="2"/>
      <c r="L726" s="2"/>
      <c r="M726" s="2"/>
      <c r="N726" s="3"/>
      <c r="O726" s="3"/>
      <c r="P726" s="2"/>
      <c r="Q726" s="2"/>
      <c r="R726" s="2"/>
      <c r="S726" s="2"/>
      <c r="T726" s="2"/>
      <c r="U726" s="2"/>
      <c r="V726" s="2"/>
      <c r="W726" s="2"/>
      <c r="X726" s="2"/>
      <c r="Y726" s="2"/>
      <c r="Z726" s="2"/>
      <c r="AA726" s="2"/>
      <c r="AB726" s="2"/>
      <c r="AC726" s="2"/>
      <c r="AD726" s="2"/>
    </row>
    <row r="727" spans="1:30" ht="13">
      <c r="A727" s="3"/>
      <c r="B727" s="2"/>
      <c r="C727" s="2"/>
      <c r="D727" s="3"/>
      <c r="E727" s="3"/>
      <c r="F727" s="1"/>
      <c r="G727" s="37"/>
      <c r="H727" s="1"/>
      <c r="I727" s="2"/>
      <c r="J727" s="2"/>
      <c r="K727" s="2"/>
      <c r="L727" s="2"/>
      <c r="M727" s="2"/>
      <c r="N727" s="3"/>
      <c r="O727" s="3"/>
      <c r="P727" s="2"/>
      <c r="Q727" s="2"/>
      <c r="R727" s="2"/>
      <c r="S727" s="2"/>
      <c r="T727" s="2"/>
      <c r="U727" s="2"/>
      <c r="V727" s="2"/>
      <c r="W727" s="2"/>
      <c r="X727" s="2"/>
      <c r="Y727" s="2"/>
      <c r="Z727" s="2"/>
      <c r="AA727" s="2"/>
      <c r="AB727" s="2"/>
      <c r="AC727" s="2"/>
      <c r="AD727" s="2"/>
    </row>
    <row r="728" spans="1:30" ht="13">
      <c r="A728" s="3"/>
      <c r="B728" s="2"/>
      <c r="C728" s="2"/>
      <c r="D728" s="3"/>
      <c r="E728" s="3"/>
      <c r="F728" s="1"/>
      <c r="G728" s="37"/>
      <c r="H728" s="1"/>
      <c r="I728" s="2"/>
      <c r="J728" s="2"/>
      <c r="K728" s="2"/>
      <c r="L728" s="2"/>
      <c r="M728" s="2"/>
      <c r="N728" s="3"/>
      <c r="O728" s="3"/>
      <c r="P728" s="2"/>
      <c r="Q728" s="2"/>
      <c r="R728" s="2"/>
      <c r="S728" s="2"/>
      <c r="T728" s="2"/>
      <c r="U728" s="2"/>
      <c r="V728" s="2"/>
      <c r="W728" s="2"/>
      <c r="X728" s="2"/>
      <c r="Y728" s="2"/>
      <c r="Z728" s="2"/>
      <c r="AA728" s="2"/>
      <c r="AB728" s="2"/>
      <c r="AC728" s="2"/>
      <c r="AD728" s="2"/>
    </row>
    <row r="729" spans="1:30" ht="13">
      <c r="A729" s="3"/>
      <c r="B729" s="2"/>
      <c r="C729" s="2"/>
      <c r="D729" s="3"/>
      <c r="E729" s="3"/>
      <c r="F729" s="1"/>
      <c r="G729" s="37"/>
      <c r="H729" s="1"/>
      <c r="I729" s="2"/>
      <c r="J729" s="2"/>
      <c r="K729" s="2"/>
      <c r="L729" s="2"/>
      <c r="M729" s="2"/>
      <c r="N729" s="3"/>
      <c r="O729" s="3"/>
      <c r="P729" s="2"/>
      <c r="Q729" s="2"/>
      <c r="R729" s="2"/>
      <c r="S729" s="2"/>
      <c r="T729" s="2"/>
      <c r="U729" s="2"/>
      <c r="V729" s="2"/>
      <c r="W729" s="2"/>
      <c r="X729" s="2"/>
      <c r="Y729" s="2"/>
      <c r="Z729" s="2"/>
      <c r="AA729" s="2"/>
      <c r="AB729" s="2"/>
      <c r="AC729" s="2"/>
      <c r="AD729" s="2"/>
    </row>
    <row r="730" spans="1:30" ht="13">
      <c r="A730" s="3"/>
      <c r="B730" s="2"/>
      <c r="C730" s="2"/>
      <c r="D730" s="3"/>
      <c r="E730" s="3"/>
      <c r="F730" s="1"/>
      <c r="G730" s="37"/>
      <c r="H730" s="1"/>
      <c r="I730" s="2"/>
      <c r="J730" s="2"/>
      <c r="K730" s="2"/>
      <c r="L730" s="2"/>
      <c r="M730" s="2"/>
      <c r="N730" s="3"/>
      <c r="O730" s="3"/>
      <c r="P730" s="2"/>
      <c r="Q730" s="2"/>
      <c r="R730" s="2"/>
      <c r="S730" s="2"/>
      <c r="T730" s="2"/>
      <c r="U730" s="2"/>
      <c r="V730" s="2"/>
      <c r="W730" s="2"/>
      <c r="X730" s="2"/>
      <c r="Y730" s="2"/>
      <c r="Z730" s="2"/>
      <c r="AA730" s="2"/>
      <c r="AB730" s="2"/>
      <c r="AC730" s="2"/>
      <c r="AD730" s="2"/>
    </row>
    <row r="731" spans="1:30" ht="13">
      <c r="A731" s="3"/>
      <c r="B731" s="2"/>
      <c r="C731" s="2"/>
      <c r="D731" s="3"/>
      <c r="E731" s="3"/>
      <c r="F731" s="1"/>
      <c r="G731" s="37"/>
      <c r="H731" s="1"/>
      <c r="I731" s="2"/>
      <c r="J731" s="2"/>
      <c r="K731" s="2"/>
      <c r="L731" s="2"/>
      <c r="M731" s="2"/>
      <c r="N731" s="3"/>
      <c r="O731" s="3"/>
      <c r="P731" s="2"/>
      <c r="Q731" s="2"/>
      <c r="R731" s="2"/>
      <c r="S731" s="2"/>
      <c r="T731" s="2"/>
      <c r="U731" s="2"/>
      <c r="V731" s="2"/>
      <c r="W731" s="2"/>
      <c r="X731" s="2"/>
      <c r="Y731" s="2"/>
      <c r="Z731" s="2"/>
      <c r="AA731" s="2"/>
      <c r="AB731" s="2"/>
      <c r="AC731" s="2"/>
      <c r="AD731" s="2"/>
    </row>
    <row r="732" spans="1:30" ht="13">
      <c r="A732" s="3"/>
      <c r="B732" s="2"/>
      <c r="C732" s="2"/>
      <c r="D732" s="3"/>
      <c r="E732" s="3"/>
      <c r="F732" s="1"/>
      <c r="G732" s="37"/>
      <c r="H732" s="1"/>
      <c r="I732" s="2"/>
      <c r="J732" s="2"/>
      <c r="K732" s="2"/>
      <c r="L732" s="2"/>
      <c r="M732" s="2"/>
      <c r="N732" s="3"/>
      <c r="O732" s="3"/>
      <c r="P732" s="2"/>
      <c r="Q732" s="2"/>
      <c r="R732" s="2"/>
      <c r="S732" s="2"/>
      <c r="T732" s="2"/>
      <c r="U732" s="2"/>
      <c r="V732" s="2"/>
      <c r="W732" s="2"/>
      <c r="X732" s="2"/>
      <c r="Y732" s="2"/>
      <c r="Z732" s="2"/>
      <c r="AA732" s="2"/>
      <c r="AB732" s="2"/>
      <c r="AC732" s="2"/>
      <c r="AD732" s="2"/>
    </row>
    <row r="733" spans="1:30" ht="13">
      <c r="A733" s="3"/>
      <c r="B733" s="2"/>
      <c r="C733" s="2"/>
      <c r="D733" s="3"/>
      <c r="E733" s="3"/>
      <c r="F733" s="1"/>
      <c r="G733" s="37"/>
      <c r="H733" s="1"/>
      <c r="I733" s="2"/>
      <c r="J733" s="2"/>
      <c r="K733" s="2"/>
      <c r="L733" s="2"/>
      <c r="M733" s="2"/>
      <c r="N733" s="3"/>
      <c r="O733" s="3"/>
      <c r="P733" s="2"/>
      <c r="Q733" s="2"/>
      <c r="R733" s="2"/>
      <c r="S733" s="2"/>
      <c r="T733" s="2"/>
      <c r="U733" s="2"/>
      <c r="V733" s="2"/>
      <c r="W733" s="2"/>
      <c r="X733" s="2"/>
      <c r="Y733" s="2"/>
      <c r="Z733" s="2"/>
      <c r="AA733" s="2"/>
      <c r="AB733" s="2"/>
      <c r="AC733" s="2"/>
      <c r="AD733" s="2"/>
    </row>
    <row r="734" spans="1:30" ht="13">
      <c r="A734" s="3"/>
      <c r="B734" s="2"/>
      <c r="C734" s="2"/>
      <c r="D734" s="3"/>
      <c r="E734" s="3"/>
      <c r="F734" s="1"/>
      <c r="G734" s="37"/>
      <c r="H734" s="1"/>
      <c r="I734" s="2"/>
      <c r="J734" s="2"/>
      <c r="K734" s="2"/>
      <c r="L734" s="2"/>
      <c r="M734" s="2"/>
      <c r="N734" s="3"/>
      <c r="O734" s="3"/>
      <c r="P734" s="2"/>
      <c r="Q734" s="2"/>
      <c r="R734" s="2"/>
      <c r="S734" s="2"/>
      <c r="T734" s="2"/>
      <c r="U734" s="2"/>
      <c r="V734" s="2"/>
      <c r="W734" s="2"/>
      <c r="X734" s="2"/>
      <c r="Y734" s="2"/>
      <c r="Z734" s="2"/>
      <c r="AA734" s="2"/>
      <c r="AB734" s="2"/>
      <c r="AC734" s="2"/>
      <c r="AD734" s="2"/>
    </row>
    <row r="735" spans="1:30" ht="13">
      <c r="A735" s="3"/>
      <c r="B735" s="2"/>
      <c r="C735" s="2"/>
      <c r="D735" s="3"/>
      <c r="E735" s="3"/>
      <c r="F735" s="1"/>
      <c r="G735" s="37"/>
      <c r="H735" s="1"/>
      <c r="I735" s="2"/>
      <c r="J735" s="2"/>
      <c r="K735" s="2"/>
      <c r="L735" s="2"/>
      <c r="M735" s="2"/>
      <c r="N735" s="3"/>
      <c r="O735" s="3"/>
      <c r="P735" s="2"/>
      <c r="Q735" s="2"/>
      <c r="R735" s="2"/>
      <c r="S735" s="2"/>
      <c r="T735" s="2"/>
      <c r="U735" s="2"/>
      <c r="V735" s="2"/>
      <c r="W735" s="2"/>
      <c r="X735" s="2"/>
      <c r="Y735" s="2"/>
      <c r="Z735" s="2"/>
      <c r="AA735" s="2"/>
      <c r="AB735" s="2"/>
      <c r="AC735" s="2"/>
      <c r="AD735" s="2"/>
    </row>
    <row r="736" spans="1:30" ht="13">
      <c r="A736" s="3"/>
      <c r="B736" s="2"/>
      <c r="C736" s="2"/>
      <c r="D736" s="3"/>
      <c r="E736" s="3"/>
      <c r="F736" s="1"/>
      <c r="G736" s="37"/>
      <c r="H736" s="1"/>
      <c r="I736" s="2"/>
      <c r="J736" s="2"/>
      <c r="K736" s="2"/>
      <c r="L736" s="2"/>
      <c r="M736" s="2"/>
      <c r="N736" s="3"/>
      <c r="O736" s="3"/>
      <c r="P736" s="2"/>
      <c r="Q736" s="2"/>
      <c r="R736" s="2"/>
      <c r="S736" s="2"/>
      <c r="T736" s="2"/>
      <c r="U736" s="2"/>
      <c r="V736" s="2"/>
      <c r="W736" s="2"/>
      <c r="X736" s="2"/>
      <c r="Y736" s="2"/>
      <c r="Z736" s="2"/>
      <c r="AA736" s="2"/>
      <c r="AB736" s="2"/>
      <c r="AC736" s="2"/>
      <c r="AD736" s="2"/>
    </row>
    <row r="737" spans="1:30" ht="13">
      <c r="A737" s="3"/>
      <c r="B737" s="2"/>
      <c r="C737" s="2"/>
      <c r="D737" s="3"/>
      <c r="E737" s="3"/>
      <c r="F737" s="1"/>
      <c r="G737" s="37"/>
      <c r="H737" s="1"/>
      <c r="I737" s="2"/>
      <c r="J737" s="2"/>
      <c r="K737" s="2"/>
      <c r="L737" s="2"/>
      <c r="M737" s="2"/>
      <c r="N737" s="3"/>
      <c r="O737" s="3"/>
      <c r="P737" s="2"/>
      <c r="Q737" s="2"/>
      <c r="R737" s="2"/>
      <c r="S737" s="2"/>
      <c r="T737" s="2"/>
      <c r="U737" s="2"/>
      <c r="V737" s="2"/>
      <c r="W737" s="2"/>
      <c r="X737" s="2"/>
      <c r="Y737" s="2"/>
      <c r="Z737" s="2"/>
      <c r="AA737" s="2"/>
      <c r="AB737" s="2"/>
      <c r="AC737" s="2"/>
      <c r="AD737" s="2"/>
    </row>
    <row r="738" spans="1:30" ht="13">
      <c r="A738" s="3"/>
      <c r="B738" s="2"/>
      <c r="C738" s="2"/>
      <c r="D738" s="3"/>
      <c r="E738" s="3"/>
      <c r="F738" s="1"/>
      <c r="G738" s="37"/>
      <c r="H738" s="1"/>
      <c r="I738" s="2"/>
      <c r="J738" s="2"/>
      <c r="K738" s="2"/>
      <c r="L738" s="2"/>
      <c r="M738" s="2"/>
      <c r="N738" s="3"/>
      <c r="O738" s="3"/>
      <c r="P738" s="2"/>
      <c r="Q738" s="2"/>
      <c r="R738" s="2"/>
      <c r="S738" s="2"/>
      <c r="T738" s="2"/>
      <c r="U738" s="2"/>
      <c r="V738" s="2"/>
      <c r="W738" s="2"/>
      <c r="X738" s="2"/>
      <c r="Y738" s="2"/>
      <c r="Z738" s="2"/>
      <c r="AA738" s="2"/>
      <c r="AB738" s="2"/>
      <c r="AC738" s="2"/>
      <c r="AD738" s="2"/>
    </row>
    <row r="739" spans="1:30" ht="13">
      <c r="A739" s="3"/>
      <c r="B739" s="2"/>
      <c r="C739" s="2"/>
      <c r="D739" s="3"/>
      <c r="E739" s="3"/>
      <c r="F739" s="1"/>
      <c r="G739" s="37"/>
      <c r="H739" s="1"/>
      <c r="I739" s="2"/>
      <c r="J739" s="2"/>
      <c r="K739" s="2"/>
      <c r="L739" s="2"/>
      <c r="M739" s="2"/>
      <c r="N739" s="3"/>
      <c r="O739" s="3"/>
      <c r="P739" s="2"/>
      <c r="Q739" s="2"/>
      <c r="R739" s="2"/>
      <c r="S739" s="2"/>
      <c r="T739" s="2"/>
      <c r="U739" s="2"/>
      <c r="V739" s="2"/>
      <c r="W739" s="2"/>
      <c r="X739" s="2"/>
      <c r="Y739" s="2"/>
      <c r="Z739" s="2"/>
      <c r="AA739" s="2"/>
      <c r="AB739" s="2"/>
      <c r="AC739" s="2"/>
      <c r="AD739" s="2"/>
    </row>
    <row r="740" spans="1:30" ht="13">
      <c r="A740" s="3"/>
      <c r="B740" s="2"/>
      <c r="C740" s="2"/>
      <c r="D740" s="3"/>
      <c r="E740" s="3"/>
      <c r="F740" s="1"/>
      <c r="G740" s="37"/>
      <c r="H740" s="1"/>
      <c r="I740" s="2"/>
      <c r="J740" s="2"/>
      <c r="K740" s="2"/>
      <c r="L740" s="2"/>
      <c r="M740" s="2"/>
      <c r="N740" s="3"/>
      <c r="O740" s="3"/>
      <c r="P740" s="2"/>
      <c r="Q740" s="2"/>
      <c r="R740" s="2"/>
      <c r="S740" s="2"/>
      <c r="T740" s="2"/>
      <c r="U740" s="2"/>
      <c r="V740" s="2"/>
      <c r="W740" s="2"/>
      <c r="X740" s="2"/>
      <c r="Y740" s="2"/>
      <c r="Z740" s="2"/>
      <c r="AA740" s="2"/>
      <c r="AB740" s="2"/>
      <c r="AC740" s="2"/>
      <c r="AD740" s="2"/>
    </row>
    <row r="741" spans="1:30" ht="13">
      <c r="A741" s="3"/>
      <c r="B741" s="2"/>
      <c r="C741" s="2"/>
      <c r="D741" s="3"/>
      <c r="E741" s="3"/>
      <c r="F741" s="1"/>
      <c r="G741" s="37"/>
      <c r="H741" s="1"/>
      <c r="I741" s="2"/>
      <c r="J741" s="2"/>
      <c r="K741" s="2"/>
      <c r="L741" s="2"/>
      <c r="M741" s="2"/>
      <c r="N741" s="3"/>
      <c r="O741" s="3"/>
      <c r="P741" s="2"/>
      <c r="Q741" s="2"/>
      <c r="R741" s="2"/>
      <c r="S741" s="2"/>
      <c r="T741" s="2"/>
      <c r="U741" s="2"/>
      <c r="V741" s="2"/>
      <c r="W741" s="2"/>
      <c r="X741" s="2"/>
      <c r="Y741" s="2"/>
      <c r="Z741" s="2"/>
      <c r="AA741" s="2"/>
      <c r="AB741" s="2"/>
      <c r="AC741" s="2"/>
      <c r="AD741" s="2"/>
    </row>
    <row r="742" spans="1:30" ht="13">
      <c r="A742" s="3"/>
      <c r="B742" s="2"/>
      <c r="C742" s="2"/>
      <c r="D742" s="3"/>
      <c r="E742" s="3"/>
      <c r="F742" s="1"/>
      <c r="G742" s="37"/>
      <c r="H742" s="1"/>
      <c r="I742" s="2"/>
      <c r="J742" s="2"/>
      <c r="K742" s="2"/>
      <c r="L742" s="2"/>
      <c r="M742" s="2"/>
      <c r="N742" s="3"/>
      <c r="O742" s="3"/>
      <c r="P742" s="2"/>
      <c r="Q742" s="2"/>
      <c r="R742" s="2"/>
      <c r="S742" s="2"/>
      <c r="T742" s="2"/>
      <c r="U742" s="2"/>
      <c r="V742" s="2"/>
      <c r="W742" s="2"/>
      <c r="X742" s="2"/>
      <c r="Y742" s="2"/>
      <c r="Z742" s="2"/>
      <c r="AA742" s="2"/>
      <c r="AB742" s="2"/>
      <c r="AC742" s="2"/>
      <c r="AD742" s="2"/>
    </row>
    <row r="743" spans="1:30" ht="13">
      <c r="A743" s="3"/>
      <c r="B743" s="2"/>
      <c r="C743" s="2"/>
      <c r="D743" s="3"/>
      <c r="E743" s="3"/>
      <c r="F743" s="1"/>
      <c r="G743" s="37"/>
      <c r="H743" s="1"/>
      <c r="I743" s="2"/>
      <c r="J743" s="2"/>
      <c r="K743" s="2"/>
      <c r="L743" s="2"/>
      <c r="M743" s="2"/>
      <c r="N743" s="3"/>
      <c r="O743" s="3"/>
      <c r="P743" s="2"/>
      <c r="Q743" s="2"/>
      <c r="R743" s="2"/>
      <c r="S743" s="2"/>
      <c r="T743" s="2"/>
      <c r="U743" s="2"/>
      <c r="V743" s="2"/>
      <c r="W743" s="2"/>
      <c r="X743" s="2"/>
      <c r="Y743" s="2"/>
      <c r="Z743" s="2"/>
      <c r="AA743" s="2"/>
      <c r="AB743" s="2"/>
      <c r="AC743" s="2"/>
      <c r="AD743" s="2"/>
    </row>
    <row r="744" spans="1:30" ht="13">
      <c r="A744" s="3"/>
      <c r="B744" s="2"/>
      <c r="C744" s="2"/>
      <c r="D744" s="3"/>
      <c r="E744" s="3"/>
      <c r="F744" s="1"/>
      <c r="G744" s="37"/>
      <c r="H744" s="1"/>
      <c r="I744" s="2"/>
      <c r="J744" s="2"/>
      <c r="K744" s="2"/>
      <c r="L744" s="2"/>
      <c r="M744" s="2"/>
      <c r="N744" s="3"/>
      <c r="O744" s="3"/>
      <c r="P744" s="2"/>
      <c r="Q744" s="2"/>
      <c r="R744" s="2"/>
      <c r="S744" s="2"/>
      <c r="T744" s="2"/>
      <c r="U744" s="2"/>
      <c r="V744" s="2"/>
      <c r="W744" s="2"/>
      <c r="X744" s="2"/>
      <c r="Y744" s="2"/>
      <c r="Z744" s="2"/>
      <c r="AA744" s="2"/>
      <c r="AB744" s="2"/>
      <c r="AC744" s="2"/>
      <c r="AD744" s="2"/>
    </row>
    <row r="745" spans="1:30" ht="13">
      <c r="A745" s="3"/>
      <c r="B745" s="2"/>
      <c r="C745" s="2"/>
      <c r="D745" s="3"/>
      <c r="E745" s="3"/>
      <c r="F745" s="1"/>
      <c r="G745" s="37"/>
      <c r="H745" s="1"/>
      <c r="I745" s="2"/>
      <c r="J745" s="2"/>
      <c r="K745" s="2"/>
      <c r="L745" s="2"/>
      <c r="M745" s="2"/>
      <c r="N745" s="3"/>
      <c r="O745" s="3"/>
      <c r="P745" s="2"/>
      <c r="Q745" s="2"/>
      <c r="R745" s="2"/>
      <c r="S745" s="2"/>
      <c r="T745" s="2"/>
      <c r="U745" s="2"/>
      <c r="V745" s="2"/>
      <c r="W745" s="2"/>
      <c r="X745" s="2"/>
      <c r="Y745" s="2"/>
      <c r="Z745" s="2"/>
      <c r="AA745" s="2"/>
      <c r="AB745" s="2"/>
      <c r="AC745" s="2"/>
      <c r="AD745" s="2"/>
    </row>
    <row r="746" spans="1:30" ht="13">
      <c r="A746" s="3"/>
      <c r="B746" s="2"/>
      <c r="C746" s="2"/>
      <c r="D746" s="3"/>
      <c r="E746" s="3"/>
      <c r="F746" s="1"/>
      <c r="G746" s="37"/>
      <c r="H746" s="1"/>
      <c r="I746" s="2"/>
      <c r="J746" s="2"/>
      <c r="K746" s="2"/>
      <c r="L746" s="2"/>
      <c r="M746" s="2"/>
      <c r="N746" s="3"/>
      <c r="O746" s="3"/>
      <c r="P746" s="2"/>
      <c r="Q746" s="2"/>
      <c r="R746" s="2"/>
      <c r="S746" s="2"/>
      <c r="T746" s="2"/>
      <c r="U746" s="2"/>
      <c r="V746" s="2"/>
      <c r="W746" s="2"/>
      <c r="X746" s="2"/>
      <c r="Y746" s="2"/>
      <c r="Z746" s="2"/>
      <c r="AA746" s="2"/>
      <c r="AB746" s="2"/>
      <c r="AC746" s="2"/>
      <c r="AD746" s="2"/>
    </row>
    <row r="747" spans="1:30" ht="13">
      <c r="A747" s="3"/>
      <c r="B747" s="2"/>
      <c r="C747" s="2"/>
      <c r="D747" s="3"/>
      <c r="E747" s="3"/>
      <c r="F747" s="1"/>
      <c r="G747" s="37"/>
      <c r="H747" s="1"/>
      <c r="I747" s="2"/>
      <c r="J747" s="2"/>
      <c r="K747" s="2"/>
      <c r="L747" s="2"/>
      <c r="M747" s="2"/>
      <c r="N747" s="3"/>
      <c r="O747" s="3"/>
      <c r="P747" s="2"/>
      <c r="Q747" s="2"/>
      <c r="R747" s="2"/>
      <c r="S747" s="2"/>
      <c r="T747" s="2"/>
      <c r="U747" s="2"/>
      <c r="V747" s="2"/>
      <c r="W747" s="2"/>
      <c r="X747" s="2"/>
      <c r="Y747" s="2"/>
      <c r="Z747" s="2"/>
      <c r="AA747" s="2"/>
      <c r="AB747" s="2"/>
      <c r="AC747" s="2"/>
      <c r="AD747" s="2"/>
    </row>
    <row r="748" spans="1:30" ht="13">
      <c r="A748" s="3"/>
      <c r="B748" s="2"/>
      <c r="C748" s="2"/>
      <c r="D748" s="3"/>
      <c r="E748" s="3"/>
      <c r="F748" s="1"/>
      <c r="G748" s="37"/>
      <c r="H748" s="1"/>
      <c r="I748" s="2"/>
      <c r="J748" s="2"/>
      <c r="K748" s="2"/>
      <c r="L748" s="2"/>
      <c r="M748" s="2"/>
      <c r="N748" s="3"/>
      <c r="O748" s="3"/>
      <c r="P748" s="2"/>
      <c r="Q748" s="2"/>
      <c r="R748" s="2"/>
      <c r="S748" s="2"/>
      <c r="T748" s="2"/>
      <c r="U748" s="2"/>
      <c r="V748" s="2"/>
      <c r="W748" s="2"/>
      <c r="X748" s="2"/>
      <c r="Y748" s="2"/>
      <c r="Z748" s="2"/>
      <c r="AA748" s="2"/>
      <c r="AB748" s="2"/>
      <c r="AC748" s="2"/>
      <c r="AD748" s="2"/>
    </row>
    <row r="749" spans="1:30" ht="13">
      <c r="A749" s="3"/>
      <c r="B749" s="2"/>
      <c r="C749" s="2"/>
      <c r="D749" s="3"/>
      <c r="E749" s="3"/>
      <c r="F749" s="1"/>
      <c r="G749" s="37"/>
      <c r="H749" s="1"/>
      <c r="I749" s="2"/>
      <c r="J749" s="2"/>
      <c r="K749" s="2"/>
      <c r="L749" s="2"/>
      <c r="M749" s="2"/>
      <c r="N749" s="3"/>
      <c r="O749" s="3"/>
      <c r="P749" s="2"/>
      <c r="Q749" s="2"/>
      <c r="R749" s="2"/>
      <c r="S749" s="2"/>
      <c r="T749" s="2"/>
      <c r="U749" s="2"/>
      <c r="V749" s="2"/>
      <c r="W749" s="2"/>
      <c r="X749" s="2"/>
      <c r="Y749" s="2"/>
      <c r="Z749" s="2"/>
      <c r="AA749" s="2"/>
      <c r="AB749" s="2"/>
      <c r="AC749" s="2"/>
      <c r="AD749" s="2"/>
    </row>
    <row r="750" spans="1:30" ht="13">
      <c r="A750" s="3"/>
      <c r="B750" s="2"/>
      <c r="C750" s="2"/>
      <c r="D750" s="3"/>
      <c r="E750" s="3"/>
      <c r="F750" s="1"/>
      <c r="G750" s="37"/>
      <c r="H750" s="1"/>
      <c r="I750" s="2"/>
      <c r="J750" s="2"/>
      <c r="K750" s="2"/>
      <c r="L750" s="2"/>
      <c r="M750" s="2"/>
      <c r="N750" s="3"/>
      <c r="O750" s="3"/>
      <c r="P750" s="2"/>
      <c r="Q750" s="2"/>
      <c r="R750" s="2"/>
      <c r="S750" s="2"/>
      <c r="T750" s="2"/>
      <c r="U750" s="2"/>
      <c r="V750" s="2"/>
      <c r="W750" s="2"/>
      <c r="X750" s="2"/>
      <c r="Y750" s="2"/>
      <c r="Z750" s="2"/>
      <c r="AA750" s="2"/>
      <c r="AB750" s="2"/>
      <c r="AC750" s="2"/>
      <c r="AD750" s="2"/>
    </row>
    <row r="751" spans="1:30" ht="13">
      <c r="A751" s="3"/>
      <c r="B751" s="2"/>
      <c r="C751" s="2"/>
      <c r="D751" s="3"/>
      <c r="E751" s="3"/>
      <c r="F751" s="1"/>
      <c r="G751" s="37"/>
      <c r="H751" s="1"/>
      <c r="I751" s="2"/>
      <c r="J751" s="2"/>
      <c r="K751" s="2"/>
      <c r="L751" s="2"/>
      <c r="M751" s="2"/>
      <c r="N751" s="3"/>
      <c r="O751" s="3"/>
      <c r="P751" s="2"/>
      <c r="Q751" s="2"/>
      <c r="R751" s="2"/>
      <c r="S751" s="2"/>
      <c r="T751" s="2"/>
      <c r="U751" s="2"/>
      <c r="V751" s="2"/>
      <c r="W751" s="2"/>
      <c r="X751" s="2"/>
      <c r="Y751" s="2"/>
      <c r="Z751" s="2"/>
      <c r="AA751" s="2"/>
      <c r="AB751" s="2"/>
      <c r="AC751" s="2"/>
      <c r="AD751" s="2"/>
    </row>
    <row r="752" spans="1:30" ht="13">
      <c r="A752" s="3"/>
      <c r="B752" s="2"/>
      <c r="C752" s="2"/>
      <c r="D752" s="3"/>
      <c r="E752" s="3"/>
      <c r="F752" s="1"/>
      <c r="G752" s="37"/>
      <c r="H752" s="1"/>
      <c r="I752" s="2"/>
      <c r="J752" s="2"/>
      <c r="K752" s="2"/>
      <c r="L752" s="2"/>
      <c r="M752" s="2"/>
      <c r="N752" s="3"/>
      <c r="O752" s="3"/>
      <c r="P752" s="2"/>
      <c r="Q752" s="2"/>
      <c r="R752" s="2"/>
      <c r="S752" s="2"/>
      <c r="T752" s="2"/>
      <c r="U752" s="2"/>
      <c r="V752" s="2"/>
      <c r="W752" s="2"/>
      <c r="X752" s="2"/>
      <c r="Y752" s="2"/>
      <c r="Z752" s="2"/>
      <c r="AA752" s="2"/>
      <c r="AB752" s="2"/>
      <c r="AC752" s="2"/>
      <c r="AD752" s="2"/>
    </row>
    <row r="753" spans="1:30" ht="13">
      <c r="A753" s="3"/>
      <c r="B753" s="2"/>
      <c r="C753" s="2"/>
      <c r="D753" s="3"/>
      <c r="E753" s="3"/>
      <c r="F753" s="1"/>
      <c r="G753" s="37"/>
      <c r="H753" s="1"/>
      <c r="I753" s="2"/>
      <c r="J753" s="2"/>
      <c r="K753" s="2"/>
      <c r="L753" s="2"/>
      <c r="M753" s="2"/>
      <c r="N753" s="3"/>
      <c r="O753" s="3"/>
      <c r="P753" s="2"/>
      <c r="Q753" s="2"/>
      <c r="R753" s="2"/>
      <c r="S753" s="2"/>
      <c r="T753" s="2"/>
      <c r="U753" s="2"/>
      <c r="V753" s="2"/>
      <c r="W753" s="2"/>
      <c r="X753" s="2"/>
      <c r="Y753" s="2"/>
      <c r="Z753" s="2"/>
      <c r="AA753" s="2"/>
      <c r="AB753" s="2"/>
      <c r="AC753" s="2"/>
      <c r="AD753" s="2"/>
    </row>
    <row r="754" spans="1:30" ht="13">
      <c r="A754" s="3"/>
      <c r="B754" s="2"/>
      <c r="C754" s="2"/>
      <c r="D754" s="3"/>
      <c r="E754" s="3"/>
      <c r="F754" s="1"/>
      <c r="G754" s="37"/>
      <c r="H754" s="1"/>
      <c r="I754" s="2"/>
      <c r="J754" s="2"/>
      <c r="K754" s="2"/>
      <c r="L754" s="2"/>
      <c r="M754" s="2"/>
      <c r="N754" s="3"/>
      <c r="O754" s="3"/>
      <c r="P754" s="2"/>
      <c r="Q754" s="2"/>
      <c r="R754" s="2"/>
      <c r="S754" s="2"/>
      <c r="T754" s="2"/>
      <c r="U754" s="2"/>
      <c r="V754" s="2"/>
      <c r="W754" s="2"/>
      <c r="X754" s="2"/>
      <c r="Y754" s="2"/>
      <c r="Z754" s="2"/>
      <c r="AA754" s="2"/>
      <c r="AB754" s="2"/>
      <c r="AC754" s="2"/>
      <c r="AD754" s="2"/>
    </row>
    <row r="755" spans="1:30" ht="13">
      <c r="A755" s="3"/>
      <c r="B755" s="2"/>
      <c r="C755" s="2"/>
      <c r="D755" s="3"/>
      <c r="E755" s="3"/>
      <c r="F755" s="1"/>
      <c r="G755" s="37"/>
      <c r="H755" s="1"/>
      <c r="I755" s="2"/>
      <c r="J755" s="2"/>
      <c r="K755" s="2"/>
      <c r="L755" s="2"/>
      <c r="M755" s="2"/>
      <c r="N755" s="3"/>
      <c r="O755" s="3"/>
      <c r="P755" s="2"/>
      <c r="Q755" s="2"/>
      <c r="R755" s="2"/>
      <c r="S755" s="2"/>
      <c r="T755" s="2"/>
      <c r="U755" s="2"/>
      <c r="V755" s="2"/>
      <c r="W755" s="2"/>
      <c r="X755" s="2"/>
      <c r="Y755" s="2"/>
      <c r="Z755" s="2"/>
      <c r="AA755" s="2"/>
      <c r="AB755" s="2"/>
      <c r="AC755" s="2"/>
      <c r="AD755" s="2"/>
    </row>
    <row r="756" spans="1:30" ht="13">
      <c r="A756" s="3"/>
      <c r="B756" s="2"/>
      <c r="C756" s="2"/>
      <c r="D756" s="3"/>
      <c r="E756" s="3"/>
      <c r="F756" s="1"/>
      <c r="G756" s="37"/>
      <c r="H756" s="1"/>
      <c r="I756" s="2"/>
      <c r="J756" s="2"/>
      <c r="K756" s="2"/>
      <c r="L756" s="2"/>
      <c r="M756" s="2"/>
      <c r="N756" s="3"/>
      <c r="O756" s="3"/>
      <c r="P756" s="2"/>
      <c r="Q756" s="2"/>
      <c r="R756" s="2"/>
      <c r="S756" s="2"/>
      <c r="T756" s="2"/>
      <c r="U756" s="2"/>
      <c r="V756" s="2"/>
      <c r="W756" s="2"/>
      <c r="X756" s="2"/>
      <c r="Y756" s="2"/>
      <c r="Z756" s="2"/>
      <c r="AA756" s="2"/>
      <c r="AB756" s="2"/>
      <c r="AC756" s="2"/>
      <c r="AD756" s="2"/>
    </row>
    <row r="757" spans="1:30" ht="13">
      <c r="A757" s="3"/>
      <c r="B757" s="2"/>
      <c r="C757" s="2"/>
      <c r="D757" s="3"/>
      <c r="E757" s="3"/>
      <c r="F757" s="1"/>
      <c r="G757" s="37"/>
      <c r="H757" s="1"/>
      <c r="I757" s="2"/>
      <c r="J757" s="2"/>
      <c r="K757" s="2"/>
      <c r="L757" s="2"/>
      <c r="M757" s="2"/>
      <c r="N757" s="3"/>
      <c r="O757" s="3"/>
      <c r="P757" s="2"/>
      <c r="Q757" s="2"/>
      <c r="R757" s="2"/>
      <c r="S757" s="2"/>
      <c r="T757" s="2"/>
      <c r="U757" s="2"/>
      <c r="V757" s="2"/>
      <c r="W757" s="2"/>
      <c r="X757" s="2"/>
      <c r="Y757" s="2"/>
      <c r="Z757" s="2"/>
      <c r="AA757" s="2"/>
      <c r="AB757" s="2"/>
      <c r="AC757" s="2"/>
      <c r="AD757" s="2"/>
    </row>
    <row r="758" spans="1:30" ht="13">
      <c r="A758" s="3"/>
      <c r="B758" s="2"/>
      <c r="C758" s="2"/>
      <c r="D758" s="3"/>
      <c r="E758" s="3"/>
      <c r="F758" s="1"/>
      <c r="G758" s="37"/>
      <c r="H758" s="1"/>
      <c r="I758" s="2"/>
      <c r="J758" s="2"/>
      <c r="K758" s="2"/>
      <c r="L758" s="2"/>
      <c r="M758" s="2"/>
      <c r="N758" s="3"/>
      <c r="O758" s="3"/>
      <c r="P758" s="2"/>
      <c r="Q758" s="2"/>
      <c r="R758" s="2"/>
      <c r="S758" s="2"/>
      <c r="T758" s="2"/>
      <c r="U758" s="2"/>
      <c r="V758" s="2"/>
      <c r="W758" s="2"/>
      <c r="X758" s="2"/>
      <c r="Y758" s="2"/>
      <c r="Z758" s="2"/>
      <c r="AA758" s="2"/>
      <c r="AB758" s="2"/>
      <c r="AC758" s="2"/>
      <c r="AD758" s="2"/>
    </row>
    <row r="759" spans="1:30" ht="13">
      <c r="A759" s="3"/>
      <c r="B759" s="2"/>
      <c r="C759" s="2"/>
      <c r="D759" s="3"/>
      <c r="E759" s="3"/>
      <c r="F759" s="1"/>
      <c r="G759" s="37"/>
      <c r="H759" s="1"/>
      <c r="I759" s="2"/>
      <c r="J759" s="2"/>
      <c r="K759" s="2"/>
      <c r="L759" s="2"/>
      <c r="M759" s="2"/>
      <c r="N759" s="3"/>
      <c r="O759" s="3"/>
      <c r="P759" s="2"/>
      <c r="Q759" s="2"/>
      <c r="R759" s="2"/>
      <c r="S759" s="2"/>
      <c r="T759" s="2"/>
      <c r="U759" s="2"/>
      <c r="V759" s="2"/>
      <c r="W759" s="2"/>
      <c r="X759" s="2"/>
      <c r="Y759" s="2"/>
      <c r="Z759" s="2"/>
      <c r="AA759" s="2"/>
      <c r="AB759" s="2"/>
      <c r="AC759" s="2"/>
      <c r="AD759" s="2"/>
    </row>
    <row r="760" spans="1:30" ht="13">
      <c r="A760" s="3"/>
      <c r="B760" s="2"/>
      <c r="C760" s="2"/>
      <c r="D760" s="3"/>
      <c r="E760" s="3"/>
      <c r="F760" s="1"/>
      <c r="G760" s="37"/>
      <c r="H760" s="1"/>
      <c r="I760" s="2"/>
      <c r="J760" s="2"/>
      <c r="K760" s="2"/>
      <c r="L760" s="2"/>
      <c r="M760" s="2"/>
      <c r="N760" s="3"/>
      <c r="O760" s="3"/>
      <c r="P760" s="2"/>
      <c r="Q760" s="2"/>
      <c r="R760" s="2"/>
      <c r="S760" s="2"/>
      <c r="T760" s="2"/>
      <c r="U760" s="2"/>
      <c r="V760" s="2"/>
      <c r="W760" s="2"/>
      <c r="X760" s="2"/>
      <c r="Y760" s="2"/>
      <c r="Z760" s="2"/>
      <c r="AA760" s="2"/>
      <c r="AB760" s="2"/>
      <c r="AC760" s="2"/>
      <c r="AD760" s="2"/>
    </row>
    <row r="761" spans="1:30" ht="13">
      <c r="A761" s="3"/>
      <c r="B761" s="2"/>
      <c r="C761" s="2"/>
      <c r="D761" s="3"/>
      <c r="E761" s="3"/>
      <c r="F761" s="1"/>
      <c r="G761" s="37"/>
      <c r="H761" s="1"/>
      <c r="I761" s="2"/>
      <c r="J761" s="2"/>
      <c r="K761" s="2"/>
      <c r="L761" s="2"/>
      <c r="M761" s="2"/>
      <c r="N761" s="3"/>
      <c r="O761" s="3"/>
      <c r="P761" s="2"/>
      <c r="Q761" s="2"/>
      <c r="R761" s="2"/>
      <c r="S761" s="2"/>
      <c r="T761" s="2"/>
      <c r="U761" s="2"/>
      <c r="V761" s="2"/>
      <c r="W761" s="2"/>
      <c r="X761" s="2"/>
      <c r="Y761" s="2"/>
      <c r="Z761" s="2"/>
      <c r="AA761" s="2"/>
      <c r="AB761" s="2"/>
      <c r="AC761" s="2"/>
      <c r="AD761" s="2"/>
    </row>
    <row r="762" spans="1:30" ht="13">
      <c r="A762" s="3"/>
      <c r="B762" s="2"/>
      <c r="C762" s="2"/>
      <c r="D762" s="3"/>
      <c r="E762" s="3"/>
      <c r="F762" s="1"/>
      <c r="G762" s="37"/>
      <c r="H762" s="1"/>
      <c r="I762" s="2"/>
      <c r="J762" s="2"/>
      <c r="K762" s="2"/>
      <c r="L762" s="2"/>
      <c r="M762" s="2"/>
      <c r="N762" s="3"/>
      <c r="O762" s="3"/>
      <c r="P762" s="2"/>
      <c r="Q762" s="2"/>
      <c r="R762" s="2"/>
      <c r="S762" s="2"/>
      <c r="T762" s="2"/>
      <c r="U762" s="2"/>
      <c r="V762" s="2"/>
      <c r="W762" s="2"/>
      <c r="X762" s="2"/>
      <c r="Y762" s="2"/>
      <c r="Z762" s="2"/>
      <c r="AA762" s="2"/>
      <c r="AB762" s="2"/>
      <c r="AC762" s="2"/>
      <c r="AD762" s="2"/>
    </row>
    <row r="763" spans="1:30" ht="13">
      <c r="A763" s="3"/>
      <c r="B763" s="2"/>
      <c r="C763" s="2"/>
      <c r="D763" s="3"/>
      <c r="E763" s="3"/>
      <c r="F763" s="1"/>
      <c r="G763" s="37"/>
      <c r="H763" s="1"/>
      <c r="I763" s="2"/>
      <c r="J763" s="2"/>
      <c r="K763" s="2"/>
      <c r="L763" s="2"/>
      <c r="M763" s="2"/>
      <c r="N763" s="3"/>
      <c r="O763" s="3"/>
      <c r="P763" s="2"/>
      <c r="Q763" s="2"/>
      <c r="R763" s="2"/>
      <c r="S763" s="2"/>
      <c r="T763" s="2"/>
      <c r="U763" s="2"/>
      <c r="V763" s="2"/>
      <c r="W763" s="2"/>
      <c r="X763" s="2"/>
      <c r="Y763" s="2"/>
      <c r="Z763" s="2"/>
      <c r="AA763" s="2"/>
      <c r="AB763" s="2"/>
      <c r="AC763" s="2"/>
      <c r="AD763" s="2"/>
    </row>
    <row r="764" spans="1:30" ht="13">
      <c r="A764" s="3"/>
      <c r="B764" s="2"/>
      <c r="C764" s="2"/>
      <c r="D764" s="3"/>
      <c r="E764" s="3"/>
      <c r="F764" s="1"/>
      <c r="G764" s="37"/>
      <c r="H764" s="1"/>
      <c r="I764" s="2"/>
      <c r="J764" s="2"/>
      <c r="K764" s="2"/>
      <c r="L764" s="2"/>
      <c r="M764" s="2"/>
      <c r="N764" s="3"/>
      <c r="O764" s="3"/>
      <c r="P764" s="2"/>
      <c r="Q764" s="2"/>
      <c r="R764" s="2"/>
      <c r="S764" s="2"/>
      <c r="T764" s="2"/>
      <c r="U764" s="2"/>
      <c r="V764" s="2"/>
      <c r="W764" s="2"/>
      <c r="X764" s="2"/>
      <c r="Y764" s="2"/>
      <c r="Z764" s="2"/>
      <c r="AA764" s="2"/>
      <c r="AB764" s="2"/>
      <c r="AC764" s="2"/>
      <c r="AD764" s="2"/>
    </row>
    <row r="765" spans="1:30" ht="13">
      <c r="A765" s="3"/>
      <c r="B765" s="2"/>
      <c r="C765" s="2"/>
      <c r="D765" s="3"/>
      <c r="E765" s="3"/>
      <c r="F765" s="1"/>
      <c r="G765" s="37"/>
      <c r="H765" s="1"/>
      <c r="I765" s="2"/>
      <c r="J765" s="2"/>
      <c r="K765" s="2"/>
      <c r="L765" s="2"/>
      <c r="M765" s="2"/>
      <c r="N765" s="3"/>
      <c r="O765" s="3"/>
      <c r="P765" s="2"/>
      <c r="Q765" s="2"/>
      <c r="R765" s="2"/>
      <c r="S765" s="2"/>
      <c r="T765" s="2"/>
      <c r="U765" s="2"/>
      <c r="V765" s="2"/>
      <c r="W765" s="2"/>
      <c r="X765" s="2"/>
      <c r="Y765" s="2"/>
      <c r="Z765" s="2"/>
      <c r="AA765" s="2"/>
      <c r="AB765" s="2"/>
      <c r="AC765" s="2"/>
      <c r="AD765" s="2"/>
    </row>
    <row r="766" spans="1:30" ht="13">
      <c r="A766" s="3"/>
      <c r="B766" s="2"/>
      <c r="C766" s="2"/>
      <c r="D766" s="3"/>
      <c r="E766" s="3"/>
      <c r="F766" s="1"/>
      <c r="G766" s="37"/>
      <c r="H766" s="1"/>
      <c r="I766" s="2"/>
      <c r="J766" s="2"/>
      <c r="K766" s="2"/>
      <c r="L766" s="2"/>
      <c r="M766" s="2"/>
      <c r="N766" s="3"/>
      <c r="O766" s="3"/>
      <c r="P766" s="2"/>
      <c r="Q766" s="2"/>
      <c r="R766" s="2"/>
      <c r="S766" s="2"/>
      <c r="T766" s="2"/>
      <c r="U766" s="2"/>
      <c r="V766" s="2"/>
      <c r="W766" s="2"/>
      <c r="X766" s="2"/>
      <c r="Y766" s="2"/>
      <c r="Z766" s="2"/>
      <c r="AA766" s="2"/>
      <c r="AB766" s="2"/>
      <c r="AC766" s="2"/>
      <c r="AD766" s="2"/>
    </row>
    <row r="767" spans="1:30" ht="13">
      <c r="A767" s="3"/>
      <c r="B767" s="2"/>
      <c r="C767" s="2"/>
      <c r="D767" s="3"/>
      <c r="E767" s="3"/>
      <c r="F767" s="1"/>
      <c r="G767" s="37"/>
      <c r="H767" s="1"/>
      <c r="I767" s="2"/>
      <c r="J767" s="2"/>
      <c r="K767" s="2"/>
      <c r="L767" s="2"/>
      <c r="M767" s="2"/>
      <c r="N767" s="3"/>
      <c r="O767" s="3"/>
      <c r="P767" s="2"/>
      <c r="Q767" s="2"/>
      <c r="R767" s="2"/>
      <c r="S767" s="2"/>
      <c r="T767" s="2"/>
      <c r="U767" s="2"/>
      <c r="V767" s="2"/>
      <c r="W767" s="2"/>
      <c r="X767" s="2"/>
      <c r="Y767" s="2"/>
      <c r="Z767" s="2"/>
      <c r="AA767" s="2"/>
      <c r="AB767" s="2"/>
      <c r="AC767" s="2"/>
      <c r="AD767" s="2"/>
    </row>
    <row r="768" spans="1:30" ht="13">
      <c r="A768" s="3"/>
      <c r="B768" s="2"/>
      <c r="C768" s="2"/>
      <c r="D768" s="3"/>
      <c r="E768" s="3"/>
      <c r="F768" s="1"/>
      <c r="G768" s="37"/>
      <c r="H768" s="1"/>
      <c r="I768" s="2"/>
      <c r="J768" s="2"/>
      <c r="K768" s="2"/>
      <c r="L768" s="2"/>
      <c r="M768" s="2"/>
      <c r="N768" s="3"/>
      <c r="O768" s="3"/>
      <c r="P768" s="2"/>
      <c r="Q768" s="2"/>
      <c r="R768" s="2"/>
      <c r="S768" s="2"/>
      <c r="T768" s="2"/>
      <c r="U768" s="2"/>
      <c r="V768" s="2"/>
      <c r="W768" s="2"/>
      <c r="X768" s="2"/>
      <c r="Y768" s="2"/>
      <c r="Z768" s="2"/>
      <c r="AA768" s="2"/>
      <c r="AB768" s="2"/>
      <c r="AC768" s="2"/>
      <c r="AD768" s="2"/>
    </row>
    <row r="769" spans="1:30" ht="13">
      <c r="A769" s="3"/>
      <c r="B769" s="2"/>
      <c r="C769" s="2"/>
      <c r="D769" s="3"/>
      <c r="E769" s="3"/>
      <c r="F769" s="1"/>
      <c r="G769" s="37"/>
      <c r="H769" s="1"/>
      <c r="I769" s="2"/>
      <c r="J769" s="2"/>
      <c r="K769" s="2"/>
      <c r="L769" s="2"/>
      <c r="M769" s="2"/>
      <c r="N769" s="3"/>
      <c r="O769" s="3"/>
      <c r="P769" s="2"/>
      <c r="Q769" s="2"/>
      <c r="R769" s="2"/>
      <c r="S769" s="2"/>
      <c r="T769" s="2"/>
      <c r="U769" s="2"/>
      <c r="V769" s="2"/>
      <c r="W769" s="2"/>
      <c r="X769" s="2"/>
      <c r="Y769" s="2"/>
      <c r="Z769" s="2"/>
      <c r="AA769" s="2"/>
      <c r="AB769" s="2"/>
      <c r="AC769" s="2"/>
      <c r="AD769" s="2"/>
    </row>
    <row r="770" spans="1:30" ht="13">
      <c r="A770" s="3"/>
      <c r="B770" s="2"/>
      <c r="C770" s="2"/>
      <c r="D770" s="3"/>
      <c r="E770" s="3"/>
      <c r="F770" s="1"/>
      <c r="G770" s="37"/>
      <c r="H770" s="1"/>
      <c r="I770" s="2"/>
      <c r="J770" s="2"/>
      <c r="K770" s="2"/>
      <c r="L770" s="2"/>
      <c r="M770" s="2"/>
      <c r="N770" s="3"/>
      <c r="O770" s="3"/>
      <c r="P770" s="2"/>
      <c r="Q770" s="2"/>
      <c r="R770" s="2"/>
      <c r="S770" s="2"/>
      <c r="T770" s="2"/>
      <c r="U770" s="2"/>
      <c r="V770" s="2"/>
      <c r="W770" s="2"/>
      <c r="X770" s="2"/>
      <c r="Y770" s="2"/>
      <c r="Z770" s="2"/>
      <c r="AA770" s="2"/>
      <c r="AB770" s="2"/>
      <c r="AC770" s="2"/>
      <c r="AD770" s="2"/>
    </row>
    <row r="771" spans="1:30" ht="13">
      <c r="A771" s="3"/>
      <c r="B771" s="2"/>
      <c r="C771" s="2"/>
      <c r="D771" s="3"/>
      <c r="E771" s="3"/>
      <c r="F771" s="1"/>
      <c r="G771" s="37"/>
      <c r="H771" s="1"/>
      <c r="I771" s="2"/>
      <c r="J771" s="2"/>
      <c r="K771" s="2"/>
      <c r="L771" s="2"/>
      <c r="M771" s="2"/>
      <c r="N771" s="3"/>
      <c r="O771" s="3"/>
      <c r="P771" s="2"/>
      <c r="Q771" s="2"/>
      <c r="R771" s="2"/>
      <c r="S771" s="2"/>
      <c r="T771" s="2"/>
      <c r="U771" s="2"/>
      <c r="V771" s="2"/>
      <c r="W771" s="2"/>
      <c r="X771" s="2"/>
      <c r="Y771" s="2"/>
      <c r="Z771" s="2"/>
      <c r="AA771" s="2"/>
      <c r="AB771" s="2"/>
      <c r="AC771" s="2"/>
      <c r="AD771" s="2"/>
    </row>
    <row r="772" spans="1:30" ht="13">
      <c r="A772" s="3"/>
      <c r="B772" s="2"/>
      <c r="C772" s="2"/>
      <c r="D772" s="3"/>
      <c r="E772" s="3"/>
      <c r="F772" s="1"/>
      <c r="G772" s="37"/>
      <c r="H772" s="1"/>
      <c r="I772" s="2"/>
      <c r="J772" s="2"/>
      <c r="K772" s="2"/>
      <c r="L772" s="2"/>
      <c r="M772" s="2"/>
      <c r="N772" s="3"/>
      <c r="O772" s="3"/>
      <c r="P772" s="2"/>
      <c r="Q772" s="2"/>
      <c r="R772" s="2"/>
      <c r="S772" s="2"/>
      <c r="T772" s="2"/>
      <c r="U772" s="2"/>
      <c r="V772" s="2"/>
      <c r="W772" s="2"/>
      <c r="X772" s="2"/>
      <c r="Y772" s="2"/>
      <c r="Z772" s="2"/>
      <c r="AA772" s="2"/>
      <c r="AB772" s="2"/>
      <c r="AC772" s="2"/>
      <c r="AD772" s="2"/>
    </row>
    <row r="773" spans="1:30" ht="13">
      <c r="A773" s="3"/>
      <c r="B773" s="2"/>
      <c r="C773" s="2"/>
      <c r="D773" s="3"/>
      <c r="E773" s="3"/>
      <c r="F773" s="1"/>
      <c r="G773" s="37"/>
      <c r="H773" s="1"/>
      <c r="I773" s="2"/>
      <c r="J773" s="2"/>
      <c r="K773" s="2"/>
      <c r="L773" s="2"/>
      <c r="M773" s="2"/>
      <c r="N773" s="3"/>
      <c r="O773" s="3"/>
      <c r="P773" s="2"/>
      <c r="Q773" s="2"/>
      <c r="R773" s="2"/>
      <c r="S773" s="2"/>
      <c r="T773" s="2"/>
      <c r="U773" s="2"/>
      <c r="V773" s="2"/>
      <c r="W773" s="2"/>
      <c r="X773" s="2"/>
      <c r="Y773" s="2"/>
      <c r="Z773" s="2"/>
      <c r="AA773" s="2"/>
      <c r="AB773" s="2"/>
      <c r="AC773" s="2"/>
      <c r="AD773" s="2"/>
    </row>
    <row r="774" spans="1:30" ht="13">
      <c r="A774" s="3"/>
      <c r="B774" s="2"/>
      <c r="C774" s="2"/>
      <c r="D774" s="3"/>
      <c r="E774" s="3"/>
      <c r="F774" s="1"/>
      <c r="G774" s="37"/>
      <c r="H774" s="1"/>
      <c r="I774" s="2"/>
      <c r="J774" s="2"/>
      <c r="K774" s="2"/>
      <c r="L774" s="2"/>
      <c r="M774" s="2"/>
      <c r="N774" s="3"/>
      <c r="O774" s="3"/>
      <c r="P774" s="2"/>
      <c r="Q774" s="2"/>
      <c r="R774" s="2"/>
      <c r="S774" s="2"/>
      <c r="T774" s="2"/>
      <c r="U774" s="2"/>
      <c r="V774" s="2"/>
      <c r="W774" s="2"/>
      <c r="X774" s="2"/>
      <c r="Y774" s="2"/>
      <c r="Z774" s="2"/>
      <c r="AA774" s="2"/>
      <c r="AB774" s="2"/>
      <c r="AC774" s="2"/>
      <c r="AD774" s="2"/>
    </row>
    <row r="775" spans="1:30" ht="13">
      <c r="A775" s="3"/>
      <c r="B775" s="2"/>
      <c r="C775" s="2"/>
      <c r="D775" s="3"/>
      <c r="E775" s="3"/>
      <c r="F775" s="1"/>
      <c r="G775" s="37"/>
      <c r="H775" s="1"/>
      <c r="I775" s="2"/>
      <c r="J775" s="2"/>
      <c r="K775" s="2"/>
      <c r="L775" s="2"/>
      <c r="M775" s="2"/>
      <c r="N775" s="3"/>
      <c r="O775" s="3"/>
      <c r="P775" s="2"/>
      <c r="Q775" s="2"/>
      <c r="R775" s="2"/>
      <c r="S775" s="2"/>
      <c r="T775" s="2"/>
      <c r="U775" s="2"/>
      <c r="V775" s="2"/>
      <c r="W775" s="2"/>
      <c r="X775" s="2"/>
      <c r="Y775" s="2"/>
      <c r="Z775" s="2"/>
      <c r="AA775" s="2"/>
      <c r="AB775" s="2"/>
      <c r="AC775" s="2"/>
      <c r="AD775" s="2"/>
    </row>
    <row r="776" spans="1:30" ht="13">
      <c r="A776" s="3"/>
      <c r="B776" s="2"/>
      <c r="C776" s="2"/>
      <c r="D776" s="3"/>
      <c r="E776" s="3"/>
      <c r="F776" s="1"/>
      <c r="G776" s="37"/>
      <c r="H776" s="1"/>
      <c r="I776" s="2"/>
      <c r="J776" s="2"/>
      <c r="K776" s="2"/>
      <c r="L776" s="2"/>
      <c r="M776" s="2"/>
      <c r="N776" s="3"/>
      <c r="O776" s="3"/>
      <c r="P776" s="2"/>
      <c r="Q776" s="2"/>
      <c r="R776" s="2"/>
      <c r="S776" s="2"/>
      <c r="T776" s="2"/>
      <c r="U776" s="2"/>
      <c r="V776" s="2"/>
      <c r="W776" s="2"/>
      <c r="X776" s="2"/>
      <c r="Y776" s="2"/>
      <c r="Z776" s="2"/>
      <c r="AA776" s="2"/>
      <c r="AB776" s="2"/>
      <c r="AC776" s="2"/>
      <c r="AD776" s="2"/>
    </row>
    <row r="777" spans="1:30" ht="13">
      <c r="A777" s="3"/>
      <c r="B777" s="2"/>
      <c r="C777" s="2"/>
      <c r="D777" s="3"/>
      <c r="E777" s="3"/>
      <c r="F777" s="1"/>
      <c r="G777" s="37"/>
      <c r="H777" s="1"/>
      <c r="I777" s="2"/>
      <c r="J777" s="2"/>
      <c r="K777" s="2"/>
      <c r="L777" s="2"/>
      <c r="M777" s="2"/>
      <c r="N777" s="3"/>
      <c r="O777" s="3"/>
      <c r="P777" s="2"/>
      <c r="Q777" s="2"/>
      <c r="R777" s="2"/>
      <c r="S777" s="2"/>
      <c r="T777" s="2"/>
      <c r="U777" s="2"/>
      <c r="V777" s="2"/>
      <c r="W777" s="2"/>
      <c r="X777" s="2"/>
      <c r="Y777" s="2"/>
      <c r="Z777" s="2"/>
      <c r="AA777" s="2"/>
      <c r="AB777" s="2"/>
      <c r="AC777" s="2"/>
      <c r="AD777" s="2"/>
    </row>
    <row r="778" spans="1:30" ht="13">
      <c r="A778" s="3"/>
      <c r="B778" s="2"/>
      <c r="C778" s="2"/>
      <c r="D778" s="3"/>
      <c r="E778" s="3"/>
      <c r="F778" s="1"/>
      <c r="G778" s="37"/>
      <c r="H778" s="1"/>
      <c r="I778" s="2"/>
      <c r="J778" s="2"/>
      <c r="K778" s="2"/>
      <c r="L778" s="2"/>
      <c r="M778" s="2"/>
      <c r="N778" s="3"/>
      <c r="O778" s="3"/>
      <c r="P778" s="2"/>
      <c r="Q778" s="2"/>
      <c r="R778" s="2"/>
      <c r="S778" s="2"/>
      <c r="T778" s="2"/>
      <c r="U778" s="2"/>
      <c r="V778" s="2"/>
      <c r="W778" s="2"/>
      <c r="X778" s="2"/>
      <c r="Y778" s="2"/>
      <c r="Z778" s="2"/>
      <c r="AA778" s="2"/>
      <c r="AB778" s="2"/>
      <c r="AC778" s="2"/>
      <c r="AD778" s="2"/>
    </row>
    <row r="779" spans="1:30" ht="13">
      <c r="A779" s="3"/>
      <c r="B779" s="2"/>
      <c r="C779" s="2"/>
      <c r="D779" s="3"/>
      <c r="E779" s="3"/>
      <c r="F779" s="1"/>
      <c r="G779" s="37"/>
      <c r="H779" s="1"/>
      <c r="I779" s="2"/>
      <c r="J779" s="2"/>
      <c r="K779" s="2"/>
      <c r="L779" s="2"/>
      <c r="M779" s="2"/>
      <c r="N779" s="3"/>
      <c r="O779" s="3"/>
      <c r="P779" s="2"/>
      <c r="Q779" s="2"/>
      <c r="R779" s="2"/>
      <c r="S779" s="2"/>
      <c r="T779" s="2"/>
      <c r="U779" s="2"/>
      <c r="V779" s="2"/>
      <c r="W779" s="2"/>
      <c r="X779" s="2"/>
      <c r="Y779" s="2"/>
      <c r="Z779" s="2"/>
      <c r="AA779" s="2"/>
      <c r="AB779" s="2"/>
      <c r="AC779" s="2"/>
      <c r="AD779" s="2"/>
    </row>
    <row r="780" spans="1:30" ht="13">
      <c r="A780" s="3"/>
      <c r="B780" s="2"/>
      <c r="C780" s="2"/>
      <c r="D780" s="3"/>
      <c r="E780" s="3"/>
      <c r="F780" s="1"/>
      <c r="G780" s="37"/>
      <c r="H780" s="1"/>
      <c r="I780" s="2"/>
      <c r="J780" s="2"/>
      <c r="K780" s="2"/>
      <c r="L780" s="2"/>
      <c r="M780" s="2"/>
      <c r="N780" s="3"/>
      <c r="O780" s="3"/>
      <c r="P780" s="2"/>
      <c r="Q780" s="2"/>
      <c r="R780" s="2"/>
      <c r="S780" s="2"/>
      <c r="T780" s="2"/>
      <c r="U780" s="2"/>
      <c r="V780" s="2"/>
      <c r="W780" s="2"/>
      <c r="X780" s="2"/>
      <c r="Y780" s="2"/>
      <c r="Z780" s="2"/>
      <c r="AA780" s="2"/>
      <c r="AB780" s="2"/>
      <c r="AC780" s="2"/>
      <c r="AD780" s="2"/>
    </row>
    <row r="781" spans="1:30" ht="13">
      <c r="A781" s="3"/>
      <c r="B781" s="2"/>
      <c r="C781" s="2"/>
      <c r="D781" s="3"/>
      <c r="E781" s="3"/>
      <c r="F781" s="1"/>
      <c r="G781" s="37"/>
      <c r="H781" s="1"/>
      <c r="I781" s="2"/>
      <c r="J781" s="2"/>
      <c r="K781" s="2"/>
      <c r="L781" s="2"/>
      <c r="M781" s="2"/>
      <c r="N781" s="3"/>
      <c r="O781" s="3"/>
      <c r="P781" s="2"/>
      <c r="Q781" s="2"/>
      <c r="R781" s="2"/>
      <c r="S781" s="2"/>
      <c r="T781" s="2"/>
      <c r="U781" s="2"/>
      <c r="V781" s="2"/>
      <c r="W781" s="2"/>
      <c r="X781" s="2"/>
      <c r="Y781" s="2"/>
      <c r="Z781" s="2"/>
      <c r="AA781" s="2"/>
      <c r="AB781" s="2"/>
      <c r="AC781" s="2"/>
      <c r="AD781" s="2"/>
    </row>
    <row r="782" spans="1:30" ht="13">
      <c r="A782" s="3"/>
      <c r="B782" s="2"/>
      <c r="C782" s="2"/>
      <c r="D782" s="3"/>
      <c r="E782" s="3"/>
      <c r="F782" s="1"/>
      <c r="G782" s="37"/>
      <c r="H782" s="1"/>
      <c r="I782" s="2"/>
      <c r="J782" s="2"/>
      <c r="K782" s="2"/>
      <c r="L782" s="2"/>
      <c r="M782" s="2"/>
      <c r="N782" s="3"/>
      <c r="O782" s="3"/>
      <c r="P782" s="2"/>
      <c r="Q782" s="2"/>
      <c r="R782" s="2"/>
      <c r="S782" s="2"/>
      <c r="T782" s="2"/>
      <c r="U782" s="2"/>
      <c r="V782" s="2"/>
      <c r="W782" s="2"/>
      <c r="X782" s="2"/>
      <c r="Y782" s="2"/>
      <c r="Z782" s="2"/>
      <c r="AA782" s="2"/>
      <c r="AB782" s="2"/>
      <c r="AC782" s="2"/>
      <c r="AD782" s="2"/>
    </row>
    <row r="783" spans="1:30" ht="13">
      <c r="A783" s="3"/>
      <c r="B783" s="2"/>
      <c r="C783" s="2"/>
      <c r="D783" s="3"/>
      <c r="E783" s="3"/>
      <c r="F783" s="1"/>
      <c r="G783" s="37"/>
      <c r="H783" s="1"/>
      <c r="I783" s="2"/>
      <c r="J783" s="2"/>
      <c r="K783" s="2"/>
      <c r="L783" s="2"/>
      <c r="M783" s="2"/>
      <c r="N783" s="3"/>
      <c r="O783" s="3"/>
      <c r="P783" s="2"/>
      <c r="Q783" s="2"/>
      <c r="R783" s="2"/>
      <c r="S783" s="2"/>
      <c r="T783" s="2"/>
      <c r="U783" s="2"/>
      <c r="V783" s="2"/>
      <c r="W783" s="2"/>
      <c r="X783" s="2"/>
      <c r="Y783" s="2"/>
      <c r="Z783" s="2"/>
      <c r="AA783" s="2"/>
      <c r="AB783" s="2"/>
      <c r="AC783" s="2"/>
      <c r="AD783" s="2"/>
    </row>
    <row r="784" spans="1:30" ht="13">
      <c r="A784" s="3"/>
      <c r="B784" s="2"/>
      <c r="C784" s="2"/>
      <c r="D784" s="3"/>
      <c r="E784" s="3"/>
      <c r="F784" s="1"/>
      <c r="G784" s="37"/>
      <c r="H784" s="1"/>
      <c r="I784" s="2"/>
      <c r="J784" s="2"/>
      <c r="K784" s="2"/>
      <c r="L784" s="2"/>
      <c r="M784" s="2"/>
      <c r="N784" s="3"/>
      <c r="O784" s="3"/>
      <c r="P784" s="2"/>
      <c r="Q784" s="2"/>
      <c r="R784" s="2"/>
      <c r="S784" s="2"/>
      <c r="T784" s="2"/>
      <c r="U784" s="2"/>
      <c r="V784" s="2"/>
      <c r="W784" s="2"/>
      <c r="X784" s="2"/>
      <c r="Y784" s="2"/>
      <c r="Z784" s="2"/>
      <c r="AA784" s="2"/>
      <c r="AB784" s="2"/>
      <c r="AC784" s="2"/>
      <c r="AD784" s="2"/>
    </row>
    <row r="785" spans="1:30" ht="13">
      <c r="A785" s="3"/>
      <c r="B785" s="2"/>
      <c r="C785" s="2"/>
      <c r="D785" s="3"/>
      <c r="E785" s="3"/>
      <c r="F785" s="1"/>
      <c r="G785" s="37"/>
      <c r="H785" s="1"/>
      <c r="I785" s="2"/>
      <c r="J785" s="2"/>
      <c r="K785" s="2"/>
      <c r="L785" s="2"/>
      <c r="M785" s="2"/>
      <c r="N785" s="3"/>
      <c r="O785" s="3"/>
      <c r="P785" s="2"/>
      <c r="Q785" s="2"/>
      <c r="R785" s="2"/>
      <c r="S785" s="2"/>
      <c r="T785" s="2"/>
      <c r="U785" s="2"/>
      <c r="V785" s="2"/>
      <c r="W785" s="2"/>
      <c r="X785" s="2"/>
      <c r="Y785" s="2"/>
      <c r="Z785" s="2"/>
      <c r="AA785" s="2"/>
      <c r="AB785" s="2"/>
      <c r="AC785" s="2"/>
      <c r="AD785" s="2"/>
    </row>
    <row r="786" spans="1:30" ht="13">
      <c r="A786" s="3"/>
      <c r="B786" s="2"/>
      <c r="C786" s="2"/>
      <c r="D786" s="3"/>
      <c r="E786" s="3"/>
      <c r="F786" s="1"/>
      <c r="G786" s="37"/>
      <c r="H786" s="1"/>
      <c r="I786" s="2"/>
      <c r="J786" s="2"/>
      <c r="K786" s="2"/>
      <c r="L786" s="2"/>
      <c r="M786" s="2"/>
      <c r="N786" s="3"/>
      <c r="O786" s="3"/>
      <c r="P786" s="2"/>
      <c r="Q786" s="2"/>
      <c r="R786" s="2"/>
      <c r="S786" s="2"/>
      <c r="T786" s="2"/>
      <c r="U786" s="2"/>
      <c r="V786" s="2"/>
      <c r="W786" s="2"/>
      <c r="X786" s="2"/>
      <c r="Y786" s="2"/>
      <c r="Z786" s="2"/>
      <c r="AA786" s="2"/>
      <c r="AB786" s="2"/>
      <c r="AC786" s="2"/>
      <c r="AD786" s="2"/>
    </row>
    <row r="787" spans="1:30" ht="13">
      <c r="A787" s="3"/>
      <c r="B787" s="2"/>
      <c r="C787" s="2"/>
      <c r="D787" s="3"/>
      <c r="E787" s="3"/>
      <c r="F787" s="1"/>
      <c r="G787" s="37"/>
      <c r="H787" s="1"/>
      <c r="I787" s="2"/>
      <c r="J787" s="2"/>
      <c r="K787" s="2"/>
      <c r="L787" s="2"/>
      <c r="M787" s="2"/>
      <c r="N787" s="3"/>
      <c r="O787" s="3"/>
      <c r="P787" s="2"/>
      <c r="Q787" s="2"/>
      <c r="R787" s="2"/>
      <c r="S787" s="2"/>
      <c r="T787" s="2"/>
      <c r="U787" s="2"/>
      <c r="V787" s="2"/>
      <c r="W787" s="2"/>
      <c r="X787" s="2"/>
      <c r="Y787" s="2"/>
      <c r="Z787" s="2"/>
      <c r="AA787" s="2"/>
      <c r="AB787" s="2"/>
      <c r="AC787" s="2"/>
      <c r="AD787" s="2"/>
    </row>
    <row r="788" spans="1:30" ht="13">
      <c r="A788" s="3"/>
      <c r="B788" s="2"/>
      <c r="C788" s="2"/>
      <c r="D788" s="3"/>
      <c r="E788" s="3"/>
      <c r="F788" s="1"/>
      <c r="G788" s="37"/>
      <c r="H788" s="1"/>
      <c r="I788" s="2"/>
      <c r="J788" s="2"/>
      <c r="K788" s="2"/>
      <c r="L788" s="2"/>
      <c r="M788" s="2"/>
      <c r="N788" s="3"/>
      <c r="O788" s="3"/>
      <c r="P788" s="2"/>
      <c r="Q788" s="2"/>
      <c r="R788" s="2"/>
      <c r="S788" s="2"/>
      <c r="T788" s="2"/>
      <c r="U788" s="2"/>
      <c r="V788" s="2"/>
      <c r="W788" s="2"/>
      <c r="X788" s="2"/>
      <c r="Y788" s="2"/>
      <c r="Z788" s="2"/>
      <c r="AA788" s="2"/>
      <c r="AB788" s="2"/>
      <c r="AC788" s="2"/>
      <c r="AD788" s="2"/>
    </row>
    <row r="789" spans="1:30" ht="13">
      <c r="A789" s="3"/>
      <c r="B789" s="2"/>
      <c r="C789" s="2"/>
      <c r="D789" s="3"/>
      <c r="E789" s="3"/>
      <c r="F789" s="1"/>
      <c r="G789" s="37"/>
      <c r="H789" s="1"/>
      <c r="I789" s="2"/>
      <c r="J789" s="2"/>
      <c r="K789" s="2"/>
      <c r="L789" s="2"/>
      <c r="M789" s="2"/>
      <c r="N789" s="3"/>
      <c r="O789" s="3"/>
      <c r="P789" s="2"/>
      <c r="Q789" s="2"/>
      <c r="R789" s="2"/>
      <c r="S789" s="2"/>
      <c r="T789" s="2"/>
      <c r="U789" s="2"/>
      <c r="V789" s="2"/>
      <c r="W789" s="2"/>
      <c r="X789" s="2"/>
      <c r="Y789" s="2"/>
      <c r="Z789" s="2"/>
      <c r="AA789" s="2"/>
      <c r="AB789" s="2"/>
      <c r="AC789" s="2"/>
      <c r="AD789" s="2"/>
    </row>
    <row r="790" spans="1:30" ht="13">
      <c r="A790" s="3"/>
      <c r="B790" s="2"/>
      <c r="C790" s="2"/>
      <c r="D790" s="3"/>
      <c r="E790" s="3"/>
      <c r="F790" s="1"/>
      <c r="G790" s="37"/>
      <c r="H790" s="1"/>
      <c r="I790" s="2"/>
      <c r="J790" s="2"/>
      <c r="K790" s="2"/>
      <c r="L790" s="2"/>
      <c r="M790" s="2"/>
      <c r="N790" s="3"/>
      <c r="O790" s="3"/>
      <c r="P790" s="2"/>
      <c r="Q790" s="2"/>
      <c r="R790" s="2"/>
      <c r="S790" s="2"/>
      <c r="T790" s="2"/>
      <c r="U790" s="2"/>
      <c r="V790" s="2"/>
      <c r="W790" s="2"/>
      <c r="X790" s="2"/>
      <c r="Y790" s="2"/>
      <c r="Z790" s="2"/>
      <c r="AA790" s="2"/>
      <c r="AB790" s="2"/>
      <c r="AC790" s="2"/>
      <c r="AD790" s="2"/>
    </row>
    <row r="791" spans="1:30" ht="13">
      <c r="A791" s="3"/>
      <c r="B791" s="2"/>
      <c r="C791" s="2"/>
      <c r="D791" s="3"/>
      <c r="E791" s="3"/>
      <c r="F791" s="1"/>
      <c r="G791" s="37"/>
      <c r="H791" s="1"/>
      <c r="I791" s="2"/>
      <c r="J791" s="2"/>
      <c r="K791" s="2"/>
      <c r="L791" s="2"/>
      <c r="M791" s="2"/>
      <c r="N791" s="3"/>
      <c r="O791" s="3"/>
      <c r="P791" s="2"/>
      <c r="Q791" s="2"/>
      <c r="R791" s="2"/>
      <c r="S791" s="2"/>
      <c r="T791" s="2"/>
      <c r="U791" s="2"/>
      <c r="V791" s="2"/>
      <c r="W791" s="2"/>
      <c r="X791" s="2"/>
      <c r="Y791" s="2"/>
      <c r="Z791" s="2"/>
      <c r="AA791" s="2"/>
      <c r="AB791" s="2"/>
      <c r="AC791" s="2"/>
      <c r="AD791" s="2"/>
    </row>
    <row r="792" spans="1:30" ht="13">
      <c r="A792" s="3"/>
      <c r="B792" s="2"/>
      <c r="C792" s="2"/>
      <c r="D792" s="3"/>
      <c r="E792" s="3"/>
      <c r="F792" s="1"/>
      <c r="G792" s="37"/>
      <c r="H792" s="1"/>
      <c r="I792" s="2"/>
      <c r="J792" s="2"/>
      <c r="K792" s="2"/>
      <c r="L792" s="2"/>
      <c r="M792" s="2"/>
      <c r="N792" s="3"/>
      <c r="O792" s="3"/>
      <c r="P792" s="2"/>
      <c r="Q792" s="2"/>
      <c r="R792" s="2"/>
      <c r="S792" s="2"/>
      <c r="T792" s="2"/>
      <c r="U792" s="2"/>
      <c r="V792" s="2"/>
      <c r="W792" s="2"/>
      <c r="X792" s="2"/>
      <c r="Y792" s="2"/>
      <c r="Z792" s="2"/>
      <c r="AA792" s="2"/>
      <c r="AB792" s="2"/>
      <c r="AC792" s="2"/>
      <c r="AD792" s="2"/>
    </row>
    <row r="793" spans="1:30" ht="13">
      <c r="A793" s="3"/>
      <c r="B793" s="2"/>
      <c r="C793" s="2"/>
      <c r="D793" s="3"/>
      <c r="E793" s="3"/>
      <c r="F793" s="1"/>
      <c r="G793" s="37"/>
      <c r="H793" s="1"/>
      <c r="I793" s="2"/>
      <c r="J793" s="2"/>
      <c r="K793" s="2"/>
      <c r="L793" s="2"/>
      <c r="M793" s="2"/>
      <c r="N793" s="3"/>
      <c r="O793" s="3"/>
      <c r="P793" s="2"/>
      <c r="Q793" s="2"/>
      <c r="R793" s="2"/>
      <c r="S793" s="2"/>
      <c r="T793" s="2"/>
      <c r="U793" s="2"/>
      <c r="V793" s="2"/>
      <c r="W793" s="2"/>
      <c r="X793" s="2"/>
      <c r="Y793" s="2"/>
      <c r="Z793" s="2"/>
      <c r="AA793" s="2"/>
      <c r="AB793" s="2"/>
      <c r="AC793" s="2"/>
      <c r="AD793" s="2"/>
    </row>
    <row r="794" spans="1:30" ht="13">
      <c r="A794" s="3"/>
      <c r="B794" s="2"/>
      <c r="C794" s="2"/>
      <c r="D794" s="3"/>
      <c r="E794" s="3"/>
      <c r="F794" s="1"/>
      <c r="G794" s="37"/>
      <c r="H794" s="1"/>
      <c r="I794" s="2"/>
      <c r="J794" s="2"/>
      <c r="K794" s="2"/>
      <c r="L794" s="2"/>
      <c r="M794" s="2"/>
      <c r="N794" s="3"/>
      <c r="O794" s="3"/>
      <c r="P794" s="2"/>
      <c r="Q794" s="2"/>
      <c r="R794" s="2"/>
      <c r="S794" s="2"/>
      <c r="T794" s="2"/>
      <c r="U794" s="2"/>
      <c r="V794" s="2"/>
      <c r="W794" s="2"/>
      <c r="X794" s="2"/>
      <c r="Y794" s="2"/>
      <c r="Z794" s="2"/>
      <c r="AA794" s="2"/>
      <c r="AB794" s="2"/>
      <c r="AC794" s="2"/>
      <c r="AD794" s="2"/>
    </row>
    <row r="795" spans="1:30" ht="13">
      <c r="A795" s="3"/>
      <c r="B795" s="2"/>
      <c r="C795" s="2"/>
      <c r="D795" s="3"/>
      <c r="E795" s="3"/>
      <c r="F795" s="1"/>
      <c r="G795" s="37"/>
      <c r="H795" s="1"/>
      <c r="I795" s="2"/>
      <c r="J795" s="2"/>
      <c r="K795" s="2"/>
      <c r="L795" s="2"/>
      <c r="M795" s="2"/>
      <c r="N795" s="3"/>
      <c r="O795" s="3"/>
      <c r="P795" s="2"/>
      <c r="Q795" s="2"/>
      <c r="R795" s="2"/>
      <c r="S795" s="2"/>
      <c r="T795" s="2"/>
      <c r="U795" s="2"/>
      <c r="V795" s="2"/>
      <c r="W795" s="2"/>
      <c r="X795" s="2"/>
      <c r="Y795" s="2"/>
      <c r="Z795" s="2"/>
      <c r="AA795" s="2"/>
      <c r="AB795" s="2"/>
      <c r="AC795" s="2"/>
      <c r="AD795" s="2"/>
    </row>
    <row r="796" spans="1:30" ht="13">
      <c r="A796" s="3"/>
      <c r="B796" s="2"/>
      <c r="C796" s="2"/>
      <c r="D796" s="3"/>
      <c r="E796" s="3"/>
      <c r="F796" s="1"/>
      <c r="G796" s="37"/>
      <c r="H796" s="1"/>
      <c r="I796" s="2"/>
      <c r="J796" s="2"/>
      <c r="K796" s="2"/>
      <c r="L796" s="2"/>
      <c r="M796" s="2"/>
      <c r="N796" s="3"/>
      <c r="O796" s="3"/>
      <c r="P796" s="2"/>
      <c r="Q796" s="2"/>
      <c r="R796" s="2"/>
      <c r="S796" s="2"/>
      <c r="T796" s="2"/>
      <c r="U796" s="2"/>
      <c r="V796" s="2"/>
      <c r="W796" s="2"/>
      <c r="X796" s="2"/>
      <c r="Y796" s="2"/>
      <c r="Z796" s="2"/>
      <c r="AA796" s="2"/>
      <c r="AB796" s="2"/>
      <c r="AC796" s="2"/>
      <c r="AD796" s="2"/>
    </row>
    <row r="797" spans="1:30" ht="13">
      <c r="A797" s="3"/>
      <c r="B797" s="2"/>
      <c r="C797" s="2"/>
      <c r="D797" s="3"/>
      <c r="E797" s="3"/>
      <c r="F797" s="1"/>
      <c r="G797" s="37"/>
      <c r="H797" s="1"/>
      <c r="I797" s="2"/>
      <c r="J797" s="2"/>
      <c r="K797" s="2"/>
      <c r="L797" s="2"/>
      <c r="M797" s="2"/>
      <c r="N797" s="3"/>
      <c r="O797" s="3"/>
      <c r="P797" s="2"/>
      <c r="Q797" s="2"/>
      <c r="R797" s="2"/>
      <c r="S797" s="2"/>
      <c r="T797" s="2"/>
      <c r="U797" s="2"/>
      <c r="V797" s="2"/>
      <c r="W797" s="2"/>
      <c r="X797" s="2"/>
      <c r="Y797" s="2"/>
      <c r="Z797" s="2"/>
      <c r="AA797" s="2"/>
      <c r="AB797" s="2"/>
      <c r="AC797" s="2"/>
      <c r="AD797" s="2"/>
    </row>
    <row r="798" spans="1:30" ht="13">
      <c r="A798" s="3"/>
      <c r="B798" s="2"/>
      <c r="C798" s="2"/>
      <c r="D798" s="3"/>
      <c r="E798" s="3"/>
      <c r="F798" s="1"/>
      <c r="G798" s="37"/>
      <c r="H798" s="1"/>
      <c r="I798" s="2"/>
      <c r="J798" s="2"/>
      <c r="K798" s="2"/>
      <c r="L798" s="2"/>
      <c r="M798" s="2"/>
      <c r="N798" s="3"/>
      <c r="O798" s="3"/>
      <c r="P798" s="2"/>
      <c r="Q798" s="2"/>
      <c r="R798" s="2"/>
      <c r="S798" s="2"/>
      <c r="T798" s="2"/>
      <c r="U798" s="2"/>
      <c r="V798" s="2"/>
      <c r="W798" s="2"/>
      <c r="X798" s="2"/>
      <c r="Y798" s="2"/>
      <c r="Z798" s="2"/>
      <c r="AA798" s="2"/>
      <c r="AB798" s="2"/>
      <c r="AC798" s="2"/>
      <c r="AD798" s="2"/>
    </row>
    <row r="799" spans="1:30" ht="13">
      <c r="A799" s="3"/>
      <c r="B799" s="2"/>
      <c r="C799" s="2"/>
      <c r="D799" s="3"/>
      <c r="E799" s="3"/>
      <c r="F799" s="1"/>
      <c r="G799" s="37"/>
      <c r="H799" s="1"/>
      <c r="I799" s="2"/>
      <c r="J799" s="2"/>
      <c r="K799" s="2"/>
      <c r="L799" s="2"/>
      <c r="M799" s="2"/>
      <c r="N799" s="3"/>
      <c r="O799" s="3"/>
      <c r="P799" s="2"/>
      <c r="Q799" s="2"/>
      <c r="R799" s="2"/>
      <c r="S799" s="2"/>
      <c r="T799" s="2"/>
      <c r="U799" s="2"/>
      <c r="V799" s="2"/>
      <c r="W799" s="2"/>
      <c r="X799" s="2"/>
      <c r="Y799" s="2"/>
      <c r="Z799" s="2"/>
      <c r="AA799" s="2"/>
      <c r="AB799" s="2"/>
      <c r="AC799" s="2"/>
      <c r="AD799" s="2"/>
    </row>
    <row r="800" spans="1:30" ht="13">
      <c r="A800" s="3"/>
      <c r="B800" s="2"/>
      <c r="C800" s="2"/>
      <c r="D800" s="3"/>
      <c r="E800" s="3"/>
      <c r="F800" s="1"/>
      <c r="G800" s="37"/>
      <c r="H800" s="1"/>
      <c r="I800" s="2"/>
      <c r="J800" s="2"/>
      <c r="K800" s="2"/>
      <c r="L800" s="2"/>
      <c r="M800" s="2"/>
      <c r="N800" s="3"/>
      <c r="O800" s="3"/>
      <c r="P800" s="2"/>
      <c r="Q800" s="2"/>
      <c r="R800" s="2"/>
      <c r="S800" s="2"/>
      <c r="T800" s="2"/>
      <c r="U800" s="2"/>
      <c r="V800" s="2"/>
      <c r="W800" s="2"/>
      <c r="X800" s="2"/>
      <c r="Y800" s="2"/>
      <c r="Z800" s="2"/>
      <c r="AA800" s="2"/>
      <c r="AB800" s="2"/>
      <c r="AC800" s="2"/>
      <c r="AD800" s="2"/>
    </row>
    <row r="801" spans="1:30" ht="13">
      <c r="A801" s="3"/>
      <c r="B801" s="2"/>
      <c r="C801" s="2"/>
      <c r="D801" s="3"/>
      <c r="E801" s="3"/>
      <c r="F801" s="1"/>
      <c r="G801" s="37"/>
      <c r="H801" s="1"/>
      <c r="I801" s="2"/>
      <c r="J801" s="2"/>
      <c r="K801" s="2"/>
      <c r="L801" s="2"/>
      <c r="M801" s="2"/>
      <c r="N801" s="3"/>
      <c r="O801" s="3"/>
      <c r="P801" s="2"/>
      <c r="Q801" s="2"/>
      <c r="R801" s="2"/>
      <c r="S801" s="2"/>
      <c r="T801" s="2"/>
      <c r="U801" s="2"/>
      <c r="V801" s="2"/>
      <c r="W801" s="2"/>
      <c r="X801" s="2"/>
      <c r="Y801" s="2"/>
      <c r="Z801" s="2"/>
      <c r="AA801" s="2"/>
      <c r="AB801" s="2"/>
      <c r="AC801" s="2"/>
      <c r="AD801" s="2"/>
    </row>
    <row r="802" spans="1:30" ht="13">
      <c r="A802" s="3"/>
      <c r="B802" s="2"/>
      <c r="C802" s="2"/>
      <c r="D802" s="3"/>
      <c r="E802" s="3"/>
      <c r="F802" s="1"/>
      <c r="G802" s="37"/>
      <c r="H802" s="1"/>
      <c r="I802" s="2"/>
      <c r="J802" s="2"/>
      <c r="K802" s="2"/>
      <c r="L802" s="2"/>
      <c r="M802" s="2"/>
      <c r="N802" s="3"/>
      <c r="O802" s="3"/>
      <c r="P802" s="2"/>
      <c r="Q802" s="2"/>
      <c r="R802" s="2"/>
      <c r="S802" s="2"/>
      <c r="T802" s="2"/>
      <c r="U802" s="2"/>
      <c r="V802" s="2"/>
      <c r="W802" s="2"/>
      <c r="X802" s="2"/>
      <c r="Y802" s="2"/>
      <c r="Z802" s="2"/>
      <c r="AA802" s="2"/>
      <c r="AB802" s="2"/>
      <c r="AC802" s="2"/>
      <c r="AD802" s="2"/>
    </row>
    <row r="803" spans="1:30" ht="13">
      <c r="A803" s="3"/>
      <c r="B803" s="2"/>
      <c r="C803" s="2"/>
      <c r="D803" s="3"/>
      <c r="E803" s="3"/>
      <c r="F803" s="1"/>
      <c r="G803" s="37"/>
      <c r="H803" s="1"/>
      <c r="I803" s="2"/>
      <c r="J803" s="2"/>
      <c r="K803" s="2"/>
      <c r="L803" s="2"/>
      <c r="M803" s="2"/>
      <c r="N803" s="3"/>
      <c r="O803" s="3"/>
      <c r="P803" s="2"/>
      <c r="Q803" s="2"/>
      <c r="R803" s="2"/>
      <c r="S803" s="2"/>
      <c r="T803" s="2"/>
      <c r="U803" s="2"/>
      <c r="V803" s="2"/>
      <c r="W803" s="2"/>
      <c r="X803" s="2"/>
      <c r="Y803" s="2"/>
      <c r="Z803" s="2"/>
      <c r="AA803" s="2"/>
      <c r="AB803" s="2"/>
      <c r="AC803" s="2"/>
      <c r="AD803" s="2"/>
    </row>
    <row r="804" spans="1:30" ht="13">
      <c r="A804" s="3"/>
      <c r="B804" s="2"/>
      <c r="C804" s="2"/>
      <c r="D804" s="3"/>
      <c r="E804" s="3"/>
      <c r="F804" s="1"/>
      <c r="G804" s="37"/>
      <c r="H804" s="1"/>
      <c r="I804" s="2"/>
      <c r="J804" s="2"/>
      <c r="K804" s="2"/>
      <c r="L804" s="2"/>
      <c r="M804" s="2"/>
      <c r="N804" s="3"/>
      <c r="O804" s="3"/>
      <c r="P804" s="2"/>
      <c r="Q804" s="2"/>
      <c r="R804" s="2"/>
      <c r="S804" s="2"/>
      <c r="T804" s="2"/>
      <c r="U804" s="2"/>
      <c r="V804" s="2"/>
      <c r="W804" s="2"/>
      <c r="X804" s="2"/>
      <c r="Y804" s="2"/>
      <c r="Z804" s="2"/>
      <c r="AA804" s="2"/>
      <c r="AB804" s="2"/>
      <c r="AC804" s="2"/>
      <c r="AD804" s="2"/>
    </row>
    <row r="805" spans="1:30" ht="13">
      <c r="A805" s="3"/>
      <c r="B805" s="2"/>
      <c r="C805" s="2"/>
      <c r="D805" s="3"/>
      <c r="E805" s="3"/>
      <c r="F805" s="1"/>
      <c r="G805" s="37"/>
      <c r="H805" s="1"/>
      <c r="I805" s="2"/>
      <c r="J805" s="2"/>
      <c r="K805" s="2"/>
      <c r="L805" s="2"/>
      <c r="M805" s="2"/>
      <c r="N805" s="3"/>
      <c r="O805" s="3"/>
      <c r="P805" s="2"/>
      <c r="Q805" s="2"/>
      <c r="R805" s="2"/>
      <c r="S805" s="2"/>
      <c r="T805" s="2"/>
      <c r="U805" s="2"/>
      <c r="V805" s="2"/>
      <c r="W805" s="2"/>
      <c r="X805" s="2"/>
      <c r="Y805" s="2"/>
      <c r="Z805" s="2"/>
      <c r="AA805" s="2"/>
      <c r="AB805" s="2"/>
      <c r="AC805" s="2"/>
      <c r="AD805" s="2"/>
    </row>
    <row r="806" spans="1:30" ht="13">
      <c r="A806" s="3"/>
      <c r="B806" s="2"/>
      <c r="C806" s="2"/>
      <c r="D806" s="3"/>
      <c r="E806" s="3"/>
      <c r="F806" s="1"/>
      <c r="G806" s="37"/>
      <c r="H806" s="1"/>
      <c r="I806" s="2"/>
      <c r="J806" s="2"/>
      <c r="K806" s="2"/>
      <c r="L806" s="2"/>
      <c r="M806" s="2"/>
      <c r="N806" s="3"/>
      <c r="O806" s="3"/>
      <c r="P806" s="2"/>
      <c r="Q806" s="2"/>
      <c r="R806" s="2"/>
      <c r="S806" s="2"/>
      <c r="T806" s="2"/>
      <c r="U806" s="2"/>
      <c r="V806" s="2"/>
      <c r="W806" s="2"/>
      <c r="X806" s="2"/>
      <c r="Y806" s="2"/>
      <c r="Z806" s="2"/>
      <c r="AA806" s="2"/>
      <c r="AB806" s="2"/>
      <c r="AC806" s="2"/>
      <c r="AD806" s="2"/>
    </row>
    <row r="807" spans="1:30" ht="13">
      <c r="A807" s="3"/>
      <c r="B807" s="2"/>
      <c r="C807" s="2"/>
      <c r="D807" s="3"/>
      <c r="E807" s="3"/>
      <c r="F807" s="1"/>
      <c r="G807" s="37"/>
      <c r="H807" s="1"/>
      <c r="I807" s="2"/>
      <c r="J807" s="2"/>
      <c r="K807" s="2"/>
      <c r="L807" s="2"/>
      <c r="M807" s="2"/>
      <c r="N807" s="3"/>
      <c r="O807" s="3"/>
      <c r="P807" s="2"/>
      <c r="Q807" s="2"/>
      <c r="R807" s="2"/>
      <c r="S807" s="2"/>
      <c r="T807" s="2"/>
      <c r="U807" s="2"/>
      <c r="V807" s="2"/>
      <c r="W807" s="2"/>
      <c r="X807" s="2"/>
      <c r="Y807" s="2"/>
      <c r="Z807" s="2"/>
      <c r="AA807" s="2"/>
      <c r="AB807" s="2"/>
      <c r="AC807" s="2"/>
      <c r="AD807" s="2"/>
    </row>
    <row r="808" spans="1:30" ht="13">
      <c r="A808" s="3"/>
      <c r="B808" s="2"/>
      <c r="C808" s="2"/>
      <c r="D808" s="3"/>
      <c r="E808" s="3"/>
      <c r="F808" s="1"/>
      <c r="G808" s="37"/>
      <c r="H808" s="1"/>
      <c r="I808" s="2"/>
      <c r="J808" s="2"/>
      <c r="K808" s="2"/>
      <c r="L808" s="2"/>
      <c r="M808" s="2"/>
      <c r="N808" s="3"/>
      <c r="O808" s="3"/>
      <c r="P808" s="2"/>
      <c r="Q808" s="2"/>
      <c r="R808" s="2"/>
      <c r="S808" s="2"/>
      <c r="T808" s="2"/>
      <c r="U808" s="2"/>
      <c r="V808" s="2"/>
      <c r="W808" s="2"/>
      <c r="X808" s="2"/>
      <c r="Y808" s="2"/>
      <c r="Z808" s="2"/>
      <c r="AA808" s="2"/>
      <c r="AB808" s="2"/>
      <c r="AC808" s="2"/>
      <c r="AD808" s="2"/>
    </row>
    <row r="809" spans="1:30" ht="13">
      <c r="A809" s="3"/>
      <c r="B809" s="2"/>
      <c r="C809" s="2"/>
      <c r="D809" s="3"/>
      <c r="E809" s="3"/>
      <c r="F809" s="1"/>
      <c r="G809" s="37"/>
      <c r="H809" s="1"/>
      <c r="I809" s="2"/>
      <c r="J809" s="2"/>
      <c r="K809" s="2"/>
      <c r="L809" s="2"/>
      <c r="M809" s="2"/>
      <c r="N809" s="3"/>
      <c r="O809" s="3"/>
      <c r="P809" s="2"/>
      <c r="Q809" s="2"/>
      <c r="R809" s="2"/>
      <c r="S809" s="2"/>
      <c r="T809" s="2"/>
      <c r="U809" s="2"/>
      <c r="V809" s="2"/>
      <c r="W809" s="2"/>
      <c r="X809" s="2"/>
      <c r="Y809" s="2"/>
      <c r="Z809" s="2"/>
      <c r="AA809" s="2"/>
      <c r="AB809" s="2"/>
      <c r="AC809" s="2"/>
      <c r="AD809" s="2"/>
    </row>
    <row r="810" spans="1:30" ht="13">
      <c r="A810" s="3"/>
      <c r="B810" s="2"/>
      <c r="C810" s="2"/>
      <c r="D810" s="3"/>
      <c r="E810" s="3"/>
      <c r="F810" s="1"/>
      <c r="G810" s="37"/>
      <c r="H810" s="1"/>
      <c r="I810" s="2"/>
      <c r="J810" s="2"/>
      <c r="K810" s="2"/>
      <c r="L810" s="2"/>
      <c r="M810" s="2"/>
      <c r="N810" s="3"/>
      <c r="O810" s="3"/>
      <c r="P810" s="2"/>
      <c r="Q810" s="2"/>
      <c r="R810" s="2"/>
      <c r="S810" s="2"/>
      <c r="T810" s="2"/>
      <c r="U810" s="2"/>
      <c r="V810" s="2"/>
      <c r="W810" s="2"/>
      <c r="X810" s="2"/>
      <c r="Y810" s="2"/>
      <c r="Z810" s="2"/>
      <c r="AA810" s="2"/>
      <c r="AB810" s="2"/>
      <c r="AC810" s="2"/>
      <c r="AD810" s="2"/>
    </row>
    <row r="811" spans="1:30" ht="13">
      <c r="A811" s="3"/>
      <c r="B811" s="2"/>
      <c r="C811" s="2"/>
      <c r="D811" s="3"/>
      <c r="E811" s="3"/>
      <c r="F811" s="1"/>
      <c r="G811" s="37"/>
      <c r="H811" s="1"/>
      <c r="I811" s="2"/>
      <c r="J811" s="2"/>
      <c r="K811" s="2"/>
      <c r="L811" s="2"/>
      <c r="M811" s="2"/>
      <c r="N811" s="3"/>
      <c r="O811" s="3"/>
      <c r="P811" s="2"/>
      <c r="Q811" s="2"/>
      <c r="R811" s="2"/>
      <c r="S811" s="2"/>
      <c r="T811" s="2"/>
      <c r="U811" s="2"/>
      <c r="V811" s="2"/>
      <c r="W811" s="2"/>
      <c r="X811" s="2"/>
      <c r="Y811" s="2"/>
      <c r="Z811" s="2"/>
      <c r="AA811" s="2"/>
      <c r="AB811" s="2"/>
      <c r="AC811" s="2"/>
      <c r="AD811" s="2"/>
    </row>
    <row r="812" spans="1:30" ht="13">
      <c r="A812" s="3"/>
      <c r="B812" s="2"/>
      <c r="C812" s="2"/>
      <c r="D812" s="3"/>
      <c r="E812" s="3"/>
      <c r="F812" s="1"/>
      <c r="G812" s="37"/>
      <c r="H812" s="1"/>
      <c r="I812" s="2"/>
      <c r="J812" s="2"/>
      <c r="K812" s="2"/>
      <c r="L812" s="2"/>
      <c r="M812" s="2"/>
      <c r="N812" s="3"/>
      <c r="O812" s="3"/>
      <c r="P812" s="2"/>
      <c r="Q812" s="2"/>
      <c r="R812" s="2"/>
      <c r="S812" s="2"/>
      <c r="T812" s="2"/>
      <c r="U812" s="2"/>
      <c r="V812" s="2"/>
      <c r="W812" s="2"/>
      <c r="X812" s="2"/>
      <c r="Y812" s="2"/>
      <c r="Z812" s="2"/>
      <c r="AA812" s="2"/>
      <c r="AB812" s="2"/>
      <c r="AC812" s="2"/>
      <c r="AD812" s="2"/>
    </row>
    <row r="813" spans="1:30" ht="13">
      <c r="A813" s="3"/>
      <c r="B813" s="2"/>
      <c r="C813" s="2"/>
      <c r="D813" s="3"/>
      <c r="E813" s="3"/>
      <c r="F813" s="1"/>
      <c r="G813" s="37"/>
      <c r="H813" s="1"/>
      <c r="I813" s="2"/>
      <c r="J813" s="2"/>
      <c r="K813" s="2"/>
      <c r="L813" s="2"/>
      <c r="M813" s="2"/>
      <c r="N813" s="3"/>
      <c r="O813" s="3"/>
      <c r="P813" s="2"/>
      <c r="Q813" s="2"/>
      <c r="R813" s="2"/>
      <c r="S813" s="2"/>
      <c r="T813" s="2"/>
      <c r="U813" s="2"/>
      <c r="V813" s="2"/>
      <c r="W813" s="2"/>
      <c r="X813" s="2"/>
      <c r="Y813" s="2"/>
      <c r="Z813" s="2"/>
      <c r="AA813" s="2"/>
      <c r="AB813" s="2"/>
      <c r="AC813" s="2"/>
      <c r="AD813" s="2"/>
    </row>
    <row r="814" spans="1:30" ht="13">
      <c r="A814" s="3"/>
      <c r="B814" s="2"/>
      <c r="C814" s="2"/>
      <c r="D814" s="3"/>
      <c r="E814" s="3"/>
      <c r="F814" s="1"/>
      <c r="G814" s="37"/>
      <c r="H814" s="1"/>
      <c r="I814" s="2"/>
      <c r="J814" s="2"/>
      <c r="K814" s="2"/>
      <c r="L814" s="2"/>
      <c r="M814" s="2"/>
      <c r="N814" s="3"/>
      <c r="O814" s="3"/>
      <c r="P814" s="2"/>
      <c r="Q814" s="2"/>
      <c r="R814" s="2"/>
      <c r="S814" s="2"/>
      <c r="T814" s="2"/>
      <c r="U814" s="2"/>
      <c r="V814" s="2"/>
      <c r="W814" s="2"/>
      <c r="X814" s="2"/>
      <c r="Y814" s="2"/>
      <c r="Z814" s="2"/>
      <c r="AA814" s="2"/>
      <c r="AB814" s="2"/>
      <c r="AC814" s="2"/>
      <c r="AD814" s="2"/>
    </row>
    <row r="815" spans="1:30" ht="13">
      <c r="A815" s="3"/>
      <c r="B815" s="2"/>
      <c r="C815" s="2"/>
      <c r="D815" s="3"/>
      <c r="E815" s="3"/>
      <c r="F815" s="1"/>
      <c r="G815" s="37"/>
      <c r="H815" s="1"/>
      <c r="I815" s="2"/>
      <c r="J815" s="2"/>
      <c r="K815" s="2"/>
      <c r="L815" s="2"/>
      <c r="M815" s="2"/>
      <c r="N815" s="3"/>
      <c r="O815" s="3"/>
      <c r="P815" s="2"/>
      <c r="Q815" s="2"/>
      <c r="R815" s="2"/>
      <c r="S815" s="2"/>
      <c r="T815" s="2"/>
      <c r="U815" s="2"/>
      <c r="V815" s="2"/>
      <c r="W815" s="2"/>
      <c r="X815" s="2"/>
      <c r="Y815" s="2"/>
      <c r="Z815" s="2"/>
      <c r="AA815" s="2"/>
      <c r="AB815" s="2"/>
      <c r="AC815" s="2"/>
      <c r="AD815" s="2"/>
    </row>
    <row r="816" spans="1:30" ht="13">
      <c r="A816" s="3"/>
      <c r="B816" s="2"/>
      <c r="C816" s="2"/>
      <c r="D816" s="3"/>
      <c r="E816" s="3"/>
      <c r="F816" s="1"/>
      <c r="G816" s="37"/>
      <c r="H816" s="1"/>
      <c r="I816" s="2"/>
      <c r="J816" s="2"/>
      <c r="K816" s="2"/>
      <c r="L816" s="2"/>
      <c r="M816" s="2"/>
      <c r="N816" s="3"/>
      <c r="O816" s="3"/>
      <c r="P816" s="2"/>
      <c r="Q816" s="2"/>
      <c r="R816" s="2"/>
      <c r="S816" s="2"/>
      <c r="T816" s="2"/>
      <c r="U816" s="2"/>
      <c r="V816" s="2"/>
      <c r="W816" s="2"/>
      <c r="X816" s="2"/>
      <c r="Y816" s="2"/>
      <c r="Z816" s="2"/>
      <c r="AA816" s="2"/>
      <c r="AB816" s="2"/>
      <c r="AC816" s="2"/>
      <c r="AD816" s="2"/>
    </row>
    <row r="817" spans="1:30" ht="13">
      <c r="A817" s="3"/>
      <c r="B817" s="2"/>
      <c r="C817" s="2"/>
      <c r="D817" s="3"/>
      <c r="E817" s="3"/>
      <c r="F817" s="1"/>
      <c r="G817" s="37"/>
      <c r="H817" s="1"/>
      <c r="I817" s="2"/>
      <c r="J817" s="2"/>
      <c r="K817" s="2"/>
      <c r="L817" s="2"/>
      <c r="M817" s="2"/>
      <c r="N817" s="3"/>
      <c r="O817" s="3"/>
      <c r="P817" s="2"/>
      <c r="Q817" s="2"/>
      <c r="R817" s="2"/>
      <c r="S817" s="2"/>
      <c r="T817" s="2"/>
      <c r="U817" s="2"/>
      <c r="V817" s="2"/>
      <c r="W817" s="2"/>
      <c r="X817" s="2"/>
      <c r="Y817" s="2"/>
      <c r="Z817" s="2"/>
      <c r="AA817" s="2"/>
      <c r="AB817" s="2"/>
      <c r="AC817" s="2"/>
      <c r="AD817" s="2"/>
    </row>
    <row r="818" spans="1:30" ht="13">
      <c r="A818" s="3"/>
      <c r="B818" s="2"/>
      <c r="C818" s="2"/>
      <c r="D818" s="3"/>
      <c r="E818" s="3"/>
      <c r="F818" s="1"/>
      <c r="G818" s="37"/>
      <c r="H818" s="1"/>
      <c r="I818" s="2"/>
      <c r="J818" s="2"/>
      <c r="K818" s="2"/>
      <c r="L818" s="2"/>
      <c r="M818" s="2"/>
      <c r="N818" s="3"/>
      <c r="O818" s="3"/>
      <c r="P818" s="2"/>
      <c r="Q818" s="2"/>
      <c r="R818" s="2"/>
      <c r="S818" s="2"/>
      <c r="T818" s="2"/>
      <c r="U818" s="2"/>
      <c r="V818" s="2"/>
      <c r="W818" s="2"/>
      <c r="X818" s="2"/>
      <c r="Y818" s="2"/>
      <c r="Z818" s="2"/>
      <c r="AA818" s="2"/>
      <c r="AB818" s="2"/>
      <c r="AC818" s="2"/>
      <c r="AD818" s="2"/>
    </row>
    <row r="819" spans="1:30" ht="13">
      <c r="A819" s="3"/>
      <c r="B819" s="2"/>
      <c r="C819" s="2"/>
      <c r="D819" s="3"/>
      <c r="E819" s="3"/>
      <c r="F819" s="1"/>
      <c r="G819" s="37"/>
      <c r="H819" s="1"/>
      <c r="I819" s="2"/>
      <c r="J819" s="2"/>
      <c r="K819" s="2"/>
      <c r="L819" s="2"/>
      <c r="M819" s="2"/>
      <c r="N819" s="3"/>
      <c r="O819" s="3"/>
      <c r="P819" s="2"/>
      <c r="Q819" s="2"/>
      <c r="R819" s="2"/>
      <c r="S819" s="2"/>
      <c r="T819" s="2"/>
      <c r="U819" s="2"/>
      <c r="V819" s="2"/>
      <c r="W819" s="2"/>
      <c r="X819" s="2"/>
      <c r="Y819" s="2"/>
      <c r="Z819" s="2"/>
      <c r="AA819" s="2"/>
      <c r="AB819" s="2"/>
      <c r="AC819" s="2"/>
      <c r="AD819" s="2"/>
    </row>
    <row r="820" spans="1:30" ht="13">
      <c r="A820" s="3"/>
      <c r="B820" s="2"/>
      <c r="C820" s="2"/>
      <c r="D820" s="3"/>
      <c r="E820" s="3"/>
      <c r="F820" s="1"/>
      <c r="G820" s="37"/>
      <c r="H820" s="1"/>
      <c r="I820" s="2"/>
      <c r="J820" s="2"/>
      <c r="K820" s="2"/>
      <c r="L820" s="2"/>
      <c r="M820" s="2"/>
      <c r="N820" s="3"/>
      <c r="O820" s="3"/>
      <c r="P820" s="2"/>
      <c r="Q820" s="2"/>
      <c r="R820" s="2"/>
      <c r="S820" s="2"/>
      <c r="T820" s="2"/>
      <c r="U820" s="2"/>
      <c r="V820" s="2"/>
      <c r="W820" s="2"/>
      <c r="X820" s="2"/>
      <c r="Y820" s="2"/>
      <c r="Z820" s="2"/>
      <c r="AA820" s="2"/>
      <c r="AB820" s="2"/>
      <c r="AC820" s="2"/>
      <c r="AD820" s="2"/>
    </row>
    <row r="821" spans="1:30" ht="13">
      <c r="A821" s="3"/>
      <c r="B821" s="2"/>
      <c r="C821" s="2"/>
      <c r="D821" s="3"/>
      <c r="E821" s="3"/>
      <c r="F821" s="1"/>
      <c r="G821" s="37"/>
      <c r="H821" s="1"/>
      <c r="I821" s="2"/>
      <c r="J821" s="2"/>
      <c r="K821" s="2"/>
      <c r="L821" s="2"/>
      <c r="M821" s="2"/>
      <c r="N821" s="3"/>
      <c r="O821" s="3"/>
      <c r="P821" s="2"/>
      <c r="Q821" s="2"/>
      <c r="R821" s="2"/>
      <c r="S821" s="2"/>
      <c r="T821" s="2"/>
      <c r="U821" s="2"/>
      <c r="V821" s="2"/>
      <c r="W821" s="2"/>
      <c r="X821" s="2"/>
      <c r="Y821" s="2"/>
      <c r="Z821" s="2"/>
      <c r="AA821" s="2"/>
      <c r="AB821" s="2"/>
      <c r="AC821" s="2"/>
      <c r="AD821" s="2"/>
    </row>
    <row r="822" spans="1:30" ht="13">
      <c r="A822" s="3"/>
      <c r="B822" s="2"/>
      <c r="C822" s="2"/>
      <c r="D822" s="3"/>
      <c r="E822" s="3"/>
      <c r="F822" s="1"/>
      <c r="G822" s="37"/>
      <c r="H822" s="1"/>
      <c r="I822" s="2"/>
      <c r="J822" s="2"/>
      <c r="K822" s="2"/>
      <c r="L822" s="2"/>
      <c r="M822" s="2"/>
      <c r="N822" s="3"/>
      <c r="O822" s="3"/>
      <c r="P822" s="2"/>
      <c r="Q822" s="2"/>
      <c r="R822" s="2"/>
      <c r="S822" s="2"/>
      <c r="T822" s="2"/>
      <c r="U822" s="2"/>
      <c r="V822" s="2"/>
      <c r="W822" s="2"/>
      <c r="X822" s="2"/>
      <c r="Y822" s="2"/>
      <c r="Z822" s="2"/>
      <c r="AA822" s="2"/>
      <c r="AB822" s="2"/>
      <c r="AC822" s="2"/>
      <c r="AD822" s="2"/>
    </row>
    <row r="823" spans="1:30" ht="13">
      <c r="A823" s="3"/>
      <c r="B823" s="2"/>
      <c r="C823" s="2"/>
      <c r="D823" s="3"/>
      <c r="E823" s="3"/>
      <c r="F823" s="1"/>
      <c r="G823" s="37"/>
      <c r="H823" s="1"/>
      <c r="I823" s="2"/>
      <c r="J823" s="2"/>
      <c r="K823" s="2"/>
      <c r="L823" s="2"/>
      <c r="M823" s="2"/>
      <c r="N823" s="3"/>
      <c r="O823" s="3"/>
      <c r="P823" s="2"/>
      <c r="Q823" s="2"/>
      <c r="R823" s="2"/>
      <c r="S823" s="2"/>
      <c r="T823" s="2"/>
      <c r="U823" s="2"/>
      <c r="V823" s="2"/>
      <c r="W823" s="2"/>
      <c r="X823" s="2"/>
      <c r="Y823" s="2"/>
      <c r="Z823" s="2"/>
      <c r="AA823" s="2"/>
      <c r="AB823" s="2"/>
      <c r="AC823" s="2"/>
      <c r="AD823" s="2"/>
    </row>
    <row r="824" spans="1:30" ht="13">
      <c r="A824" s="3"/>
      <c r="B824" s="2"/>
      <c r="C824" s="2"/>
      <c r="D824" s="3"/>
      <c r="E824" s="3"/>
      <c r="F824" s="1"/>
      <c r="G824" s="37"/>
      <c r="H824" s="1"/>
      <c r="I824" s="2"/>
      <c r="J824" s="2"/>
      <c r="K824" s="2"/>
      <c r="L824" s="2"/>
      <c r="M824" s="2"/>
      <c r="N824" s="3"/>
      <c r="O824" s="3"/>
      <c r="P824" s="2"/>
      <c r="Q824" s="2"/>
      <c r="R824" s="2"/>
      <c r="S824" s="2"/>
      <c r="T824" s="2"/>
      <c r="U824" s="2"/>
      <c r="V824" s="2"/>
      <c r="W824" s="2"/>
      <c r="X824" s="2"/>
      <c r="Y824" s="2"/>
      <c r="Z824" s="2"/>
      <c r="AA824" s="2"/>
      <c r="AB824" s="2"/>
      <c r="AC824" s="2"/>
      <c r="AD824" s="2"/>
    </row>
    <row r="825" spans="1:30" ht="13">
      <c r="A825" s="3"/>
      <c r="B825" s="2"/>
      <c r="C825" s="2"/>
      <c r="D825" s="3"/>
      <c r="E825" s="3"/>
      <c r="F825" s="1"/>
      <c r="G825" s="37"/>
      <c r="H825" s="1"/>
      <c r="I825" s="2"/>
      <c r="J825" s="2"/>
      <c r="K825" s="2"/>
      <c r="L825" s="2"/>
      <c r="M825" s="2"/>
      <c r="N825" s="3"/>
      <c r="O825" s="3"/>
      <c r="P825" s="2"/>
      <c r="Q825" s="2"/>
      <c r="R825" s="2"/>
      <c r="S825" s="2"/>
      <c r="T825" s="2"/>
      <c r="U825" s="2"/>
      <c r="V825" s="2"/>
      <c r="W825" s="2"/>
      <c r="X825" s="2"/>
      <c r="Y825" s="2"/>
      <c r="Z825" s="2"/>
      <c r="AA825" s="2"/>
      <c r="AB825" s="2"/>
      <c r="AC825" s="2"/>
      <c r="AD825" s="2"/>
    </row>
    <row r="826" spans="1:30" ht="13">
      <c r="A826" s="3"/>
      <c r="B826" s="2"/>
      <c r="C826" s="2"/>
      <c r="D826" s="3"/>
      <c r="E826" s="3"/>
      <c r="F826" s="1"/>
      <c r="G826" s="37"/>
      <c r="H826" s="1"/>
      <c r="I826" s="2"/>
      <c r="J826" s="2"/>
      <c r="K826" s="2"/>
      <c r="L826" s="2"/>
      <c r="M826" s="2"/>
      <c r="N826" s="3"/>
      <c r="O826" s="3"/>
      <c r="P826" s="2"/>
      <c r="Q826" s="2"/>
      <c r="R826" s="2"/>
      <c r="S826" s="2"/>
      <c r="T826" s="2"/>
      <c r="U826" s="2"/>
      <c r="V826" s="2"/>
      <c r="W826" s="2"/>
      <c r="X826" s="2"/>
      <c r="Y826" s="2"/>
      <c r="Z826" s="2"/>
      <c r="AA826" s="2"/>
      <c r="AB826" s="2"/>
      <c r="AC826" s="2"/>
      <c r="AD826" s="2"/>
    </row>
    <row r="827" spans="1:30" ht="13">
      <c r="A827" s="3"/>
      <c r="B827" s="2"/>
      <c r="C827" s="2"/>
      <c r="D827" s="3"/>
      <c r="E827" s="3"/>
      <c r="F827" s="1"/>
      <c r="G827" s="37"/>
      <c r="H827" s="1"/>
      <c r="I827" s="2"/>
      <c r="J827" s="2"/>
      <c r="K827" s="2"/>
      <c r="L827" s="2"/>
      <c r="M827" s="2"/>
      <c r="N827" s="3"/>
      <c r="O827" s="3"/>
      <c r="P827" s="2"/>
      <c r="Q827" s="2"/>
      <c r="R827" s="2"/>
      <c r="S827" s="2"/>
      <c r="T827" s="2"/>
      <c r="U827" s="2"/>
      <c r="V827" s="2"/>
      <c r="W827" s="2"/>
      <c r="X827" s="2"/>
      <c r="Y827" s="2"/>
      <c r="Z827" s="2"/>
      <c r="AA827" s="2"/>
      <c r="AB827" s="2"/>
      <c r="AC827" s="2"/>
      <c r="AD827" s="2"/>
    </row>
    <row r="828" spans="1:30" ht="13">
      <c r="A828" s="3"/>
      <c r="B828" s="2"/>
      <c r="C828" s="2"/>
      <c r="D828" s="3"/>
      <c r="E828" s="3"/>
      <c r="F828" s="1"/>
      <c r="G828" s="37"/>
      <c r="H828" s="1"/>
      <c r="I828" s="2"/>
      <c r="J828" s="2"/>
      <c r="K828" s="2"/>
      <c r="L828" s="2"/>
      <c r="M828" s="2"/>
      <c r="N828" s="3"/>
      <c r="O828" s="3"/>
      <c r="P828" s="2"/>
      <c r="Q828" s="2"/>
      <c r="R828" s="2"/>
      <c r="S828" s="2"/>
      <c r="T828" s="2"/>
      <c r="U828" s="2"/>
      <c r="V828" s="2"/>
      <c r="W828" s="2"/>
      <c r="X828" s="2"/>
      <c r="Y828" s="2"/>
      <c r="Z828" s="2"/>
      <c r="AA828" s="2"/>
      <c r="AB828" s="2"/>
      <c r="AC828" s="2"/>
      <c r="AD828" s="2"/>
    </row>
    <row r="829" spans="1:30" ht="13">
      <c r="A829" s="3"/>
      <c r="B829" s="2"/>
      <c r="C829" s="2"/>
      <c r="D829" s="3"/>
      <c r="E829" s="3"/>
      <c r="F829" s="1"/>
      <c r="G829" s="37"/>
      <c r="H829" s="1"/>
      <c r="I829" s="2"/>
      <c r="J829" s="2"/>
      <c r="K829" s="2"/>
      <c r="L829" s="2"/>
      <c r="M829" s="2"/>
      <c r="N829" s="3"/>
      <c r="O829" s="3"/>
      <c r="P829" s="2"/>
      <c r="Q829" s="2"/>
      <c r="R829" s="2"/>
      <c r="S829" s="2"/>
      <c r="T829" s="2"/>
      <c r="U829" s="2"/>
      <c r="V829" s="2"/>
      <c r="W829" s="2"/>
      <c r="X829" s="2"/>
      <c r="Y829" s="2"/>
      <c r="Z829" s="2"/>
      <c r="AA829" s="2"/>
      <c r="AB829" s="2"/>
      <c r="AC829" s="2"/>
      <c r="AD829" s="2"/>
    </row>
    <row r="830" spans="1:30" ht="13">
      <c r="A830" s="3"/>
      <c r="B830" s="2"/>
      <c r="C830" s="2"/>
      <c r="D830" s="3"/>
      <c r="E830" s="3"/>
      <c r="F830" s="1"/>
      <c r="G830" s="37"/>
      <c r="H830" s="1"/>
      <c r="I830" s="2"/>
      <c r="J830" s="2"/>
      <c r="K830" s="2"/>
      <c r="L830" s="2"/>
      <c r="M830" s="2"/>
      <c r="N830" s="3"/>
      <c r="O830" s="3"/>
      <c r="P830" s="2"/>
      <c r="Q830" s="2"/>
      <c r="R830" s="2"/>
      <c r="S830" s="2"/>
      <c r="T830" s="2"/>
      <c r="U830" s="2"/>
      <c r="V830" s="2"/>
      <c r="W830" s="2"/>
      <c r="X830" s="2"/>
      <c r="Y830" s="2"/>
      <c r="Z830" s="2"/>
      <c r="AA830" s="2"/>
      <c r="AB830" s="2"/>
      <c r="AC830" s="2"/>
      <c r="AD830" s="2"/>
    </row>
    <row r="831" spans="1:30" ht="13">
      <c r="A831" s="3"/>
      <c r="B831" s="2"/>
      <c r="C831" s="2"/>
      <c r="D831" s="3"/>
      <c r="E831" s="3"/>
      <c r="F831" s="1"/>
      <c r="G831" s="37"/>
      <c r="H831" s="1"/>
      <c r="I831" s="2"/>
      <c r="J831" s="2"/>
      <c r="K831" s="2"/>
      <c r="L831" s="2"/>
      <c r="M831" s="2"/>
      <c r="N831" s="3"/>
      <c r="O831" s="3"/>
      <c r="P831" s="2"/>
      <c r="Q831" s="2"/>
      <c r="R831" s="2"/>
      <c r="S831" s="2"/>
      <c r="T831" s="2"/>
      <c r="U831" s="2"/>
      <c r="V831" s="2"/>
      <c r="W831" s="2"/>
      <c r="X831" s="2"/>
      <c r="Y831" s="2"/>
      <c r="Z831" s="2"/>
      <c r="AA831" s="2"/>
      <c r="AB831" s="2"/>
      <c r="AC831" s="2"/>
      <c r="AD831" s="2"/>
    </row>
    <row r="832" spans="1:30" ht="13">
      <c r="A832" s="3"/>
      <c r="B832" s="2"/>
      <c r="C832" s="2"/>
      <c r="D832" s="3"/>
      <c r="E832" s="3"/>
      <c r="F832" s="1"/>
      <c r="G832" s="37"/>
      <c r="H832" s="1"/>
      <c r="I832" s="2"/>
      <c r="J832" s="2"/>
      <c r="K832" s="2"/>
      <c r="L832" s="2"/>
      <c r="M832" s="2"/>
      <c r="N832" s="3"/>
      <c r="O832" s="3"/>
      <c r="P832" s="2"/>
      <c r="Q832" s="2"/>
      <c r="R832" s="2"/>
      <c r="S832" s="2"/>
      <c r="T832" s="2"/>
      <c r="U832" s="2"/>
      <c r="V832" s="2"/>
      <c r="W832" s="2"/>
      <c r="X832" s="2"/>
      <c r="Y832" s="2"/>
      <c r="Z832" s="2"/>
      <c r="AA832" s="2"/>
      <c r="AB832" s="2"/>
      <c r="AC832" s="2"/>
      <c r="AD832" s="2"/>
    </row>
    <row r="833" spans="1:30" ht="13">
      <c r="A833" s="3"/>
      <c r="B833" s="2"/>
      <c r="C833" s="2"/>
      <c r="D833" s="3"/>
      <c r="E833" s="3"/>
      <c r="F833" s="1"/>
      <c r="G833" s="37"/>
      <c r="H833" s="1"/>
      <c r="I833" s="2"/>
      <c r="J833" s="2"/>
      <c r="K833" s="2"/>
      <c r="L833" s="2"/>
      <c r="M833" s="2"/>
      <c r="N833" s="3"/>
      <c r="O833" s="3"/>
      <c r="P833" s="2"/>
      <c r="Q833" s="2"/>
      <c r="R833" s="2"/>
      <c r="S833" s="2"/>
      <c r="T833" s="2"/>
      <c r="U833" s="2"/>
      <c r="V833" s="2"/>
      <c r="W833" s="2"/>
      <c r="X833" s="2"/>
      <c r="Y833" s="2"/>
      <c r="Z833" s="2"/>
      <c r="AA833" s="2"/>
      <c r="AB833" s="2"/>
      <c r="AC833" s="2"/>
      <c r="AD833" s="2"/>
    </row>
    <row r="834" spans="1:30" ht="13">
      <c r="A834" s="3"/>
      <c r="B834" s="2"/>
      <c r="C834" s="2"/>
      <c r="D834" s="3"/>
      <c r="E834" s="3"/>
      <c r="F834" s="1"/>
      <c r="G834" s="37"/>
      <c r="H834" s="1"/>
      <c r="I834" s="2"/>
      <c r="J834" s="2"/>
      <c r="K834" s="2"/>
      <c r="L834" s="2"/>
      <c r="M834" s="2"/>
      <c r="N834" s="3"/>
      <c r="O834" s="3"/>
      <c r="P834" s="2"/>
      <c r="Q834" s="2"/>
      <c r="R834" s="2"/>
      <c r="S834" s="2"/>
      <c r="T834" s="2"/>
      <c r="U834" s="2"/>
      <c r="V834" s="2"/>
      <c r="W834" s="2"/>
      <c r="X834" s="2"/>
      <c r="Y834" s="2"/>
      <c r="Z834" s="2"/>
      <c r="AA834" s="2"/>
      <c r="AB834" s="2"/>
      <c r="AC834" s="2"/>
      <c r="AD834" s="2"/>
    </row>
    <row r="835" spans="1:30" ht="13">
      <c r="A835" s="3"/>
      <c r="B835" s="2"/>
      <c r="C835" s="2"/>
      <c r="D835" s="3"/>
      <c r="E835" s="3"/>
      <c r="F835" s="1"/>
      <c r="G835" s="37"/>
      <c r="H835" s="1"/>
      <c r="I835" s="2"/>
      <c r="J835" s="2"/>
      <c r="K835" s="2"/>
      <c r="L835" s="2"/>
      <c r="M835" s="2"/>
      <c r="N835" s="3"/>
      <c r="O835" s="3"/>
      <c r="P835" s="2"/>
      <c r="Q835" s="2"/>
      <c r="R835" s="2"/>
      <c r="S835" s="2"/>
      <c r="T835" s="2"/>
      <c r="U835" s="2"/>
      <c r="V835" s="2"/>
      <c r="W835" s="2"/>
      <c r="X835" s="2"/>
      <c r="Y835" s="2"/>
      <c r="Z835" s="2"/>
      <c r="AA835" s="2"/>
      <c r="AB835" s="2"/>
      <c r="AC835" s="2"/>
      <c r="AD835" s="2"/>
    </row>
    <row r="836" spans="1:30" ht="13">
      <c r="A836" s="3"/>
      <c r="B836" s="2"/>
      <c r="C836" s="2"/>
      <c r="D836" s="3"/>
      <c r="E836" s="3"/>
      <c r="F836" s="1"/>
      <c r="G836" s="37"/>
      <c r="H836" s="1"/>
      <c r="I836" s="2"/>
      <c r="J836" s="2"/>
      <c r="K836" s="2"/>
      <c r="L836" s="2"/>
      <c r="M836" s="2"/>
      <c r="N836" s="3"/>
      <c r="O836" s="3"/>
      <c r="P836" s="2"/>
      <c r="Q836" s="2"/>
      <c r="R836" s="2"/>
      <c r="S836" s="2"/>
      <c r="T836" s="2"/>
      <c r="U836" s="2"/>
      <c r="V836" s="2"/>
      <c r="W836" s="2"/>
      <c r="X836" s="2"/>
      <c r="Y836" s="2"/>
      <c r="Z836" s="2"/>
      <c r="AA836" s="2"/>
      <c r="AB836" s="2"/>
      <c r="AC836" s="2"/>
      <c r="AD836" s="2"/>
    </row>
    <row r="837" spans="1:30" ht="13">
      <c r="A837" s="3"/>
      <c r="B837" s="2"/>
      <c r="C837" s="2"/>
      <c r="D837" s="3"/>
      <c r="E837" s="3"/>
      <c r="F837" s="1"/>
      <c r="G837" s="37"/>
      <c r="H837" s="1"/>
      <c r="I837" s="2"/>
      <c r="J837" s="2"/>
      <c r="K837" s="2"/>
      <c r="L837" s="2"/>
      <c r="M837" s="2"/>
      <c r="N837" s="3"/>
      <c r="O837" s="3"/>
      <c r="P837" s="2"/>
      <c r="Q837" s="2"/>
      <c r="R837" s="2"/>
      <c r="S837" s="2"/>
      <c r="T837" s="2"/>
      <c r="U837" s="2"/>
      <c r="V837" s="2"/>
      <c r="W837" s="2"/>
      <c r="X837" s="2"/>
      <c r="Y837" s="2"/>
      <c r="Z837" s="2"/>
      <c r="AA837" s="2"/>
      <c r="AB837" s="2"/>
      <c r="AC837" s="2"/>
      <c r="AD837" s="2"/>
    </row>
    <row r="838" spans="1:30" ht="13">
      <c r="A838" s="3"/>
      <c r="B838" s="2"/>
      <c r="C838" s="2"/>
      <c r="D838" s="3"/>
      <c r="E838" s="3"/>
      <c r="F838" s="1"/>
      <c r="G838" s="37"/>
      <c r="H838" s="1"/>
      <c r="I838" s="2"/>
      <c r="J838" s="2"/>
      <c r="K838" s="2"/>
      <c r="L838" s="2"/>
      <c r="M838" s="2"/>
      <c r="N838" s="3"/>
      <c r="O838" s="3"/>
      <c r="P838" s="2"/>
      <c r="Q838" s="2"/>
      <c r="R838" s="2"/>
      <c r="S838" s="2"/>
      <c r="T838" s="2"/>
      <c r="U838" s="2"/>
      <c r="V838" s="2"/>
      <c r="W838" s="2"/>
      <c r="X838" s="2"/>
      <c r="Y838" s="2"/>
      <c r="Z838" s="2"/>
      <c r="AA838" s="2"/>
      <c r="AB838" s="2"/>
      <c r="AC838" s="2"/>
      <c r="AD838" s="2"/>
    </row>
    <row r="839" spans="1:30" ht="13">
      <c r="A839" s="3"/>
      <c r="B839" s="2"/>
      <c r="C839" s="2"/>
      <c r="D839" s="3"/>
      <c r="E839" s="3"/>
      <c r="F839" s="1"/>
      <c r="G839" s="37"/>
      <c r="H839" s="1"/>
      <c r="I839" s="2"/>
      <c r="J839" s="2"/>
      <c r="K839" s="2"/>
      <c r="L839" s="2"/>
      <c r="M839" s="2"/>
      <c r="N839" s="3"/>
      <c r="O839" s="3"/>
      <c r="P839" s="2"/>
      <c r="Q839" s="2"/>
      <c r="R839" s="2"/>
      <c r="S839" s="2"/>
      <c r="T839" s="2"/>
      <c r="U839" s="2"/>
      <c r="V839" s="2"/>
      <c r="W839" s="2"/>
      <c r="X839" s="2"/>
      <c r="Y839" s="2"/>
      <c r="Z839" s="2"/>
      <c r="AA839" s="2"/>
      <c r="AB839" s="2"/>
      <c r="AC839" s="2"/>
      <c r="AD839" s="2"/>
    </row>
    <row r="840" spans="1:30" ht="13">
      <c r="A840" s="3"/>
      <c r="B840" s="2"/>
      <c r="C840" s="2"/>
      <c r="D840" s="3"/>
      <c r="E840" s="3"/>
      <c r="F840" s="1"/>
      <c r="G840" s="37"/>
      <c r="H840" s="1"/>
      <c r="I840" s="2"/>
      <c r="J840" s="2"/>
      <c r="K840" s="2"/>
      <c r="L840" s="2"/>
      <c r="M840" s="2"/>
      <c r="N840" s="3"/>
      <c r="O840" s="3"/>
      <c r="P840" s="2"/>
      <c r="Q840" s="2"/>
      <c r="R840" s="2"/>
      <c r="S840" s="2"/>
      <c r="T840" s="2"/>
      <c r="U840" s="2"/>
      <c r="V840" s="2"/>
      <c r="W840" s="2"/>
      <c r="X840" s="2"/>
      <c r="Y840" s="2"/>
      <c r="Z840" s="2"/>
      <c r="AA840" s="2"/>
      <c r="AB840" s="2"/>
      <c r="AC840" s="2"/>
      <c r="AD840" s="2"/>
    </row>
    <row r="841" spans="1:30" ht="13">
      <c r="A841" s="3"/>
      <c r="B841" s="2"/>
      <c r="C841" s="2"/>
      <c r="D841" s="3"/>
      <c r="E841" s="3"/>
      <c r="F841" s="1"/>
      <c r="G841" s="37"/>
      <c r="H841" s="1"/>
      <c r="I841" s="2"/>
      <c r="J841" s="2"/>
      <c r="K841" s="2"/>
      <c r="L841" s="2"/>
      <c r="M841" s="2"/>
      <c r="N841" s="3"/>
      <c r="O841" s="3"/>
      <c r="P841" s="2"/>
      <c r="Q841" s="2"/>
      <c r="R841" s="2"/>
      <c r="S841" s="2"/>
      <c r="T841" s="2"/>
      <c r="U841" s="2"/>
      <c r="V841" s="2"/>
      <c r="W841" s="2"/>
      <c r="X841" s="2"/>
      <c r="Y841" s="2"/>
      <c r="Z841" s="2"/>
      <c r="AA841" s="2"/>
      <c r="AB841" s="2"/>
      <c r="AC841" s="2"/>
      <c r="AD841" s="2"/>
    </row>
    <row r="842" spans="1:30" ht="13">
      <c r="A842" s="3"/>
      <c r="B842" s="2"/>
      <c r="C842" s="2"/>
      <c r="D842" s="3"/>
      <c r="E842" s="3"/>
      <c r="F842" s="1"/>
      <c r="G842" s="37"/>
      <c r="H842" s="1"/>
      <c r="I842" s="2"/>
      <c r="J842" s="2"/>
      <c r="K842" s="2"/>
      <c r="L842" s="2"/>
      <c r="M842" s="2"/>
      <c r="N842" s="3"/>
      <c r="O842" s="3"/>
      <c r="P842" s="2"/>
      <c r="Q842" s="2"/>
      <c r="R842" s="2"/>
      <c r="S842" s="2"/>
      <c r="T842" s="2"/>
      <c r="U842" s="2"/>
      <c r="V842" s="2"/>
      <c r="W842" s="2"/>
      <c r="X842" s="2"/>
      <c r="Y842" s="2"/>
      <c r="Z842" s="2"/>
      <c r="AA842" s="2"/>
      <c r="AB842" s="2"/>
      <c r="AC842" s="2"/>
      <c r="AD842" s="2"/>
    </row>
    <row r="843" spans="1:30" ht="13">
      <c r="A843" s="3"/>
      <c r="B843" s="2"/>
      <c r="C843" s="2"/>
      <c r="D843" s="3"/>
      <c r="E843" s="3"/>
      <c r="F843" s="1"/>
      <c r="G843" s="37"/>
      <c r="H843" s="1"/>
      <c r="I843" s="2"/>
      <c r="J843" s="2"/>
      <c r="K843" s="2"/>
      <c r="L843" s="2"/>
      <c r="M843" s="2"/>
      <c r="N843" s="3"/>
      <c r="O843" s="3"/>
      <c r="P843" s="2"/>
      <c r="Q843" s="2"/>
      <c r="R843" s="2"/>
      <c r="S843" s="2"/>
      <c r="T843" s="2"/>
      <c r="U843" s="2"/>
      <c r="V843" s="2"/>
      <c r="W843" s="2"/>
      <c r="X843" s="2"/>
      <c r="Y843" s="2"/>
      <c r="Z843" s="2"/>
      <c r="AA843" s="2"/>
      <c r="AB843" s="2"/>
      <c r="AC843" s="2"/>
      <c r="AD843" s="2"/>
    </row>
    <row r="844" spans="1:30" ht="13">
      <c r="A844" s="3"/>
      <c r="B844" s="2"/>
      <c r="C844" s="2"/>
      <c r="D844" s="3"/>
      <c r="E844" s="3"/>
      <c r="F844" s="1"/>
      <c r="G844" s="37"/>
      <c r="H844" s="1"/>
      <c r="I844" s="2"/>
      <c r="J844" s="2"/>
      <c r="K844" s="2"/>
      <c r="L844" s="2"/>
      <c r="M844" s="2"/>
      <c r="N844" s="3"/>
      <c r="O844" s="3"/>
      <c r="P844" s="2"/>
      <c r="Q844" s="2"/>
      <c r="R844" s="2"/>
      <c r="S844" s="2"/>
      <c r="T844" s="2"/>
      <c r="U844" s="2"/>
      <c r="V844" s="2"/>
      <c r="W844" s="2"/>
      <c r="X844" s="2"/>
      <c r="Y844" s="2"/>
      <c r="Z844" s="2"/>
      <c r="AA844" s="2"/>
      <c r="AB844" s="2"/>
      <c r="AC844" s="2"/>
      <c r="AD844" s="2"/>
    </row>
    <row r="845" spans="1:30" ht="13">
      <c r="A845" s="3"/>
      <c r="B845" s="2"/>
      <c r="C845" s="2"/>
      <c r="D845" s="3"/>
      <c r="E845" s="3"/>
      <c r="F845" s="1"/>
      <c r="G845" s="37"/>
      <c r="H845" s="1"/>
      <c r="I845" s="2"/>
      <c r="J845" s="2"/>
      <c r="K845" s="2"/>
      <c r="L845" s="2"/>
      <c r="M845" s="2"/>
      <c r="N845" s="3"/>
      <c r="O845" s="3"/>
      <c r="P845" s="2"/>
      <c r="Q845" s="2"/>
      <c r="R845" s="2"/>
      <c r="S845" s="2"/>
      <c r="T845" s="2"/>
      <c r="U845" s="2"/>
      <c r="V845" s="2"/>
      <c r="W845" s="2"/>
      <c r="X845" s="2"/>
      <c r="Y845" s="2"/>
      <c r="Z845" s="2"/>
      <c r="AA845" s="2"/>
      <c r="AB845" s="2"/>
      <c r="AC845" s="2"/>
      <c r="AD845" s="2"/>
    </row>
    <row r="846" spans="1:30" ht="13">
      <c r="A846" s="3"/>
      <c r="B846" s="2"/>
      <c r="C846" s="2"/>
      <c r="D846" s="3"/>
      <c r="E846" s="3"/>
      <c r="F846" s="1"/>
      <c r="G846" s="37"/>
      <c r="H846" s="1"/>
      <c r="I846" s="2"/>
      <c r="J846" s="2"/>
      <c r="K846" s="2"/>
      <c r="L846" s="2"/>
      <c r="M846" s="2"/>
      <c r="N846" s="3"/>
      <c r="O846" s="3"/>
      <c r="P846" s="2"/>
      <c r="Q846" s="2"/>
      <c r="R846" s="2"/>
      <c r="S846" s="2"/>
      <c r="T846" s="2"/>
      <c r="U846" s="2"/>
      <c r="V846" s="2"/>
      <c r="W846" s="2"/>
      <c r="X846" s="2"/>
      <c r="Y846" s="2"/>
      <c r="Z846" s="2"/>
      <c r="AA846" s="2"/>
      <c r="AB846" s="2"/>
      <c r="AC846" s="2"/>
      <c r="AD846" s="2"/>
    </row>
    <row r="847" spans="1:30" ht="13">
      <c r="A847" s="3"/>
      <c r="B847" s="2"/>
      <c r="C847" s="2"/>
      <c r="D847" s="3"/>
      <c r="E847" s="3"/>
      <c r="F847" s="1"/>
      <c r="G847" s="37"/>
      <c r="H847" s="1"/>
      <c r="I847" s="2"/>
      <c r="J847" s="2"/>
      <c r="K847" s="2"/>
      <c r="L847" s="2"/>
      <c r="M847" s="2"/>
      <c r="N847" s="3"/>
      <c r="O847" s="3"/>
      <c r="P847" s="2"/>
      <c r="Q847" s="2"/>
      <c r="R847" s="2"/>
      <c r="S847" s="2"/>
      <c r="T847" s="2"/>
      <c r="U847" s="2"/>
      <c r="V847" s="2"/>
      <c r="W847" s="2"/>
      <c r="X847" s="2"/>
      <c r="Y847" s="2"/>
      <c r="Z847" s="2"/>
      <c r="AA847" s="2"/>
      <c r="AB847" s="2"/>
      <c r="AC847" s="2"/>
      <c r="AD847" s="2"/>
    </row>
    <row r="848" spans="1:30" ht="13">
      <c r="A848" s="3"/>
      <c r="B848" s="2"/>
      <c r="C848" s="2"/>
      <c r="D848" s="3"/>
      <c r="E848" s="3"/>
      <c r="F848" s="1"/>
      <c r="G848" s="37"/>
      <c r="H848" s="1"/>
      <c r="I848" s="2"/>
      <c r="J848" s="2"/>
      <c r="K848" s="2"/>
      <c r="L848" s="2"/>
      <c r="M848" s="2"/>
      <c r="N848" s="3"/>
      <c r="O848" s="3"/>
      <c r="P848" s="2"/>
      <c r="Q848" s="2"/>
      <c r="R848" s="2"/>
      <c r="S848" s="2"/>
      <c r="T848" s="2"/>
      <c r="U848" s="2"/>
      <c r="V848" s="2"/>
      <c r="W848" s="2"/>
      <c r="X848" s="2"/>
      <c r="Y848" s="2"/>
      <c r="Z848" s="2"/>
      <c r="AA848" s="2"/>
      <c r="AB848" s="2"/>
      <c r="AC848" s="2"/>
      <c r="AD848" s="2"/>
    </row>
    <row r="849" spans="1:30" ht="13">
      <c r="A849" s="3"/>
      <c r="B849" s="2"/>
      <c r="C849" s="2"/>
      <c r="D849" s="3"/>
      <c r="E849" s="3"/>
      <c r="F849" s="1"/>
      <c r="G849" s="37"/>
      <c r="H849" s="1"/>
      <c r="I849" s="2"/>
      <c r="J849" s="2"/>
      <c r="K849" s="2"/>
      <c r="L849" s="2"/>
      <c r="M849" s="2"/>
      <c r="N849" s="3"/>
      <c r="O849" s="3"/>
      <c r="P849" s="2"/>
      <c r="Q849" s="2"/>
      <c r="R849" s="2"/>
      <c r="S849" s="2"/>
      <c r="T849" s="2"/>
      <c r="U849" s="2"/>
      <c r="V849" s="2"/>
      <c r="W849" s="2"/>
      <c r="X849" s="2"/>
      <c r="Y849" s="2"/>
      <c r="Z849" s="2"/>
      <c r="AA849" s="2"/>
      <c r="AB849" s="2"/>
      <c r="AC849" s="2"/>
      <c r="AD849" s="2"/>
    </row>
    <row r="850" spans="1:30" ht="13">
      <c r="A850" s="3"/>
      <c r="B850" s="2"/>
      <c r="C850" s="2"/>
      <c r="D850" s="3"/>
      <c r="E850" s="3"/>
      <c r="F850" s="1"/>
      <c r="G850" s="37"/>
      <c r="H850" s="1"/>
      <c r="I850" s="2"/>
      <c r="J850" s="2"/>
      <c r="K850" s="2"/>
      <c r="L850" s="2"/>
      <c r="M850" s="2"/>
      <c r="N850" s="3"/>
      <c r="O850" s="3"/>
      <c r="P850" s="2"/>
      <c r="Q850" s="2"/>
      <c r="R850" s="2"/>
      <c r="S850" s="2"/>
      <c r="T850" s="2"/>
      <c r="U850" s="2"/>
      <c r="V850" s="2"/>
      <c r="W850" s="2"/>
      <c r="X850" s="2"/>
      <c r="Y850" s="2"/>
      <c r="Z850" s="2"/>
      <c r="AA850" s="2"/>
      <c r="AB850" s="2"/>
      <c r="AC850" s="2"/>
      <c r="AD850" s="2"/>
    </row>
    <row r="851" spans="1:30" ht="13">
      <c r="A851" s="3"/>
      <c r="B851" s="2"/>
      <c r="C851" s="2"/>
      <c r="D851" s="3"/>
      <c r="E851" s="3"/>
      <c r="F851" s="1"/>
      <c r="G851" s="37"/>
      <c r="H851" s="1"/>
      <c r="I851" s="2"/>
      <c r="J851" s="2"/>
      <c r="K851" s="2"/>
      <c r="L851" s="2"/>
      <c r="M851" s="2"/>
      <c r="N851" s="3"/>
      <c r="O851" s="3"/>
      <c r="P851" s="2"/>
      <c r="Q851" s="2"/>
      <c r="R851" s="2"/>
      <c r="S851" s="2"/>
      <c r="T851" s="2"/>
      <c r="U851" s="2"/>
      <c r="V851" s="2"/>
      <c r="W851" s="2"/>
      <c r="X851" s="2"/>
      <c r="Y851" s="2"/>
      <c r="Z851" s="2"/>
      <c r="AA851" s="2"/>
      <c r="AB851" s="2"/>
      <c r="AC851" s="2"/>
      <c r="AD851" s="2"/>
    </row>
    <row r="852" spans="1:30" ht="13">
      <c r="A852" s="3"/>
      <c r="B852" s="2"/>
      <c r="C852" s="2"/>
      <c r="D852" s="3"/>
      <c r="E852" s="3"/>
      <c r="F852" s="1"/>
      <c r="G852" s="37"/>
      <c r="H852" s="1"/>
      <c r="I852" s="2"/>
      <c r="J852" s="2"/>
      <c r="K852" s="2"/>
      <c r="L852" s="2"/>
      <c r="M852" s="2"/>
      <c r="N852" s="3"/>
      <c r="O852" s="3"/>
      <c r="P852" s="2"/>
      <c r="Q852" s="2"/>
      <c r="R852" s="2"/>
      <c r="S852" s="2"/>
      <c r="T852" s="2"/>
      <c r="U852" s="2"/>
      <c r="V852" s="2"/>
      <c r="W852" s="2"/>
      <c r="X852" s="2"/>
      <c r="Y852" s="2"/>
      <c r="Z852" s="2"/>
      <c r="AA852" s="2"/>
      <c r="AB852" s="2"/>
      <c r="AC852" s="2"/>
      <c r="AD852" s="2"/>
    </row>
    <row r="853" spans="1:30" ht="13">
      <c r="A853" s="3"/>
      <c r="B853" s="2"/>
      <c r="C853" s="2"/>
      <c r="D853" s="3"/>
      <c r="E853" s="3"/>
      <c r="F853" s="1"/>
      <c r="G853" s="37"/>
      <c r="H853" s="1"/>
      <c r="I853" s="2"/>
      <c r="J853" s="2"/>
      <c r="K853" s="2"/>
      <c r="L853" s="2"/>
      <c r="M853" s="2"/>
      <c r="N853" s="3"/>
      <c r="O853" s="3"/>
      <c r="P853" s="2"/>
      <c r="Q853" s="2"/>
      <c r="R853" s="2"/>
      <c r="S853" s="2"/>
      <c r="T853" s="2"/>
      <c r="U853" s="2"/>
      <c r="V853" s="2"/>
      <c r="W853" s="2"/>
      <c r="X853" s="2"/>
      <c r="Y853" s="2"/>
      <c r="Z853" s="2"/>
      <c r="AA853" s="2"/>
      <c r="AB853" s="2"/>
      <c r="AC853" s="2"/>
      <c r="AD853" s="2"/>
    </row>
    <row r="854" spans="1:30" ht="13">
      <c r="A854" s="3"/>
      <c r="B854" s="2"/>
      <c r="C854" s="2"/>
      <c r="D854" s="3"/>
      <c r="E854" s="3"/>
      <c r="F854" s="1"/>
      <c r="G854" s="37"/>
      <c r="H854" s="1"/>
      <c r="I854" s="2"/>
      <c r="J854" s="2"/>
      <c r="K854" s="2"/>
      <c r="L854" s="2"/>
      <c r="M854" s="2"/>
      <c r="N854" s="3"/>
      <c r="O854" s="3"/>
      <c r="P854" s="2"/>
      <c r="Q854" s="2"/>
      <c r="R854" s="2"/>
      <c r="S854" s="2"/>
      <c r="T854" s="2"/>
      <c r="U854" s="2"/>
      <c r="V854" s="2"/>
      <c r="W854" s="2"/>
      <c r="X854" s="2"/>
      <c r="Y854" s="2"/>
      <c r="Z854" s="2"/>
      <c r="AA854" s="2"/>
      <c r="AB854" s="2"/>
      <c r="AC854" s="2"/>
      <c r="AD854" s="2"/>
    </row>
    <row r="855" spans="1:30" ht="13">
      <c r="A855" s="3"/>
      <c r="B855" s="2"/>
      <c r="C855" s="2"/>
      <c r="D855" s="3"/>
      <c r="E855" s="3"/>
      <c r="F855" s="1"/>
      <c r="G855" s="37"/>
      <c r="H855" s="1"/>
      <c r="I855" s="2"/>
      <c r="J855" s="2"/>
      <c r="K855" s="2"/>
      <c r="L855" s="2"/>
      <c r="M855" s="2"/>
      <c r="N855" s="3"/>
      <c r="O855" s="3"/>
      <c r="P855" s="2"/>
      <c r="Q855" s="2"/>
      <c r="R855" s="2"/>
      <c r="S855" s="2"/>
      <c r="T855" s="2"/>
      <c r="U855" s="2"/>
      <c r="V855" s="2"/>
      <c r="W855" s="2"/>
      <c r="X855" s="2"/>
      <c r="Y855" s="2"/>
      <c r="Z855" s="2"/>
      <c r="AA855" s="2"/>
      <c r="AB855" s="2"/>
      <c r="AC855" s="2"/>
      <c r="AD855" s="2"/>
    </row>
    <row r="856" spans="1:30" ht="13">
      <c r="A856" s="3"/>
      <c r="B856" s="2"/>
      <c r="C856" s="2"/>
      <c r="D856" s="3"/>
      <c r="E856" s="3"/>
      <c r="F856" s="1"/>
      <c r="G856" s="37"/>
      <c r="H856" s="1"/>
      <c r="I856" s="2"/>
      <c r="J856" s="2"/>
      <c r="K856" s="2"/>
      <c r="L856" s="2"/>
      <c r="M856" s="2"/>
      <c r="N856" s="3"/>
      <c r="O856" s="3"/>
      <c r="P856" s="2"/>
      <c r="Q856" s="2"/>
      <c r="R856" s="2"/>
      <c r="S856" s="2"/>
      <c r="T856" s="2"/>
      <c r="U856" s="2"/>
      <c r="V856" s="2"/>
      <c r="W856" s="2"/>
      <c r="X856" s="2"/>
      <c r="Y856" s="2"/>
      <c r="Z856" s="2"/>
      <c r="AA856" s="2"/>
      <c r="AB856" s="2"/>
      <c r="AC856" s="2"/>
      <c r="AD856" s="2"/>
    </row>
    <row r="857" spans="1:30" ht="13">
      <c r="A857" s="3"/>
      <c r="B857" s="2"/>
      <c r="C857" s="2"/>
      <c r="D857" s="3"/>
      <c r="E857" s="3"/>
      <c r="F857" s="1"/>
      <c r="G857" s="37"/>
      <c r="H857" s="1"/>
      <c r="I857" s="2"/>
      <c r="J857" s="2"/>
      <c r="K857" s="2"/>
      <c r="L857" s="2"/>
      <c r="M857" s="2"/>
      <c r="N857" s="3"/>
      <c r="O857" s="3"/>
      <c r="P857" s="2"/>
      <c r="Q857" s="2"/>
      <c r="R857" s="2"/>
      <c r="S857" s="2"/>
      <c r="T857" s="2"/>
      <c r="U857" s="2"/>
      <c r="V857" s="2"/>
      <c r="W857" s="2"/>
      <c r="X857" s="2"/>
      <c r="Y857" s="2"/>
      <c r="Z857" s="2"/>
      <c r="AA857" s="2"/>
      <c r="AB857" s="2"/>
      <c r="AC857" s="2"/>
      <c r="AD857" s="2"/>
    </row>
    <row r="858" spans="1:30" ht="13">
      <c r="A858" s="3"/>
      <c r="B858" s="2"/>
      <c r="C858" s="2"/>
      <c r="D858" s="3"/>
      <c r="E858" s="3"/>
      <c r="F858" s="1"/>
      <c r="G858" s="37"/>
      <c r="H858" s="1"/>
      <c r="I858" s="2"/>
      <c r="J858" s="2"/>
      <c r="K858" s="2"/>
      <c r="L858" s="2"/>
      <c r="M858" s="2"/>
      <c r="N858" s="3"/>
      <c r="O858" s="3"/>
      <c r="P858" s="2"/>
      <c r="Q858" s="2"/>
      <c r="R858" s="2"/>
      <c r="S858" s="2"/>
      <c r="T858" s="2"/>
      <c r="U858" s="2"/>
      <c r="V858" s="2"/>
      <c r="W858" s="2"/>
      <c r="X858" s="2"/>
      <c r="Y858" s="2"/>
      <c r="Z858" s="2"/>
      <c r="AA858" s="2"/>
      <c r="AB858" s="2"/>
      <c r="AC858" s="2"/>
      <c r="AD858" s="2"/>
    </row>
    <row r="859" spans="1:30" ht="13">
      <c r="A859" s="3"/>
      <c r="B859" s="2"/>
      <c r="C859" s="2"/>
      <c r="D859" s="3"/>
      <c r="E859" s="3"/>
      <c r="F859" s="1"/>
      <c r="G859" s="37"/>
      <c r="H859" s="1"/>
      <c r="I859" s="2"/>
      <c r="J859" s="2"/>
      <c r="K859" s="2"/>
      <c r="L859" s="2"/>
      <c r="M859" s="2"/>
      <c r="N859" s="3"/>
      <c r="O859" s="3"/>
      <c r="P859" s="2"/>
      <c r="Q859" s="2"/>
      <c r="R859" s="2"/>
      <c r="S859" s="2"/>
      <c r="T859" s="2"/>
      <c r="U859" s="2"/>
      <c r="V859" s="2"/>
      <c r="W859" s="2"/>
      <c r="X859" s="2"/>
      <c r="Y859" s="2"/>
      <c r="Z859" s="2"/>
      <c r="AA859" s="2"/>
      <c r="AB859" s="2"/>
      <c r="AC859" s="2"/>
      <c r="AD859" s="2"/>
    </row>
    <row r="860" spans="1:30" ht="13">
      <c r="A860" s="3"/>
      <c r="B860" s="2"/>
      <c r="C860" s="2"/>
      <c r="D860" s="3"/>
      <c r="E860" s="3"/>
      <c r="F860" s="1"/>
      <c r="G860" s="37"/>
      <c r="H860" s="1"/>
      <c r="I860" s="2"/>
      <c r="J860" s="2"/>
      <c r="K860" s="2"/>
      <c r="L860" s="2"/>
      <c r="M860" s="2"/>
      <c r="N860" s="3"/>
      <c r="O860" s="3"/>
      <c r="P860" s="2"/>
      <c r="Q860" s="2"/>
      <c r="R860" s="2"/>
      <c r="S860" s="2"/>
      <c r="T860" s="2"/>
      <c r="U860" s="2"/>
      <c r="V860" s="2"/>
      <c r="W860" s="2"/>
      <c r="X860" s="2"/>
      <c r="Y860" s="2"/>
      <c r="Z860" s="2"/>
      <c r="AA860" s="2"/>
      <c r="AB860" s="2"/>
      <c r="AC860" s="2"/>
      <c r="AD860" s="2"/>
    </row>
    <row r="861" spans="1:30" ht="13">
      <c r="A861" s="3"/>
      <c r="B861" s="2"/>
      <c r="C861" s="2"/>
      <c r="D861" s="3"/>
      <c r="E861" s="3"/>
      <c r="F861" s="1"/>
      <c r="G861" s="37"/>
      <c r="H861" s="1"/>
      <c r="I861" s="2"/>
      <c r="J861" s="2"/>
      <c r="K861" s="2"/>
      <c r="L861" s="2"/>
      <c r="M861" s="2"/>
      <c r="N861" s="3"/>
      <c r="O861" s="3"/>
      <c r="P861" s="2"/>
      <c r="Q861" s="2"/>
      <c r="R861" s="2"/>
      <c r="S861" s="2"/>
      <c r="T861" s="2"/>
      <c r="U861" s="2"/>
      <c r="V861" s="2"/>
      <c r="W861" s="2"/>
      <c r="X861" s="2"/>
      <c r="Y861" s="2"/>
      <c r="Z861" s="2"/>
      <c r="AA861" s="2"/>
      <c r="AB861" s="2"/>
      <c r="AC861" s="2"/>
      <c r="AD861" s="2"/>
    </row>
    <row r="862" spans="1:30" ht="13">
      <c r="A862" s="3"/>
      <c r="B862" s="2"/>
      <c r="C862" s="2"/>
      <c r="D862" s="3"/>
      <c r="E862" s="3"/>
      <c r="F862" s="1"/>
      <c r="G862" s="37"/>
      <c r="H862" s="1"/>
      <c r="I862" s="2"/>
      <c r="J862" s="2"/>
      <c r="K862" s="2"/>
      <c r="L862" s="2"/>
      <c r="M862" s="2"/>
      <c r="N862" s="3"/>
      <c r="O862" s="3"/>
      <c r="P862" s="2"/>
      <c r="Q862" s="2"/>
      <c r="R862" s="2"/>
      <c r="S862" s="2"/>
      <c r="T862" s="2"/>
      <c r="U862" s="2"/>
      <c r="V862" s="2"/>
      <c r="W862" s="2"/>
      <c r="X862" s="2"/>
      <c r="Y862" s="2"/>
      <c r="Z862" s="2"/>
      <c r="AA862" s="2"/>
      <c r="AB862" s="2"/>
      <c r="AC862" s="2"/>
      <c r="AD862" s="2"/>
    </row>
    <row r="863" spans="1:30" ht="13">
      <c r="A863" s="3"/>
      <c r="B863" s="2"/>
      <c r="C863" s="2"/>
      <c r="D863" s="3"/>
      <c r="E863" s="3"/>
      <c r="F863" s="1"/>
      <c r="G863" s="37"/>
      <c r="H863" s="1"/>
      <c r="I863" s="2"/>
      <c r="J863" s="2"/>
      <c r="K863" s="2"/>
      <c r="L863" s="2"/>
      <c r="M863" s="2"/>
      <c r="N863" s="3"/>
      <c r="O863" s="3"/>
      <c r="P863" s="2"/>
      <c r="Q863" s="2"/>
      <c r="R863" s="2"/>
      <c r="S863" s="2"/>
      <c r="T863" s="2"/>
      <c r="U863" s="2"/>
      <c r="V863" s="2"/>
      <c r="W863" s="2"/>
      <c r="X863" s="2"/>
      <c r="Y863" s="2"/>
      <c r="Z863" s="2"/>
      <c r="AA863" s="2"/>
      <c r="AB863" s="2"/>
      <c r="AC863" s="2"/>
      <c r="AD863" s="2"/>
    </row>
    <row r="864" spans="1:30" ht="13">
      <c r="A864" s="3"/>
      <c r="B864" s="2"/>
      <c r="C864" s="2"/>
      <c r="D864" s="3"/>
      <c r="E864" s="3"/>
      <c r="F864" s="1"/>
      <c r="G864" s="37"/>
      <c r="H864" s="1"/>
      <c r="I864" s="2"/>
      <c r="J864" s="2"/>
      <c r="K864" s="2"/>
      <c r="L864" s="2"/>
      <c r="M864" s="2"/>
      <c r="N864" s="3"/>
      <c r="O864" s="3"/>
      <c r="P864" s="2"/>
      <c r="Q864" s="2"/>
      <c r="R864" s="2"/>
      <c r="S864" s="2"/>
      <c r="T864" s="2"/>
      <c r="U864" s="2"/>
      <c r="V864" s="2"/>
      <c r="W864" s="2"/>
      <c r="X864" s="2"/>
      <c r="Y864" s="2"/>
      <c r="Z864" s="2"/>
      <c r="AA864" s="2"/>
      <c r="AB864" s="2"/>
      <c r="AC864" s="2"/>
      <c r="AD864" s="2"/>
    </row>
    <row r="865" spans="1:30" ht="13">
      <c r="A865" s="3"/>
      <c r="B865" s="2"/>
      <c r="C865" s="2"/>
      <c r="D865" s="3"/>
      <c r="E865" s="3"/>
      <c r="F865" s="1"/>
      <c r="G865" s="37"/>
      <c r="H865" s="1"/>
      <c r="I865" s="2"/>
      <c r="J865" s="2"/>
      <c r="K865" s="2"/>
      <c r="L865" s="2"/>
      <c r="M865" s="2"/>
      <c r="N865" s="3"/>
      <c r="O865" s="3"/>
      <c r="P865" s="2"/>
      <c r="Q865" s="2"/>
      <c r="R865" s="2"/>
      <c r="S865" s="2"/>
      <c r="T865" s="2"/>
      <c r="U865" s="2"/>
      <c r="V865" s="2"/>
      <c r="W865" s="2"/>
      <c r="X865" s="2"/>
      <c r="Y865" s="2"/>
      <c r="Z865" s="2"/>
      <c r="AA865" s="2"/>
      <c r="AB865" s="2"/>
      <c r="AC865" s="2"/>
      <c r="AD865" s="2"/>
    </row>
    <row r="866" spans="1:30" ht="13">
      <c r="A866" s="3"/>
      <c r="B866" s="2"/>
      <c r="C866" s="2"/>
      <c r="D866" s="3"/>
      <c r="E866" s="3"/>
      <c r="F866" s="1"/>
      <c r="G866" s="37"/>
      <c r="H866" s="1"/>
      <c r="I866" s="2"/>
      <c r="J866" s="2"/>
      <c r="K866" s="2"/>
      <c r="L866" s="2"/>
      <c r="M866" s="2"/>
      <c r="N866" s="3"/>
      <c r="O866" s="3"/>
      <c r="P866" s="2"/>
      <c r="Q866" s="2"/>
      <c r="R866" s="2"/>
      <c r="S866" s="2"/>
      <c r="T866" s="2"/>
      <c r="U866" s="2"/>
      <c r="V866" s="2"/>
      <c r="W866" s="2"/>
      <c r="X866" s="2"/>
      <c r="Y866" s="2"/>
      <c r="Z866" s="2"/>
      <c r="AA866" s="2"/>
      <c r="AB866" s="2"/>
      <c r="AC866" s="2"/>
      <c r="AD866" s="2"/>
    </row>
    <row r="867" spans="1:30" ht="13">
      <c r="A867" s="3"/>
      <c r="B867" s="2"/>
      <c r="C867" s="2"/>
      <c r="D867" s="3"/>
      <c r="E867" s="3"/>
      <c r="F867" s="1"/>
      <c r="G867" s="37"/>
      <c r="H867" s="1"/>
      <c r="I867" s="2"/>
      <c r="J867" s="2"/>
      <c r="K867" s="2"/>
      <c r="L867" s="2"/>
      <c r="M867" s="2"/>
      <c r="N867" s="3"/>
      <c r="O867" s="3"/>
      <c r="P867" s="2"/>
      <c r="Q867" s="2"/>
      <c r="R867" s="2"/>
      <c r="S867" s="2"/>
      <c r="T867" s="2"/>
      <c r="U867" s="2"/>
      <c r="V867" s="2"/>
      <c r="W867" s="2"/>
      <c r="X867" s="2"/>
      <c r="Y867" s="2"/>
      <c r="Z867" s="2"/>
      <c r="AA867" s="2"/>
      <c r="AB867" s="2"/>
      <c r="AC867" s="2"/>
      <c r="AD867" s="2"/>
    </row>
    <row r="868" spans="1:30" ht="13">
      <c r="A868" s="3"/>
      <c r="B868" s="2"/>
      <c r="C868" s="2"/>
      <c r="D868" s="3"/>
      <c r="E868" s="3"/>
      <c r="F868" s="1"/>
      <c r="G868" s="37"/>
      <c r="H868" s="1"/>
      <c r="I868" s="2"/>
      <c r="J868" s="2"/>
      <c r="K868" s="2"/>
      <c r="L868" s="2"/>
      <c r="M868" s="2"/>
      <c r="N868" s="3"/>
      <c r="O868" s="3"/>
      <c r="P868" s="2"/>
      <c r="Q868" s="2"/>
      <c r="R868" s="2"/>
      <c r="S868" s="2"/>
      <c r="T868" s="2"/>
      <c r="U868" s="2"/>
      <c r="V868" s="2"/>
      <c r="W868" s="2"/>
      <c r="X868" s="2"/>
      <c r="Y868" s="2"/>
      <c r="Z868" s="2"/>
      <c r="AA868" s="2"/>
      <c r="AB868" s="2"/>
      <c r="AC868" s="2"/>
      <c r="AD868" s="2"/>
    </row>
    <row r="869" spans="1:30" ht="13">
      <c r="A869" s="3"/>
      <c r="B869" s="2"/>
      <c r="C869" s="2"/>
      <c r="D869" s="3"/>
      <c r="E869" s="3"/>
      <c r="F869" s="1"/>
      <c r="G869" s="37"/>
      <c r="H869" s="1"/>
      <c r="I869" s="2"/>
      <c r="J869" s="2"/>
      <c r="K869" s="2"/>
      <c r="L869" s="2"/>
      <c r="M869" s="2"/>
      <c r="N869" s="3"/>
      <c r="O869" s="3"/>
      <c r="P869" s="2"/>
      <c r="Q869" s="2"/>
      <c r="R869" s="2"/>
      <c r="S869" s="2"/>
      <c r="T869" s="2"/>
      <c r="U869" s="2"/>
      <c r="V869" s="2"/>
      <c r="W869" s="2"/>
      <c r="X869" s="2"/>
      <c r="Y869" s="2"/>
      <c r="Z869" s="2"/>
      <c r="AA869" s="2"/>
      <c r="AB869" s="2"/>
      <c r="AC869" s="2"/>
      <c r="AD869" s="2"/>
    </row>
    <row r="870" spans="1:30" ht="13">
      <c r="A870" s="3"/>
      <c r="B870" s="2"/>
      <c r="C870" s="2"/>
      <c r="D870" s="3"/>
      <c r="E870" s="3"/>
      <c r="F870" s="1"/>
      <c r="G870" s="37"/>
      <c r="H870" s="1"/>
      <c r="I870" s="2"/>
      <c r="J870" s="2"/>
      <c r="K870" s="2"/>
      <c r="L870" s="2"/>
      <c r="M870" s="2"/>
      <c r="N870" s="3"/>
      <c r="O870" s="3"/>
      <c r="P870" s="2"/>
      <c r="Q870" s="2"/>
      <c r="R870" s="2"/>
      <c r="S870" s="2"/>
      <c r="T870" s="2"/>
      <c r="U870" s="2"/>
      <c r="V870" s="2"/>
      <c r="W870" s="2"/>
      <c r="X870" s="2"/>
      <c r="Y870" s="2"/>
      <c r="Z870" s="2"/>
      <c r="AA870" s="2"/>
      <c r="AB870" s="2"/>
      <c r="AC870" s="2"/>
      <c r="AD870" s="2"/>
    </row>
    <row r="871" spans="1:30" ht="13">
      <c r="A871" s="3"/>
      <c r="B871" s="2"/>
      <c r="C871" s="2"/>
      <c r="D871" s="3"/>
      <c r="E871" s="3"/>
      <c r="F871" s="1"/>
      <c r="G871" s="37"/>
      <c r="H871" s="1"/>
      <c r="I871" s="2"/>
      <c r="J871" s="2"/>
      <c r="K871" s="2"/>
      <c r="L871" s="2"/>
      <c r="M871" s="2"/>
      <c r="N871" s="3"/>
      <c r="O871" s="3"/>
      <c r="P871" s="2"/>
      <c r="Q871" s="2"/>
      <c r="R871" s="2"/>
      <c r="S871" s="2"/>
      <c r="T871" s="2"/>
      <c r="U871" s="2"/>
      <c r="V871" s="2"/>
      <c r="W871" s="2"/>
      <c r="X871" s="2"/>
      <c r="Y871" s="2"/>
      <c r="Z871" s="2"/>
      <c r="AA871" s="2"/>
      <c r="AB871" s="2"/>
      <c r="AC871" s="2"/>
      <c r="AD871" s="2"/>
    </row>
    <row r="872" spans="1:30" ht="13">
      <c r="A872" s="3"/>
      <c r="B872" s="2"/>
      <c r="C872" s="2"/>
      <c r="D872" s="3"/>
      <c r="E872" s="3"/>
      <c r="F872" s="1"/>
      <c r="G872" s="37"/>
      <c r="H872" s="1"/>
      <c r="I872" s="2"/>
      <c r="J872" s="2"/>
      <c r="K872" s="2"/>
      <c r="L872" s="2"/>
      <c r="M872" s="2"/>
      <c r="N872" s="3"/>
      <c r="O872" s="3"/>
      <c r="P872" s="2"/>
      <c r="Q872" s="2"/>
      <c r="R872" s="2"/>
      <c r="S872" s="2"/>
      <c r="T872" s="2"/>
      <c r="U872" s="2"/>
      <c r="V872" s="2"/>
      <c r="W872" s="2"/>
      <c r="X872" s="2"/>
      <c r="Y872" s="2"/>
      <c r="Z872" s="2"/>
      <c r="AA872" s="2"/>
      <c r="AB872" s="2"/>
      <c r="AC872" s="2"/>
      <c r="AD872" s="2"/>
    </row>
    <row r="873" spans="1:30" ht="13">
      <c r="A873" s="3"/>
      <c r="B873" s="2"/>
      <c r="C873" s="2"/>
      <c r="D873" s="3"/>
      <c r="E873" s="3"/>
      <c r="F873" s="1"/>
      <c r="G873" s="37"/>
      <c r="H873" s="1"/>
      <c r="I873" s="2"/>
      <c r="J873" s="2"/>
      <c r="K873" s="2"/>
      <c r="L873" s="2"/>
      <c r="M873" s="2"/>
      <c r="N873" s="3"/>
      <c r="O873" s="3"/>
      <c r="P873" s="2"/>
      <c r="Q873" s="2"/>
      <c r="R873" s="2"/>
      <c r="S873" s="2"/>
      <c r="T873" s="2"/>
      <c r="U873" s="2"/>
      <c r="V873" s="2"/>
      <c r="W873" s="2"/>
      <c r="X873" s="2"/>
      <c r="Y873" s="2"/>
      <c r="Z873" s="2"/>
      <c r="AA873" s="2"/>
      <c r="AB873" s="2"/>
      <c r="AC873" s="2"/>
      <c r="AD873" s="2"/>
    </row>
    <row r="874" spans="1:30" ht="13">
      <c r="A874" s="3"/>
      <c r="B874" s="2"/>
      <c r="C874" s="2"/>
      <c r="D874" s="3"/>
      <c r="E874" s="3"/>
      <c r="F874" s="1"/>
      <c r="G874" s="37"/>
      <c r="H874" s="1"/>
      <c r="I874" s="2"/>
      <c r="J874" s="2"/>
      <c r="K874" s="2"/>
      <c r="L874" s="2"/>
      <c r="M874" s="2"/>
      <c r="N874" s="3"/>
      <c r="O874" s="3"/>
      <c r="P874" s="2"/>
      <c r="Q874" s="2"/>
      <c r="R874" s="2"/>
      <c r="S874" s="2"/>
      <c r="T874" s="2"/>
      <c r="U874" s="2"/>
      <c r="V874" s="2"/>
      <c r="W874" s="2"/>
      <c r="X874" s="2"/>
      <c r="Y874" s="2"/>
      <c r="Z874" s="2"/>
      <c r="AA874" s="2"/>
      <c r="AB874" s="2"/>
      <c r="AC874" s="2"/>
      <c r="AD874" s="2"/>
    </row>
    <row r="875" spans="1:30" ht="13">
      <c r="A875" s="3"/>
      <c r="B875" s="2"/>
      <c r="C875" s="2"/>
      <c r="D875" s="3"/>
      <c r="E875" s="3"/>
      <c r="F875" s="1"/>
      <c r="G875" s="37"/>
      <c r="H875" s="1"/>
      <c r="I875" s="2"/>
      <c r="J875" s="2"/>
      <c r="K875" s="2"/>
      <c r="L875" s="2"/>
      <c r="M875" s="2"/>
      <c r="N875" s="3"/>
      <c r="O875" s="3"/>
      <c r="P875" s="2"/>
      <c r="Q875" s="2"/>
      <c r="R875" s="2"/>
      <c r="S875" s="2"/>
      <c r="T875" s="2"/>
      <c r="U875" s="2"/>
      <c r="V875" s="2"/>
      <c r="W875" s="2"/>
      <c r="X875" s="2"/>
      <c r="Y875" s="2"/>
      <c r="Z875" s="2"/>
      <c r="AA875" s="2"/>
      <c r="AB875" s="2"/>
      <c r="AC875" s="2"/>
      <c r="AD875" s="2"/>
    </row>
    <row r="876" spans="1:30" ht="13">
      <c r="A876" s="3"/>
      <c r="B876" s="2"/>
      <c r="C876" s="2"/>
      <c r="D876" s="3"/>
      <c r="E876" s="3"/>
      <c r="F876" s="1"/>
      <c r="G876" s="37"/>
      <c r="H876" s="1"/>
      <c r="I876" s="2"/>
      <c r="J876" s="2"/>
      <c r="K876" s="2"/>
      <c r="L876" s="2"/>
      <c r="M876" s="2"/>
      <c r="N876" s="3"/>
      <c r="O876" s="3"/>
      <c r="P876" s="2"/>
      <c r="Q876" s="2"/>
      <c r="R876" s="2"/>
      <c r="S876" s="2"/>
      <c r="T876" s="2"/>
      <c r="U876" s="2"/>
      <c r="V876" s="2"/>
      <c r="W876" s="2"/>
      <c r="X876" s="2"/>
      <c r="Y876" s="2"/>
      <c r="Z876" s="2"/>
      <c r="AA876" s="2"/>
      <c r="AB876" s="2"/>
      <c r="AC876" s="2"/>
      <c r="AD876" s="2"/>
    </row>
    <row r="877" spans="1:30" ht="13">
      <c r="A877" s="3"/>
      <c r="B877" s="2"/>
      <c r="C877" s="2"/>
      <c r="D877" s="3"/>
      <c r="E877" s="3"/>
      <c r="F877" s="1"/>
      <c r="G877" s="37"/>
      <c r="H877" s="1"/>
      <c r="I877" s="2"/>
      <c r="J877" s="2"/>
      <c r="K877" s="2"/>
      <c r="L877" s="2"/>
      <c r="M877" s="2"/>
      <c r="N877" s="3"/>
      <c r="O877" s="3"/>
      <c r="P877" s="2"/>
      <c r="Q877" s="2"/>
      <c r="R877" s="2"/>
      <c r="S877" s="2"/>
      <c r="T877" s="2"/>
      <c r="U877" s="2"/>
      <c r="V877" s="2"/>
      <c r="W877" s="2"/>
      <c r="X877" s="2"/>
      <c r="Y877" s="2"/>
      <c r="Z877" s="2"/>
      <c r="AA877" s="2"/>
      <c r="AB877" s="2"/>
      <c r="AC877" s="2"/>
      <c r="AD877" s="2"/>
    </row>
    <row r="878" spans="1:30" ht="13">
      <c r="A878" s="3"/>
      <c r="B878" s="2"/>
      <c r="C878" s="2"/>
      <c r="D878" s="3"/>
      <c r="E878" s="3"/>
      <c r="F878" s="1"/>
      <c r="G878" s="37"/>
      <c r="H878" s="1"/>
      <c r="I878" s="2"/>
      <c r="J878" s="2"/>
      <c r="K878" s="2"/>
      <c r="L878" s="2"/>
      <c r="M878" s="2"/>
      <c r="N878" s="3"/>
      <c r="O878" s="3"/>
      <c r="P878" s="2"/>
      <c r="Q878" s="2"/>
      <c r="R878" s="2"/>
      <c r="S878" s="2"/>
      <c r="T878" s="2"/>
      <c r="U878" s="2"/>
      <c r="V878" s="2"/>
      <c r="W878" s="2"/>
      <c r="X878" s="2"/>
      <c r="Y878" s="2"/>
      <c r="Z878" s="2"/>
      <c r="AA878" s="2"/>
      <c r="AB878" s="2"/>
      <c r="AC878" s="2"/>
      <c r="AD878" s="2"/>
    </row>
    <row r="879" spans="1:30" ht="13">
      <c r="A879" s="3"/>
      <c r="B879" s="2"/>
      <c r="C879" s="2"/>
      <c r="D879" s="3"/>
      <c r="E879" s="3"/>
      <c r="F879" s="1"/>
      <c r="G879" s="37"/>
      <c r="H879" s="1"/>
      <c r="I879" s="2"/>
      <c r="J879" s="2"/>
      <c r="K879" s="2"/>
      <c r="L879" s="2"/>
      <c r="M879" s="2"/>
      <c r="N879" s="3"/>
      <c r="O879" s="3"/>
      <c r="P879" s="2"/>
      <c r="Q879" s="2"/>
      <c r="R879" s="2"/>
      <c r="S879" s="2"/>
      <c r="T879" s="2"/>
      <c r="U879" s="2"/>
      <c r="V879" s="2"/>
      <c r="W879" s="2"/>
      <c r="X879" s="2"/>
      <c r="Y879" s="2"/>
      <c r="Z879" s="2"/>
      <c r="AA879" s="2"/>
      <c r="AB879" s="2"/>
      <c r="AC879" s="2"/>
      <c r="AD879" s="2"/>
    </row>
    <row r="880" spans="1:30" ht="13">
      <c r="A880" s="3"/>
      <c r="B880" s="2"/>
      <c r="C880" s="2"/>
      <c r="D880" s="3"/>
      <c r="E880" s="3"/>
      <c r="F880" s="1"/>
      <c r="G880" s="37"/>
      <c r="H880" s="1"/>
      <c r="I880" s="2"/>
      <c r="J880" s="2"/>
      <c r="K880" s="2"/>
      <c r="L880" s="2"/>
      <c r="M880" s="2"/>
      <c r="N880" s="3"/>
      <c r="O880" s="3"/>
      <c r="P880" s="2"/>
      <c r="Q880" s="2"/>
      <c r="R880" s="2"/>
      <c r="S880" s="2"/>
      <c r="T880" s="2"/>
      <c r="U880" s="2"/>
      <c r="V880" s="2"/>
      <c r="W880" s="2"/>
      <c r="X880" s="2"/>
      <c r="Y880" s="2"/>
      <c r="Z880" s="2"/>
      <c r="AA880" s="2"/>
      <c r="AB880" s="2"/>
      <c r="AC880" s="2"/>
      <c r="AD880" s="2"/>
    </row>
    <row r="881" spans="1:30" ht="13">
      <c r="A881" s="3"/>
      <c r="B881" s="2"/>
      <c r="C881" s="2"/>
      <c r="D881" s="3"/>
      <c r="E881" s="3"/>
      <c r="F881" s="1"/>
      <c r="G881" s="37"/>
      <c r="H881" s="1"/>
      <c r="I881" s="2"/>
      <c r="J881" s="2"/>
      <c r="K881" s="2"/>
      <c r="L881" s="2"/>
      <c r="M881" s="2"/>
      <c r="N881" s="3"/>
      <c r="O881" s="3"/>
      <c r="P881" s="2"/>
      <c r="Q881" s="2"/>
      <c r="R881" s="2"/>
      <c r="S881" s="2"/>
      <c r="T881" s="2"/>
      <c r="U881" s="2"/>
      <c r="V881" s="2"/>
      <c r="W881" s="2"/>
      <c r="X881" s="2"/>
      <c r="Y881" s="2"/>
      <c r="Z881" s="2"/>
      <c r="AA881" s="2"/>
      <c r="AB881" s="2"/>
      <c r="AC881" s="2"/>
      <c r="AD881" s="2"/>
    </row>
    <row r="882" spans="1:30" ht="13">
      <c r="A882" s="3"/>
      <c r="B882" s="2"/>
      <c r="C882" s="2"/>
      <c r="D882" s="3"/>
      <c r="E882" s="3"/>
      <c r="F882" s="1"/>
      <c r="G882" s="37"/>
      <c r="H882" s="1"/>
      <c r="I882" s="2"/>
      <c r="J882" s="2"/>
      <c r="K882" s="2"/>
      <c r="L882" s="2"/>
      <c r="M882" s="2"/>
      <c r="N882" s="3"/>
      <c r="O882" s="3"/>
      <c r="P882" s="2"/>
      <c r="Q882" s="2"/>
      <c r="R882" s="2"/>
      <c r="S882" s="2"/>
      <c r="T882" s="2"/>
      <c r="U882" s="2"/>
      <c r="V882" s="2"/>
      <c r="W882" s="2"/>
      <c r="X882" s="2"/>
      <c r="Y882" s="2"/>
      <c r="Z882" s="2"/>
      <c r="AA882" s="2"/>
      <c r="AB882" s="2"/>
      <c r="AC882" s="2"/>
      <c r="AD882" s="2"/>
    </row>
    <row r="883" spans="1:30" ht="13">
      <c r="A883" s="3"/>
      <c r="B883" s="2"/>
      <c r="C883" s="2"/>
      <c r="D883" s="3"/>
      <c r="E883" s="3"/>
      <c r="F883" s="1"/>
      <c r="G883" s="37"/>
      <c r="H883" s="1"/>
      <c r="I883" s="2"/>
      <c r="J883" s="2"/>
      <c r="K883" s="2"/>
      <c r="L883" s="2"/>
      <c r="M883" s="2"/>
      <c r="N883" s="3"/>
      <c r="O883" s="3"/>
      <c r="P883" s="2"/>
      <c r="Q883" s="2"/>
      <c r="R883" s="2"/>
      <c r="S883" s="2"/>
      <c r="T883" s="2"/>
      <c r="U883" s="2"/>
      <c r="V883" s="2"/>
      <c r="W883" s="2"/>
      <c r="X883" s="2"/>
      <c r="Y883" s="2"/>
      <c r="Z883" s="2"/>
      <c r="AA883" s="2"/>
      <c r="AB883" s="2"/>
      <c r="AC883" s="2"/>
      <c r="AD883" s="2"/>
    </row>
    <row r="884" spans="1:30" ht="13">
      <c r="A884" s="3"/>
      <c r="B884" s="2"/>
      <c r="C884" s="2"/>
      <c r="D884" s="3"/>
      <c r="E884" s="3"/>
      <c r="F884" s="1"/>
      <c r="G884" s="37"/>
      <c r="H884" s="1"/>
      <c r="I884" s="2"/>
      <c r="J884" s="2"/>
      <c r="K884" s="2"/>
      <c r="L884" s="2"/>
      <c r="M884" s="2"/>
      <c r="N884" s="3"/>
      <c r="O884" s="3"/>
      <c r="P884" s="2"/>
      <c r="Q884" s="2"/>
      <c r="R884" s="2"/>
      <c r="S884" s="2"/>
      <c r="T884" s="2"/>
      <c r="U884" s="2"/>
      <c r="V884" s="2"/>
      <c r="W884" s="2"/>
      <c r="X884" s="2"/>
      <c r="Y884" s="2"/>
      <c r="Z884" s="2"/>
      <c r="AA884" s="2"/>
      <c r="AB884" s="2"/>
      <c r="AC884" s="2"/>
      <c r="AD884" s="2"/>
    </row>
    <row r="885" spans="1:30" ht="13">
      <c r="A885" s="3"/>
      <c r="B885" s="2"/>
      <c r="C885" s="2"/>
      <c r="D885" s="3"/>
      <c r="E885" s="3"/>
      <c r="F885" s="1"/>
      <c r="G885" s="37"/>
      <c r="H885" s="1"/>
      <c r="I885" s="2"/>
      <c r="J885" s="2"/>
      <c r="K885" s="2"/>
      <c r="L885" s="2"/>
      <c r="M885" s="2"/>
      <c r="N885" s="3"/>
      <c r="O885" s="3"/>
      <c r="P885" s="2"/>
      <c r="Q885" s="2"/>
      <c r="R885" s="2"/>
      <c r="S885" s="2"/>
      <c r="T885" s="2"/>
      <c r="U885" s="2"/>
      <c r="V885" s="2"/>
      <c r="W885" s="2"/>
      <c r="X885" s="2"/>
      <c r="Y885" s="2"/>
      <c r="Z885" s="2"/>
      <c r="AA885" s="2"/>
      <c r="AB885" s="2"/>
      <c r="AC885" s="2"/>
      <c r="AD885" s="2"/>
    </row>
    <row r="886" spans="1:30" ht="13">
      <c r="A886" s="3"/>
      <c r="B886" s="2"/>
      <c r="C886" s="2"/>
      <c r="D886" s="3"/>
      <c r="E886" s="3"/>
      <c r="F886" s="1"/>
      <c r="G886" s="37"/>
      <c r="H886" s="1"/>
      <c r="I886" s="2"/>
      <c r="J886" s="2"/>
      <c r="K886" s="2"/>
      <c r="L886" s="2"/>
      <c r="M886" s="2"/>
      <c r="N886" s="3"/>
      <c r="O886" s="3"/>
      <c r="P886" s="2"/>
      <c r="Q886" s="2"/>
      <c r="R886" s="2"/>
      <c r="S886" s="2"/>
      <c r="T886" s="2"/>
      <c r="U886" s="2"/>
      <c r="V886" s="2"/>
      <c r="W886" s="2"/>
      <c r="X886" s="2"/>
      <c r="Y886" s="2"/>
      <c r="Z886" s="2"/>
      <c r="AA886" s="2"/>
      <c r="AB886" s="2"/>
      <c r="AC886" s="2"/>
      <c r="AD886" s="2"/>
    </row>
    <row r="887" spans="1:30" ht="13">
      <c r="A887" s="3"/>
      <c r="B887" s="2"/>
      <c r="C887" s="2"/>
      <c r="D887" s="3"/>
      <c r="E887" s="3"/>
      <c r="F887" s="1"/>
      <c r="G887" s="37"/>
      <c r="H887" s="1"/>
      <c r="I887" s="2"/>
      <c r="J887" s="2"/>
      <c r="K887" s="2"/>
      <c r="L887" s="2"/>
      <c r="M887" s="2"/>
      <c r="N887" s="3"/>
      <c r="O887" s="3"/>
      <c r="P887" s="2"/>
      <c r="Q887" s="2"/>
      <c r="R887" s="2"/>
      <c r="S887" s="2"/>
      <c r="T887" s="2"/>
      <c r="U887" s="2"/>
      <c r="V887" s="2"/>
      <c r="W887" s="2"/>
      <c r="X887" s="2"/>
      <c r="Y887" s="2"/>
      <c r="Z887" s="2"/>
      <c r="AA887" s="2"/>
      <c r="AB887" s="2"/>
      <c r="AC887" s="2"/>
      <c r="AD887" s="2"/>
    </row>
    <row r="888" spans="1:30" ht="13">
      <c r="A888" s="3"/>
      <c r="B888" s="2"/>
      <c r="C888" s="2"/>
      <c r="D888" s="3"/>
      <c r="E888" s="3"/>
      <c r="F888" s="1"/>
      <c r="G888" s="37"/>
      <c r="H888" s="1"/>
      <c r="I888" s="2"/>
      <c r="J888" s="2"/>
      <c r="K888" s="2"/>
      <c r="L888" s="2"/>
      <c r="M888" s="2"/>
      <c r="N888" s="3"/>
      <c r="O888" s="3"/>
      <c r="P888" s="2"/>
      <c r="Q888" s="2"/>
      <c r="R888" s="2"/>
      <c r="S888" s="2"/>
      <c r="T888" s="2"/>
      <c r="U888" s="2"/>
      <c r="V888" s="2"/>
      <c r="W888" s="2"/>
      <c r="X888" s="2"/>
      <c r="Y888" s="2"/>
      <c r="Z888" s="2"/>
      <c r="AA888" s="2"/>
      <c r="AB888" s="2"/>
      <c r="AC888" s="2"/>
      <c r="AD888" s="2"/>
    </row>
    <row r="889" spans="1:30" ht="13">
      <c r="A889" s="3"/>
      <c r="B889" s="2"/>
      <c r="C889" s="2"/>
      <c r="D889" s="3"/>
      <c r="E889" s="3"/>
      <c r="F889" s="1"/>
      <c r="G889" s="37"/>
      <c r="H889" s="1"/>
      <c r="I889" s="2"/>
      <c r="J889" s="2"/>
      <c r="K889" s="2"/>
      <c r="L889" s="2"/>
      <c r="M889" s="2"/>
      <c r="N889" s="3"/>
      <c r="O889" s="3"/>
      <c r="P889" s="2"/>
      <c r="Q889" s="2"/>
      <c r="R889" s="2"/>
      <c r="S889" s="2"/>
      <c r="T889" s="2"/>
      <c r="U889" s="2"/>
      <c r="V889" s="2"/>
      <c r="W889" s="2"/>
      <c r="X889" s="2"/>
      <c r="Y889" s="2"/>
      <c r="Z889" s="2"/>
      <c r="AA889" s="2"/>
      <c r="AB889" s="2"/>
      <c r="AC889" s="2"/>
      <c r="AD889" s="2"/>
    </row>
    <row r="890" spans="1:30" ht="13">
      <c r="A890" s="3"/>
      <c r="B890" s="2"/>
      <c r="C890" s="2"/>
      <c r="D890" s="3"/>
      <c r="E890" s="3"/>
      <c r="F890" s="1"/>
      <c r="G890" s="37"/>
      <c r="H890" s="1"/>
      <c r="I890" s="2"/>
      <c r="J890" s="2"/>
      <c r="K890" s="2"/>
      <c r="L890" s="2"/>
      <c r="M890" s="2"/>
      <c r="N890" s="3"/>
      <c r="O890" s="3"/>
      <c r="P890" s="2"/>
      <c r="Q890" s="2"/>
      <c r="R890" s="2"/>
      <c r="S890" s="2"/>
      <c r="T890" s="2"/>
      <c r="U890" s="2"/>
      <c r="V890" s="2"/>
      <c r="W890" s="2"/>
      <c r="X890" s="2"/>
      <c r="Y890" s="2"/>
      <c r="Z890" s="2"/>
      <c r="AA890" s="2"/>
      <c r="AB890" s="2"/>
      <c r="AC890" s="2"/>
      <c r="AD890" s="2"/>
    </row>
    <row r="891" spans="1:30" ht="13">
      <c r="A891" s="3"/>
      <c r="B891" s="2"/>
      <c r="C891" s="2"/>
      <c r="D891" s="3"/>
      <c r="E891" s="3"/>
      <c r="F891" s="1"/>
      <c r="G891" s="37"/>
      <c r="H891" s="1"/>
      <c r="I891" s="2"/>
      <c r="J891" s="2"/>
      <c r="K891" s="2"/>
      <c r="L891" s="2"/>
      <c r="M891" s="2"/>
      <c r="N891" s="3"/>
      <c r="O891" s="3"/>
      <c r="P891" s="2"/>
      <c r="Q891" s="2"/>
      <c r="R891" s="2"/>
      <c r="S891" s="2"/>
      <c r="T891" s="2"/>
      <c r="U891" s="2"/>
      <c r="V891" s="2"/>
      <c r="W891" s="2"/>
      <c r="X891" s="2"/>
      <c r="Y891" s="2"/>
      <c r="Z891" s="2"/>
      <c r="AA891" s="2"/>
      <c r="AB891" s="2"/>
      <c r="AC891" s="2"/>
      <c r="AD891" s="2"/>
    </row>
    <row r="892" spans="1:30" ht="13">
      <c r="A892" s="3"/>
      <c r="B892" s="2"/>
      <c r="C892" s="2"/>
      <c r="D892" s="3"/>
      <c r="E892" s="3"/>
      <c r="F892" s="1"/>
      <c r="G892" s="37"/>
      <c r="H892" s="1"/>
      <c r="I892" s="2"/>
      <c r="J892" s="2"/>
      <c r="K892" s="2"/>
      <c r="L892" s="2"/>
      <c r="M892" s="2"/>
      <c r="N892" s="3"/>
      <c r="O892" s="3"/>
      <c r="P892" s="2"/>
      <c r="Q892" s="2"/>
      <c r="R892" s="2"/>
      <c r="S892" s="2"/>
      <c r="T892" s="2"/>
      <c r="U892" s="2"/>
      <c r="V892" s="2"/>
      <c r="W892" s="2"/>
      <c r="X892" s="2"/>
      <c r="Y892" s="2"/>
      <c r="Z892" s="2"/>
      <c r="AA892" s="2"/>
      <c r="AB892" s="2"/>
      <c r="AC892" s="2"/>
      <c r="AD892" s="2"/>
    </row>
    <row r="893" spans="1:30" ht="13">
      <c r="A893" s="3"/>
      <c r="B893" s="2"/>
      <c r="C893" s="2"/>
      <c r="D893" s="3"/>
      <c r="E893" s="3"/>
      <c r="F893" s="1"/>
      <c r="G893" s="37"/>
      <c r="H893" s="1"/>
      <c r="I893" s="2"/>
      <c r="J893" s="2"/>
      <c r="K893" s="2"/>
      <c r="L893" s="2"/>
      <c r="M893" s="2"/>
      <c r="N893" s="3"/>
      <c r="O893" s="3"/>
      <c r="P893" s="2"/>
      <c r="Q893" s="2"/>
      <c r="R893" s="2"/>
      <c r="S893" s="2"/>
      <c r="T893" s="2"/>
      <c r="U893" s="2"/>
      <c r="V893" s="2"/>
      <c r="W893" s="2"/>
      <c r="X893" s="2"/>
      <c r="Y893" s="2"/>
      <c r="Z893" s="2"/>
      <c r="AA893" s="2"/>
      <c r="AB893" s="2"/>
      <c r="AC893" s="2"/>
      <c r="AD893" s="2"/>
    </row>
    <row r="894" spans="1:30" ht="13">
      <c r="A894" s="3"/>
      <c r="B894" s="2"/>
      <c r="C894" s="2"/>
      <c r="D894" s="3"/>
      <c r="E894" s="3"/>
      <c r="F894" s="1"/>
      <c r="G894" s="37"/>
      <c r="H894" s="1"/>
      <c r="I894" s="2"/>
      <c r="J894" s="2"/>
      <c r="K894" s="2"/>
      <c r="L894" s="2"/>
      <c r="M894" s="2"/>
      <c r="N894" s="3"/>
      <c r="O894" s="3"/>
      <c r="P894" s="2"/>
      <c r="Q894" s="2"/>
      <c r="R894" s="2"/>
      <c r="S894" s="2"/>
      <c r="T894" s="2"/>
      <c r="U894" s="2"/>
      <c r="V894" s="2"/>
      <c r="W894" s="2"/>
      <c r="X894" s="2"/>
      <c r="Y894" s="2"/>
      <c r="Z894" s="2"/>
      <c r="AA894" s="2"/>
      <c r="AB894" s="2"/>
      <c r="AC894" s="2"/>
      <c r="AD894" s="2"/>
    </row>
    <row r="895" spans="1:30" ht="13">
      <c r="A895" s="3"/>
      <c r="B895" s="2"/>
      <c r="C895" s="2"/>
      <c r="D895" s="3"/>
      <c r="E895" s="3"/>
      <c r="F895" s="1"/>
      <c r="G895" s="37"/>
      <c r="H895" s="1"/>
      <c r="I895" s="2"/>
      <c r="J895" s="2"/>
      <c r="K895" s="2"/>
      <c r="L895" s="2"/>
      <c r="M895" s="2"/>
      <c r="N895" s="3"/>
      <c r="O895" s="3"/>
      <c r="P895" s="2"/>
      <c r="Q895" s="2"/>
      <c r="R895" s="2"/>
      <c r="S895" s="2"/>
      <c r="T895" s="2"/>
      <c r="U895" s="2"/>
      <c r="V895" s="2"/>
      <c r="W895" s="2"/>
      <c r="X895" s="2"/>
      <c r="Y895" s="2"/>
      <c r="Z895" s="2"/>
      <c r="AA895" s="2"/>
      <c r="AB895" s="2"/>
      <c r="AC895" s="2"/>
      <c r="AD895" s="2"/>
    </row>
    <row r="896" spans="1:30" ht="13">
      <c r="A896" s="3"/>
      <c r="B896" s="2"/>
      <c r="C896" s="2"/>
      <c r="D896" s="3"/>
      <c r="E896" s="3"/>
      <c r="F896" s="1"/>
      <c r="G896" s="37"/>
      <c r="H896" s="1"/>
      <c r="I896" s="2"/>
      <c r="J896" s="2"/>
      <c r="K896" s="2"/>
      <c r="L896" s="2"/>
      <c r="M896" s="2"/>
      <c r="N896" s="3"/>
      <c r="O896" s="3"/>
      <c r="P896" s="2"/>
      <c r="Q896" s="2"/>
      <c r="R896" s="2"/>
      <c r="S896" s="2"/>
      <c r="T896" s="2"/>
      <c r="U896" s="2"/>
      <c r="V896" s="2"/>
      <c r="W896" s="2"/>
      <c r="X896" s="2"/>
      <c r="Y896" s="2"/>
      <c r="Z896" s="2"/>
      <c r="AA896" s="2"/>
      <c r="AB896" s="2"/>
      <c r="AC896" s="2"/>
      <c r="AD896" s="2"/>
    </row>
    <row r="897" spans="1:30" ht="13">
      <c r="A897" s="3"/>
      <c r="B897" s="2"/>
      <c r="C897" s="2"/>
      <c r="D897" s="3"/>
      <c r="E897" s="3"/>
      <c r="F897" s="1"/>
      <c r="G897" s="37"/>
      <c r="H897" s="1"/>
      <c r="I897" s="2"/>
      <c r="J897" s="2"/>
      <c r="K897" s="2"/>
      <c r="L897" s="2"/>
      <c r="M897" s="2"/>
      <c r="N897" s="3"/>
      <c r="O897" s="3"/>
      <c r="P897" s="2"/>
      <c r="Q897" s="2"/>
      <c r="R897" s="2"/>
      <c r="S897" s="2"/>
      <c r="T897" s="2"/>
      <c r="U897" s="2"/>
      <c r="V897" s="2"/>
      <c r="W897" s="2"/>
      <c r="X897" s="2"/>
      <c r="Y897" s="2"/>
      <c r="Z897" s="2"/>
      <c r="AA897" s="2"/>
      <c r="AB897" s="2"/>
      <c r="AC897" s="2"/>
      <c r="AD897" s="2"/>
    </row>
    <row r="898" spans="1:30" ht="13">
      <c r="A898" s="3"/>
      <c r="B898" s="2"/>
      <c r="C898" s="2"/>
      <c r="D898" s="3"/>
      <c r="E898" s="3"/>
      <c r="F898" s="1"/>
      <c r="G898" s="37"/>
      <c r="H898" s="1"/>
      <c r="I898" s="2"/>
      <c r="J898" s="2"/>
      <c r="K898" s="2"/>
      <c r="L898" s="2"/>
      <c r="M898" s="2"/>
      <c r="N898" s="3"/>
      <c r="O898" s="3"/>
      <c r="P898" s="2"/>
      <c r="Q898" s="2"/>
      <c r="R898" s="2"/>
      <c r="S898" s="2"/>
      <c r="T898" s="2"/>
      <c r="U898" s="2"/>
      <c r="V898" s="2"/>
      <c r="W898" s="2"/>
      <c r="X898" s="2"/>
      <c r="Y898" s="2"/>
      <c r="Z898" s="2"/>
      <c r="AA898" s="2"/>
      <c r="AB898" s="2"/>
      <c r="AC898" s="2"/>
      <c r="AD898" s="2"/>
    </row>
    <row r="899" spans="1:30" ht="13">
      <c r="A899" s="3"/>
      <c r="B899" s="2"/>
      <c r="C899" s="2"/>
      <c r="D899" s="3"/>
      <c r="E899" s="3"/>
      <c r="F899" s="1"/>
      <c r="G899" s="37"/>
      <c r="H899" s="1"/>
      <c r="I899" s="2"/>
      <c r="J899" s="2"/>
      <c r="K899" s="2"/>
      <c r="L899" s="2"/>
      <c r="M899" s="2"/>
      <c r="N899" s="3"/>
      <c r="O899" s="3"/>
      <c r="P899" s="2"/>
      <c r="Q899" s="2"/>
      <c r="R899" s="2"/>
      <c r="S899" s="2"/>
      <c r="T899" s="2"/>
      <c r="U899" s="2"/>
      <c r="V899" s="2"/>
      <c r="W899" s="2"/>
      <c r="X899" s="2"/>
      <c r="Y899" s="2"/>
      <c r="Z899" s="2"/>
      <c r="AA899" s="2"/>
      <c r="AB899" s="2"/>
      <c r="AC899" s="2"/>
      <c r="AD899" s="2"/>
    </row>
    <row r="900" spans="1:30" ht="13">
      <c r="A900" s="3"/>
      <c r="B900" s="2"/>
      <c r="C900" s="2"/>
      <c r="D900" s="3"/>
      <c r="E900" s="3"/>
      <c r="F900" s="1"/>
      <c r="G900" s="37"/>
      <c r="H900" s="1"/>
      <c r="I900" s="2"/>
      <c r="J900" s="2"/>
      <c r="K900" s="2"/>
      <c r="L900" s="2"/>
      <c r="M900" s="2"/>
      <c r="N900" s="3"/>
      <c r="O900" s="3"/>
      <c r="P900" s="2"/>
      <c r="Q900" s="2"/>
      <c r="R900" s="2"/>
      <c r="S900" s="2"/>
      <c r="T900" s="2"/>
      <c r="U900" s="2"/>
      <c r="V900" s="2"/>
      <c r="W900" s="2"/>
      <c r="X900" s="2"/>
      <c r="Y900" s="2"/>
      <c r="Z900" s="2"/>
      <c r="AA900" s="2"/>
      <c r="AB900" s="2"/>
      <c r="AC900" s="2"/>
      <c r="AD900" s="2"/>
    </row>
    <row r="901" spans="1:30" ht="13">
      <c r="A901" s="3"/>
      <c r="B901" s="2"/>
      <c r="C901" s="2"/>
      <c r="D901" s="3"/>
      <c r="E901" s="3"/>
      <c r="F901" s="1"/>
      <c r="G901" s="37"/>
      <c r="H901" s="1"/>
      <c r="I901" s="2"/>
      <c r="J901" s="2"/>
      <c r="K901" s="2"/>
      <c r="L901" s="2"/>
      <c r="M901" s="2"/>
      <c r="N901" s="3"/>
      <c r="O901" s="3"/>
      <c r="P901" s="2"/>
      <c r="Q901" s="2"/>
      <c r="R901" s="2"/>
      <c r="S901" s="2"/>
      <c r="T901" s="2"/>
      <c r="U901" s="2"/>
      <c r="V901" s="2"/>
      <c r="W901" s="2"/>
      <c r="X901" s="2"/>
      <c r="Y901" s="2"/>
      <c r="Z901" s="2"/>
      <c r="AA901" s="2"/>
      <c r="AB901" s="2"/>
      <c r="AC901" s="2"/>
      <c r="AD901" s="2"/>
    </row>
    <row r="902" spans="1:30" ht="13">
      <c r="A902" s="3"/>
      <c r="B902" s="2"/>
      <c r="C902" s="2"/>
      <c r="D902" s="3"/>
      <c r="E902" s="3"/>
      <c r="F902" s="1"/>
      <c r="G902" s="37"/>
      <c r="H902" s="1"/>
      <c r="I902" s="2"/>
      <c r="J902" s="2"/>
      <c r="K902" s="2"/>
      <c r="L902" s="2"/>
      <c r="M902" s="2"/>
      <c r="N902" s="3"/>
      <c r="O902" s="3"/>
      <c r="P902" s="2"/>
      <c r="Q902" s="2"/>
      <c r="R902" s="2"/>
      <c r="S902" s="2"/>
      <c r="T902" s="2"/>
      <c r="U902" s="2"/>
      <c r="V902" s="2"/>
      <c r="W902" s="2"/>
      <c r="X902" s="2"/>
      <c r="Y902" s="2"/>
      <c r="Z902" s="2"/>
      <c r="AA902" s="2"/>
      <c r="AB902" s="2"/>
      <c r="AC902" s="2"/>
      <c r="AD902" s="2"/>
    </row>
    <row r="903" spans="1:30" ht="13">
      <c r="A903" s="3"/>
      <c r="B903" s="2"/>
      <c r="C903" s="2"/>
      <c r="D903" s="3"/>
      <c r="E903" s="3"/>
      <c r="F903" s="1"/>
      <c r="G903" s="37"/>
      <c r="H903" s="1"/>
      <c r="I903" s="2"/>
      <c r="J903" s="2"/>
      <c r="K903" s="2"/>
      <c r="L903" s="2"/>
      <c r="M903" s="2"/>
      <c r="N903" s="3"/>
      <c r="O903" s="3"/>
      <c r="P903" s="2"/>
      <c r="Q903" s="2"/>
      <c r="R903" s="2"/>
      <c r="S903" s="2"/>
      <c r="T903" s="2"/>
      <c r="U903" s="2"/>
      <c r="V903" s="2"/>
      <c r="W903" s="2"/>
      <c r="X903" s="2"/>
      <c r="Y903" s="2"/>
      <c r="Z903" s="2"/>
      <c r="AA903" s="2"/>
      <c r="AB903" s="2"/>
      <c r="AC903" s="2"/>
      <c r="AD903" s="2"/>
    </row>
    <row r="904" spans="1:30" ht="13">
      <c r="A904" s="3"/>
      <c r="B904" s="2"/>
      <c r="C904" s="2"/>
      <c r="D904" s="3"/>
      <c r="E904" s="3"/>
      <c r="F904" s="1"/>
      <c r="G904" s="37"/>
      <c r="H904" s="1"/>
      <c r="I904" s="2"/>
      <c r="J904" s="2"/>
      <c r="K904" s="2"/>
      <c r="L904" s="2"/>
      <c r="M904" s="2"/>
      <c r="N904" s="3"/>
      <c r="O904" s="3"/>
      <c r="P904" s="2"/>
      <c r="Q904" s="2"/>
      <c r="R904" s="2"/>
      <c r="S904" s="2"/>
      <c r="T904" s="2"/>
      <c r="U904" s="2"/>
      <c r="V904" s="2"/>
      <c r="W904" s="2"/>
      <c r="X904" s="2"/>
      <c r="Y904" s="2"/>
      <c r="Z904" s="2"/>
      <c r="AA904" s="2"/>
      <c r="AB904" s="2"/>
      <c r="AC904" s="2"/>
      <c r="AD904" s="2"/>
    </row>
    <row r="905" spans="1:30" ht="13">
      <c r="A905" s="3"/>
      <c r="B905" s="2"/>
      <c r="C905" s="2"/>
      <c r="D905" s="3"/>
      <c r="E905" s="3"/>
      <c r="F905" s="1"/>
      <c r="G905" s="37"/>
      <c r="H905" s="1"/>
      <c r="I905" s="2"/>
      <c r="J905" s="2"/>
      <c r="K905" s="2"/>
      <c r="L905" s="2"/>
      <c r="M905" s="2"/>
      <c r="N905" s="3"/>
      <c r="O905" s="3"/>
      <c r="P905" s="2"/>
      <c r="Q905" s="2"/>
      <c r="R905" s="2"/>
      <c r="S905" s="2"/>
      <c r="T905" s="2"/>
      <c r="U905" s="2"/>
      <c r="V905" s="2"/>
      <c r="W905" s="2"/>
      <c r="X905" s="2"/>
      <c r="Y905" s="2"/>
      <c r="Z905" s="2"/>
      <c r="AA905" s="2"/>
      <c r="AB905" s="2"/>
      <c r="AC905" s="2"/>
      <c r="AD905" s="2"/>
    </row>
    <row r="906" spans="1:30" ht="13">
      <c r="A906" s="3"/>
      <c r="B906" s="2"/>
      <c r="C906" s="2"/>
      <c r="D906" s="3"/>
      <c r="E906" s="3"/>
      <c r="F906" s="1"/>
      <c r="G906" s="37"/>
      <c r="H906" s="1"/>
      <c r="I906" s="2"/>
      <c r="J906" s="2"/>
      <c r="K906" s="2"/>
      <c r="L906" s="2"/>
      <c r="M906" s="2"/>
      <c r="N906" s="16" t="s">
        <v>1546</v>
      </c>
      <c r="O906" s="3"/>
      <c r="P906" s="2"/>
      <c r="Q906" s="2"/>
      <c r="R906" s="2"/>
      <c r="S906" s="2"/>
      <c r="T906" s="2"/>
      <c r="U906" s="2"/>
      <c r="V906" s="2"/>
      <c r="W906" s="2"/>
      <c r="X906" s="2"/>
      <c r="Y906" s="2"/>
      <c r="Z906" s="2"/>
      <c r="AA906" s="2"/>
      <c r="AB906" s="2"/>
      <c r="AC906" s="2"/>
      <c r="AD906" s="2"/>
    </row>
  </sheetData>
  <autoFilter ref="A5:AD198" xr:uid="{00000000-0009-0000-0000-000001000000}">
    <filterColumn colId="13">
      <filters blank="1">
        <filter val="TỔNG"/>
      </filters>
    </filterColumn>
  </autoFilter>
  <mergeCells count="43">
    <mergeCell ref="H3:H4"/>
    <mergeCell ref="I3:M3"/>
    <mergeCell ref="N3:N4"/>
    <mergeCell ref="O3:O4"/>
    <mergeCell ref="A1:E1"/>
    <mergeCell ref="A2:R2"/>
    <mergeCell ref="A3:A4"/>
    <mergeCell ref="B3:B4"/>
    <mergeCell ref="C3:C4"/>
    <mergeCell ref="D3:D4"/>
    <mergeCell ref="E3:E4"/>
    <mergeCell ref="F3:F4"/>
    <mergeCell ref="G3:G4"/>
    <mergeCell ref="E7:E8"/>
    <mergeCell ref="E9:E14"/>
    <mergeCell ref="E15:E21"/>
    <mergeCell ref="E22:E63"/>
    <mergeCell ref="E64:E77"/>
    <mergeCell ref="R22:R63"/>
    <mergeCell ref="R64:R77"/>
    <mergeCell ref="R78:R84"/>
    <mergeCell ref="R85:R102"/>
    <mergeCell ref="R103:R123"/>
    <mergeCell ref="P3:Q3"/>
    <mergeCell ref="R3:R4"/>
    <mergeCell ref="R7:R8"/>
    <mergeCell ref="R9:R14"/>
    <mergeCell ref="R15:R21"/>
    <mergeCell ref="E191:E197"/>
    <mergeCell ref="A198:N198"/>
    <mergeCell ref="P198:R198"/>
    <mergeCell ref="E78:E84"/>
    <mergeCell ref="E85:E102"/>
    <mergeCell ref="E103:E123"/>
    <mergeCell ref="E124:E129"/>
    <mergeCell ref="E130:E141"/>
    <mergeCell ref="E142:E172"/>
    <mergeCell ref="E173:E190"/>
    <mergeCell ref="R142:R172"/>
    <mergeCell ref="R173:R190"/>
    <mergeCell ref="R191:R197"/>
    <mergeCell ref="R124:R129"/>
    <mergeCell ref="R130:R141"/>
  </mergeCells>
  <dataValidations count="1">
    <dataValidation type="list" allowBlank="1" showErrorMessage="1" sqref="O5:O197" xr:uid="{00000000-0002-0000-0100-000000000000}">
      <formula1>"ĐẠT,KHÔNG ĐẠT"</formula1>
    </dataValidation>
  </dataValidations>
  <hyperlinks>
    <hyperlink ref="P6" r:id="rId1" xr:uid="{00000000-0004-0000-0100-000000000000}"/>
    <hyperlink ref="Q6" r:id="rId2" xr:uid="{00000000-0004-0000-0100-000001000000}"/>
    <hyperlink ref="P7" r:id="rId3" xr:uid="{00000000-0004-0000-0100-000002000000}"/>
    <hyperlink ref="Q7" r:id="rId4" xr:uid="{00000000-0004-0000-0100-000003000000}"/>
    <hyperlink ref="P8" r:id="rId5" xr:uid="{00000000-0004-0000-0100-000004000000}"/>
    <hyperlink ref="Q8" r:id="rId6" xr:uid="{00000000-0004-0000-0100-000005000000}"/>
    <hyperlink ref="P9" r:id="rId7" xr:uid="{00000000-0004-0000-0100-000006000000}"/>
    <hyperlink ref="Q9" r:id="rId8" xr:uid="{00000000-0004-0000-0100-000007000000}"/>
    <hyperlink ref="P10" r:id="rId9" xr:uid="{00000000-0004-0000-0100-000008000000}"/>
    <hyperlink ref="Q10" r:id="rId10" xr:uid="{00000000-0004-0000-0100-000009000000}"/>
    <hyperlink ref="P11" r:id="rId11" xr:uid="{00000000-0004-0000-0100-00000A000000}"/>
    <hyperlink ref="Q11" r:id="rId12" xr:uid="{00000000-0004-0000-0100-00000B000000}"/>
    <hyperlink ref="P12" r:id="rId13" xr:uid="{00000000-0004-0000-0100-00000C000000}"/>
    <hyperlink ref="Q12" r:id="rId14" xr:uid="{00000000-0004-0000-0100-00000D000000}"/>
    <hyperlink ref="P13" r:id="rId15" xr:uid="{00000000-0004-0000-0100-00000E000000}"/>
    <hyperlink ref="Q13" r:id="rId16" xr:uid="{00000000-0004-0000-0100-00000F000000}"/>
    <hyperlink ref="P14" r:id="rId17" xr:uid="{00000000-0004-0000-0100-000010000000}"/>
    <hyperlink ref="Q14" r:id="rId18" xr:uid="{00000000-0004-0000-0100-000011000000}"/>
    <hyperlink ref="P15" r:id="rId19" xr:uid="{00000000-0004-0000-0100-000012000000}"/>
    <hyperlink ref="Q15" r:id="rId20" xr:uid="{00000000-0004-0000-0100-000013000000}"/>
    <hyperlink ref="P16" r:id="rId21" xr:uid="{00000000-0004-0000-0100-000014000000}"/>
    <hyperlink ref="Q16" r:id="rId22" xr:uid="{00000000-0004-0000-0100-000015000000}"/>
    <hyperlink ref="P17" r:id="rId23" xr:uid="{00000000-0004-0000-0100-000016000000}"/>
    <hyperlink ref="Q17" r:id="rId24" xr:uid="{00000000-0004-0000-0100-000017000000}"/>
    <hyperlink ref="P18" r:id="rId25" xr:uid="{00000000-0004-0000-0100-000018000000}"/>
    <hyperlink ref="Q18" r:id="rId26" xr:uid="{00000000-0004-0000-0100-000019000000}"/>
    <hyperlink ref="P19" r:id="rId27" xr:uid="{00000000-0004-0000-0100-00001A000000}"/>
    <hyperlink ref="Q19" r:id="rId28" xr:uid="{00000000-0004-0000-0100-00001B000000}"/>
    <hyperlink ref="P20" r:id="rId29" xr:uid="{00000000-0004-0000-0100-00001C000000}"/>
    <hyperlink ref="Q20" r:id="rId30" xr:uid="{00000000-0004-0000-0100-00001D000000}"/>
    <hyperlink ref="P21" r:id="rId31" xr:uid="{00000000-0004-0000-0100-00001E000000}"/>
    <hyperlink ref="Q21" r:id="rId32" xr:uid="{00000000-0004-0000-0100-00001F000000}"/>
    <hyperlink ref="P22" r:id="rId33" xr:uid="{00000000-0004-0000-0100-000020000000}"/>
    <hyperlink ref="Q22" r:id="rId34" xr:uid="{00000000-0004-0000-0100-000021000000}"/>
    <hyperlink ref="P23" r:id="rId35" xr:uid="{00000000-0004-0000-0100-000022000000}"/>
    <hyperlink ref="Q23" r:id="rId36" xr:uid="{00000000-0004-0000-0100-000023000000}"/>
    <hyperlink ref="P24" r:id="rId37" xr:uid="{00000000-0004-0000-0100-000024000000}"/>
    <hyperlink ref="Q24" r:id="rId38" xr:uid="{00000000-0004-0000-0100-000025000000}"/>
    <hyperlink ref="P25" r:id="rId39" xr:uid="{00000000-0004-0000-0100-000026000000}"/>
    <hyperlink ref="Q25" r:id="rId40" xr:uid="{00000000-0004-0000-0100-000027000000}"/>
    <hyperlink ref="P26" r:id="rId41" xr:uid="{00000000-0004-0000-0100-000028000000}"/>
    <hyperlink ref="Q26" r:id="rId42" xr:uid="{00000000-0004-0000-0100-000029000000}"/>
    <hyperlink ref="P27" r:id="rId43" xr:uid="{00000000-0004-0000-0100-00002A000000}"/>
    <hyperlink ref="Q27" r:id="rId44" xr:uid="{00000000-0004-0000-0100-00002B000000}"/>
    <hyperlink ref="P28" r:id="rId45" xr:uid="{00000000-0004-0000-0100-00002C000000}"/>
    <hyperlink ref="Q28" r:id="rId46" xr:uid="{00000000-0004-0000-0100-00002D000000}"/>
    <hyperlink ref="P29" r:id="rId47" xr:uid="{00000000-0004-0000-0100-00002E000000}"/>
    <hyperlink ref="Q29" r:id="rId48" xr:uid="{00000000-0004-0000-0100-00002F000000}"/>
    <hyperlink ref="P30" r:id="rId49" xr:uid="{00000000-0004-0000-0100-000030000000}"/>
    <hyperlink ref="Q30" r:id="rId50" xr:uid="{00000000-0004-0000-0100-000031000000}"/>
    <hyperlink ref="P31" r:id="rId51" xr:uid="{00000000-0004-0000-0100-000032000000}"/>
    <hyperlink ref="Q31" r:id="rId52" xr:uid="{00000000-0004-0000-0100-000033000000}"/>
    <hyperlink ref="P32" r:id="rId53" xr:uid="{00000000-0004-0000-0100-000034000000}"/>
    <hyperlink ref="Q32" r:id="rId54" xr:uid="{00000000-0004-0000-0100-000035000000}"/>
    <hyperlink ref="P33" r:id="rId55" xr:uid="{00000000-0004-0000-0100-000036000000}"/>
    <hyperlink ref="Q33" r:id="rId56" xr:uid="{00000000-0004-0000-0100-000037000000}"/>
    <hyperlink ref="P34" r:id="rId57" xr:uid="{00000000-0004-0000-0100-000038000000}"/>
    <hyperlink ref="Q34" r:id="rId58" xr:uid="{00000000-0004-0000-0100-000039000000}"/>
    <hyperlink ref="P35" r:id="rId59" xr:uid="{00000000-0004-0000-0100-00003A000000}"/>
    <hyperlink ref="Q35" r:id="rId60" xr:uid="{00000000-0004-0000-0100-00003B000000}"/>
    <hyperlink ref="P36" r:id="rId61" xr:uid="{00000000-0004-0000-0100-00003C000000}"/>
    <hyperlink ref="Q36" r:id="rId62" xr:uid="{00000000-0004-0000-0100-00003D000000}"/>
    <hyperlink ref="P37" r:id="rId63" xr:uid="{00000000-0004-0000-0100-00003E000000}"/>
    <hyperlink ref="Q37" r:id="rId64" xr:uid="{00000000-0004-0000-0100-00003F000000}"/>
    <hyperlink ref="P38" r:id="rId65" xr:uid="{00000000-0004-0000-0100-000040000000}"/>
    <hyperlink ref="Q38" r:id="rId66" xr:uid="{00000000-0004-0000-0100-000041000000}"/>
    <hyperlink ref="P39" r:id="rId67" xr:uid="{00000000-0004-0000-0100-000042000000}"/>
    <hyperlink ref="Q39" r:id="rId68" xr:uid="{00000000-0004-0000-0100-000043000000}"/>
    <hyperlink ref="P40" r:id="rId69" xr:uid="{00000000-0004-0000-0100-000044000000}"/>
    <hyperlink ref="Q40" r:id="rId70" xr:uid="{00000000-0004-0000-0100-000045000000}"/>
    <hyperlink ref="P41" r:id="rId71" xr:uid="{00000000-0004-0000-0100-000046000000}"/>
    <hyperlink ref="Q41" r:id="rId72" xr:uid="{00000000-0004-0000-0100-000047000000}"/>
    <hyperlink ref="P42" r:id="rId73" xr:uid="{00000000-0004-0000-0100-000048000000}"/>
    <hyperlink ref="Q42" r:id="rId74" xr:uid="{00000000-0004-0000-0100-000049000000}"/>
    <hyperlink ref="P43" r:id="rId75" xr:uid="{00000000-0004-0000-0100-00004A000000}"/>
    <hyperlink ref="Q43" r:id="rId76" xr:uid="{00000000-0004-0000-0100-00004B000000}"/>
    <hyperlink ref="P44" r:id="rId77" xr:uid="{00000000-0004-0000-0100-00004C000000}"/>
    <hyperlink ref="Q44" r:id="rId78" xr:uid="{00000000-0004-0000-0100-00004D000000}"/>
    <hyperlink ref="P45" r:id="rId79" xr:uid="{00000000-0004-0000-0100-00004E000000}"/>
    <hyperlink ref="Q45" r:id="rId80" xr:uid="{00000000-0004-0000-0100-00004F000000}"/>
    <hyperlink ref="P46" r:id="rId81" xr:uid="{00000000-0004-0000-0100-000050000000}"/>
    <hyperlink ref="Q46" r:id="rId82" xr:uid="{00000000-0004-0000-0100-000051000000}"/>
    <hyperlink ref="P47" r:id="rId83" xr:uid="{00000000-0004-0000-0100-000052000000}"/>
    <hyperlink ref="Q47" r:id="rId84" xr:uid="{00000000-0004-0000-0100-000053000000}"/>
    <hyperlink ref="P48" r:id="rId85" xr:uid="{00000000-0004-0000-0100-000054000000}"/>
    <hyperlink ref="Q48" r:id="rId86" xr:uid="{00000000-0004-0000-0100-000055000000}"/>
    <hyperlink ref="P49" r:id="rId87" xr:uid="{00000000-0004-0000-0100-000056000000}"/>
    <hyperlink ref="Q49" r:id="rId88" xr:uid="{00000000-0004-0000-0100-000057000000}"/>
    <hyperlink ref="P50" r:id="rId89" xr:uid="{00000000-0004-0000-0100-000058000000}"/>
    <hyperlink ref="Q50" r:id="rId90" xr:uid="{00000000-0004-0000-0100-000059000000}"/>
    <hyperlink ref="P51" r:id="rId91" xr:uid="{00000000-0004-0000-0100-00005A000000}"/>
    <hyperlink ref="Q51" r:id="rId92" xr:uid="{00000000-0004-0000-0100-00005B000000}"/>
    <hyperlink ref="P52" r:id="rId93" xr:uid="{00000000-0004-0000-0100-00005C000000}"/>
    <hyperlink ref="Q52" r:id="rId94" xr:uid="{00000000-0004-0000-0100-00005D000000}"/>
    <hyperlink ref="P53" r:id="rId95" xr:uid="{00000000-0004-0000-0100-00005E000000}"/>
    <hyperlink ref="Q53" r:id="rId96" xr:uid="{00000000-0004-0000-0100-00005F000000}"/>
    <hyperlink ref="P54" r:id="rId97" xr:uid="{00000000-0004-0000-0100-000060000000}"/>
    <hyperlink ref="Q54" r:id="rId98" xr:uid="{00000000-0004-0000-0100-000061000000}"/>
    <hyperlink ref="P55" r:id="rId99" xr:uid="{00000000-0004-0000-0100-000062000000}"/>
    <hyperlink ref="Q55" r:id="rId100" xr:uid="{00000000-0004-0000-0100-000063000000}"/>
    <hyperlink ref="P56" r:id="rId101" xr:uid="{00000000-0004-0000-0100-000064000000}"/>
    <hyperlink ref="Q56" r:id="rId102" xr:uid="{00000000-0004-0000-0100-000065000000}"/>
    <hyperlink ref="P57" r:id="rId103" xr:uid="{00000000-0004-0000-0100-000066000000}"/>
    <hyperlink ref="Q57" r:id="rId104" xr:uid="{00000000-0004-0000-0100-000067000000}"/>
    <hyperlink ref="P58" r:id="rId105" xr:uid="{00000000-0004-0000-0100-000068000000}"/>
    <hyperlink ref="Q58" r:id="rId106" xr:uid="{00000000-0004-0000-0100-000069000000}"/>
    <hyperlink ref="P59" r:id="rId107" xr:uid="{00000000-0004-0000-0100-00006A000000}"/>
    <hyperlink ref="Q59" r:id="rId108" xr:uid="{00000000-0004-0000-0100-00006B000000}"/>
    <hyperlink ref="P60" r:id="rId109" xr:uid="{00000000-0004-0000-0100-00006C000000}"/>
    <hyperlink ref="Q60" r:id="rId110" xr:uid="{00000000-0004-0000-0100-00006D000000}"/>
    <hyperlink ref="P61" r:id="rId111" xr:uid="{00000000-0004-0000-0100-00006E000000}"/>
    <hyperlink ref="Q61" r:id="rId112" xr:uid="{00000000-0004-0000-0100-00006F000000}"/>
    <hyperlink ref="P62" r:id="rId113" xr:uid="{00000000-0004-0000-0100-000070000000}"/>
    <hyperlink ref="Q62" r:id="rId114" xr:uid="{00000000-0004-0000-0100-000071000000}"/>
    <hyperlink ref="P63" r:id="rId115" xr:uid="{00000000-0004-0000-0100-000072000000}"/>
    <hyperlink ref="Q63" r:id="rId116" xr:uid="{00000000-0004-0000-0100-000073000000}"/>
    <hyperlink ref="P64" r:id="rId117" xr:uid="{00000000-0004-0000-0100-000074000000}"/>
    <hyperlink ref="Q64" r:id="rId118" xr:uid="{00000000-0004-0000-0100-000075000000}"/>
    <hyperlink ref="P65" r:id="rId119" xr:uid="{00000000-0004-0000-0100-000076000000}"/>
    <hyperlink ref="Q65" r:id="rId120" xr:uid="{00000000-0004-0000-0100-000077000000}"/>
    <hyperlink ref="P66" r:id="rId121" xr:uid="{00000000-0004-0000-0100-000078000000}"/>
    <hyperlink ref="Q66" r:id="rId122" xr:uid="{00000000-0004-0000-0100-000079000000}"/>
    <hyperlink ref="P67" r:id="rId123" xr:uid="{00000000-0004-0000-0100-00007A000000}"/>
    <hyperlink ref="Q67" r:id="rId124" xr:uid="{00000000-0004-0000-0100-00007B000000}"/>
    <hyperlink ref="P68" r:id="rId125" xr:uid="{00000000-0004-0000-0100-00007C000000}"/>
    <hyperlink ref="Q68" r:id="rId126" xr:uid="{00000000-0004-0000-0100-00007D000000}"/>
    <hyperlink ref="P69" r:id="rId127" xr:uid="{00000000-0004-0000-0100-00007E000000}"/>
    <hyperlink ref="Q69" r:id="rId128" xr:uid="{00000000-0004-0000-0100-00007F000000}"/>
    <hyperlink ref="P70" r:id="rId129" xr:uid="{00000000-0004-0000-0100-000080000000}"/>
    <hyperlink ref="Q70" r:id="rId130" xr:uid="{00000000-0004-0000-0100-000081000000}"/>
    <hyperlink ref="P71" r:id="rId131" xr:uid="{00000000-0004-0000-0100-000082000000}"/>
    <hyperlink ref="Q71" r:id="rId132" xr:uid="{00000000-0004-0000-0100-000083000000}"/>
    <hyperlink ref="P72" r:id="rId133" xr:uid="{00000000-0004-0000-0100-000084000000}"/>
    <hyperlink ref="Q72" r:id="rId134" xr:uid="{00000000-0004-0000-0100-000085000000}"/>
    <hyperlink ref="P73" r:id="rId135" xr:uid="{00000000-0004-0000-0100-000086000000}"/>
    <hyperlink ref="Q73" r:id="rId136" xr:uid="{00000000-0004-0000-0100-000087000000}"/>
    <hyperlink ref="P74" r:id="rId137" xr:uid="{00000000-0004-0000-0100-000088000000}"/>
    <hyperlink ref="Q74" r:id="rId138" xr:uid="{00000000-0004-0000-0100-000089000000}"/>
    <hyperlink ref="P75" r:id="rId139" xr:uid="{00000000-0004-0000-0100-00008A000000}"/>
    <hyperlink ref="Q75" r:id="rId140" xr:uid="{00000000-0004-0000-0100-00008B000000}"/>
    <hyperlink ref="P76" r:id="rId141" xr:uid="{00000000-0004-0000-0100-00008C000000}"/>
    <hyperlink ref="Q76" r:id="rId142" xr:uid="{00000000-0004-0000-0100-00008D000000}"/>
    <hyperlink ref="P77" r:id="rId143" xr:uid="{00000000-0004-0000-0100-00008E000000}"/>
    <hyperlink ref="Q77" r:id="rId144" xr:uid="{00000000-0004-0000-0100-00008F000000}"/>
    <hyperlink ref="P78" r:id="rId145" xr:uid="{00000000-0004-0000-0100-000090000000}"/>
    <hyperlink ref="Q78" r:id="rId146" xr:uid="{00000000-0004-0000-0100-000091000000}"/>
    <hyperlink ref="P79" r:id="rId147" xr:uid="{00000000-0004-0000-0100-000092000000}"/>
    <hyperlink ref="Q79" r:id="rId148" xr:uid="{00000000-0004-0000-0100-000093000000}"/>
    <hyperlink ref="P80" r:id="rId149" xr:uid="{00000000-0004-0000-0100-000094000000}"/>
    <hyperlink ref="Q80" r:id="rId150" xr:uid="{00000000-0004-0000-0100-000095000000}"/>
    <hyperlink ref="P81" r:id="rId151" xr:uid="{00000000-0004-0000-0100-000096000000}"/>
    <hyperlink ref="Q81" r:id="rId152" xr:uid="{00000000-0004-0000-0100-000097000000}"/>
    <hyperlink ref="P82" r:id="rId153" xr:uid="{00000000-0004-0000-0100-000098000000}"/>
    <hyperlink ref="Q82" r:id="rId154" xr:uid="{00000000-0004-0000-0100-000099000000}"/>
    <hyperlink ref="P83" r:id="rId155" xr:uid="{00000000-0004-0000-0100-00009A000000}"/>
    <hyperlink ref="Q83" r:id="rId156" xr:uid="{00000000-0004-0000-0100-00009B000000}"/>
    <hyperlink ref="P84" r:id="rId157" xr:uid="{00000000-0004-0000-0100-00009C000000}"/>
    <hyperlink ref="Q84" r:id="rId158" xr:uid="{00000000-0004-0000-0100-00009D000000}"/>
    <hyperlink ref="P85" r:id="rId159" xr:uid="{00000000-0004-0000-0100-00009E000000}"/>
    <hyperlink ref="Q85" r:id="rId160" xr:uid="{00000000-0004-0000-0100-00009F000000}"/>
    <hyperlink ref="P86" r:id="rId161" xr:uid="{00000000-0004-0000-0100-0000A0000000}"/>
    <hyperlink ref="Q86" r:id="rId162" xr:uid="{00000000-0004-0000-0100-0000A1000000}"/>
    <hyperlink ref="P87" r:id="rId163" xr:uid="{00000000-0004-0000-0100-0000A2000000}"/>
    <hyperlink ref="Q87" r:id="rId164" xr:uid="{00000000-0004-0000-0100-0000A3000000}"/>
    <hyperlink ref="P88" r:id="rId165" xr:uid="{00000000-0004-0000-0100-0000A4000000}"/>
    <hyperlink ref="Q88" r:id="rId166" xr:uid="{00000000-0004-0000-0100-0000A5000000}"/>
    <hyperlink ref="P89" r:id="rId167" xr:uid="{00000000-0004-0000-0100-0000A6000000}"/>
    <hyperlink ref="Q89" r:id="rId168" xr:uid="{00000000-0004-0000-0100-0000A7000000}"/>
    <hyperlink ref="P90" r:id="rId169" xr:uid="{00000000-0004-0000-0100-0000A8000000}"/>
    <hyperlink ref="Q90" r:id="rId170" xr:uid="{00000000-0004-0000-0100-0000A9000000}"/>
    <hyperlink ref="P91" r:id="rId171" xr:uid="{00000000-0004-0000-0100-0000AA000000}"/>
    <hyperlink ref="Q91" r:id="rId172" xr:uid="{00000000-0004-0000-0100-0000AB000000}"/>
    <hyperlink ref="P92" r:id="rId173" xr:uid="{00000000-0004-0000-0100-0000AC000000}"/>
    <hyperlink ref="Q92" r:id="rId174" xr:uid="{00000000-0004-0000-0100-0000AD000000}"/>
    <hyperlink ref="P93" r:id="rId175" xr:uid="{00000000-0004-0000-0100-0000AE000000}"/>
    <hyperlink ref="Q93" r:id="rId176" xr:uid="{00000000-0004-0000-0100-0000AF000000}"/>
    <hyperlink ref="P94" r:id="rId177" xr:uid="{00000000-0004-0000-0100-0000B0000000}"/>
    <hyperlink ref="Q94" r:id="rId178" xr:uid="{00000000-0004-0000-0100-0000B1000000}"/>
    <hyperlink ref="P95" r:id="rId179" xr:uid="{00000000-0004-0000-0100-0000B2000000}"/>
    <hyperlink ref="Q95" r:id="rId180" xr:uid="{00000000-0004-0000-0100-0000B3000000}"/>
    <hyperlink ref="P96" r:id="rId181" xr:uid="{00000000-0004-0000-0100-0000B4000000}"/>
    <hyperlink ref="Q96" r:id="rId182" xr:uid="{00000000-0004-0000-0100-0000B5000000}"/>
    <hyperlink ref="P97" r:id="rId183" xr:uid="{00000000-0004-0000-0100-0000B6000000}"/>
    <hyperlink ref="Q97" r:id="rId184" xr:uid="{00000000-0004-0000-0100-0000B7000000}"/>
    <hyperlink ref="P98" r:id="rId185" xr:uid="{00000000-0004-0000-0100-0000B8000000}"/>
    <hyperlink ref="Q98" r:id="rId186" xr:uid="{00000000-0004-0000-0100-0000B9000000}"/>
    <hyperlink ref="P99" r:id="rId187" xr:uid="{00000000-0004-0000-0100-0000BA000000}"/>
    <hyperlink ref="Q99" r:id="rId188" xr:uid="{00000000-0004-0000-0100-0000BB000000}"/>
    <hyperlink ref="P100" r:id="rId189" xr:uid="{00000000-0004-0000-0100-0000BC000000}"/>
    <hyperlink ref="Q100" r:id="rId190" xr:uid="{00000000-0004-0000-0100-0000BD000000}"/>
    <hyperlink ref="P101" r:id="rId191" xr:uid="{00000000-0004-0000-0100-0000BE000000}"/>
    <hyperlink ref="Q101" r:id="rId192" xr:uid="{00000000-0004-0000-0100-0000BF000000}"/>
    <hyperlink ref="P102" r:id="rId193" xr:uid="{00000000-0004-0000-0100-0000C0000000}"/>
    <hyperlink ref="Q102" r:id="rId194" xr:uid="{00000000-0004-0000-0100-0000C1000000}"/>
    <hyperlink ref="P103" r:id="rId195" xr:uid="{00000000-0004-0000-0100-0000C2000000}"/>
    <hyperlink ref="Q103" r:id="rId196" xr:uid="{00000000-0004-0000-0100-0000C3000000}"/>
    <hyperlink ref="P104" r:id="rId197" xr:uid="{00000000-0004-0000-0100-0000C4000000}"/>
    <hyperlink ref="Q104" r:id="rId198" xr:uid="{00000000-0004-0000-0100-0000C5000000}"/>
    <hyperlink ref="P105" r:id="rId199" xr:uid="{00000000-0004-0000-0100-0000C6000000}"/>
    <hyperlink ref="Q105" r:id="rId200" xr:uid="{00000000-0004-0000-0100-0000C7000000}"/>
    <hyperlink ref="P106" r:id="rId201" xr:uid="{00000000-0004-0000-0100-0000C8000000}"/>
    <hyperlink ref="Q106" r:id="rId202" xr:uid="{00000000-0004-0000-0100-0000C9000000}"/>
    <hyperlink ref="P107" r:id="rId203" xr:uid="{00000000-0004-0000-0100-0000CA000000}"/>
    <hyperlink ref="Q107" r:id="rId204" xr:uid="{00000000-0004-0000-0100-0000CB000000}"/>
    <hyperlink ref="P108" r:id="rId205" xr:uid="{00000000-0004-0000-0100-0000CC000000}"/>
    <hyperlink ref="Q108" r:id="rId206" xr:uid="{00000000-0004-0000-0100-0000CD000000}"/>
    <hyperlink ref="P109" r:id="rId207" xr:uid="{00000000-0004-0000-0100-0000CE000000}"/>
    <hyperlink ref="Q109" r:id="rId208" xr:uid="{00000000-0004-0000-0100-0000CF000000}"/>
    <hyperlink ref="P110" r:id="rId209" xr:uid="{00000000-0004-0000-0100-0000D0000000}"/>
    <hyperlink ref="Q110" r:id="rId210" xr:uid="{00000000-0004-0000-0100-0000D1000000}"/>
    <hyperlink ref="P111" r:id="rId211" xr:uid="{00000000-0004-0000-0100-0000D2000000}"/>
    <hyperlink ref="Q111" r:id="rId212" xr:uid="{00000000-0004-0000-0100-0000D3000000}"/>
    <hyperlink ref="P112" r:id="rId213" xr:uid="{00000000-0004-0000-0100-0000D4000000}"/>
    <hyperlink ref="Q112" r:id="rId214" xr:uid="{00000000-0004-0000-0100-0000D5000000}"/>
    <hyperlink ref="P113" r:id="rId215" xr:uid="{00000000-0004-0000-0100-0000D6000000}"/>
    <hyperlink ref="Q113" r:id="rId216" xr:uid="{00000000-0004-0000-0100-0000D7000000}"/>
    <hyperlink ref="P114" r:id="rId217" xr:uid="{00000000-0004-0000-0100-0000D8000000}"/>
    <hyperlink ref="Q114" r:id="rId218" xr:uid="{00000000-0004-0000-0100-0000D9000000}"/>
    <hyperlink ref="P115" r:id="rId219" xr:uid="{00000000-0004-0000-0100-0000DA000000}"/>
    <hyperlink ref="Q115" r:id="rId220" xr:uid="{00000000-0004-0000-0100-0000DB000000}"/>
    <hyperlink ref="P116" r:id="rId221" xr:uid="{00000000-0004-0000-0100-0000DC000000}"/>
    <hyperlink ref="Q116" r:id="rId222" xr:uid="{00000000-0004-0000-0100-0000DD000000}"/>
    <hyperlink ref="P117" r:id="rId223" xr:uid="{00000000-0004-0000-0100-0000DE000000}"/>
    <hyperlink ref="Q117" r:id="rId224" xr:uid="{00000000-0004-0000-0100-0000DF000000}"/>
    <hyperlink ref="P118" r:id="rId225" xr:uid="{00000000-0004-0000-0100-0000E0000000}"/>
    <hyperlink ref="Q118" r:id="rId226" xr:uid="{00000000-0004-0000-0100-0000E1000000}"/>
    <hyperlink ref="P119" r:id="rId227" xr:uid="{00000000-0004-0000-0100-0000E2000000}"/>
    <hyperlink ref="Q119" r:id="rId228" xr:uid="{00000000-0004-0000-0100-0000E3000000}"/>
    <hyperlink ref="P120" r:id="rId229" xr:uid="{00000000-0004-0000-0100-0000E4000000}"/>
    <hyperlink ref="Q120" r:id="rId230" xr:uid="{00000000-0004-0000-0100-0000E5000000}"/>
    <hyperlink ref="P121" r:id="rId231" xr:uid="{00000000-0004-0000-0100-0000E6000000}"/>
    <hyperlink ref="Q121" r:id="rId232" xr:uid="{00000000-0004-0000-0100-0000E7000000}"/>
    <hyperlink ref="P122" r:id="rId233" xr:uid="{00000000-0004-0000-0100-0000E8000000}"/>
    <hyperlink ref="Q122" r:id="rId234" xr:uid="{00000000-0004-0000-0100-0000E9000000}"/>
    <hyperlink ref="P123" r:id="rId235" xr:uid="{00000000-0004-0000-0100-0000EA000000}"/>
    <hyperlink ref="Q123" r:id="rId236" xr:uid="{00000000-0004-0000-0100-0000EB000000}"/>
    <hyperlink ref="P124" r:id="rId237" xr:uid="{00000000-0004-0000-0100-0000EC000000}"/>
    <hyperlink ref="Q124" r:id="rId238" xr:uid="{00000000-0004-0000-0100-0000ED000000}"/>
    <hyperlink ref="P125" r:id="rId239" xr:uid="{00000000-0004-0000-0100-0000EE000000}"/>
    <hyperlink ref="Q125" r:id="rId240" xr:uid="{00000000-0004-0000-0100-0000EF000000}"/>
    <hyperlink ref="P126" r:id="rId241" xr:uid="{00000000-0004-0000-0100-0000F0000000}"/>
    <hyperlink ref="Q126" r:id="rId242" xr:uid="{00000000-0004-0000-0100-0000F1000000}"/>
    <hyperlink ref="P127" r:id="rId243" xr:uid="{00000000-0004-0000-0100-0000F2000000}"/>
    <hyperlink ref="Q127" r:id="rId244" xr:uid="{00000000-0004-0000-0100-0000F3000000}"/>
    <hyperlink ref="P128" r:id="rId245" xr:uid="{00000000-0004-0000-0100-0000F4000000}"/>
    <hyperlink ref="Q128" r:id="rId246" xr:uid="{00000000-0004-0000-0100-0000F5000000}"/>
    <hyperlink ref="P129" r:id="rId247" xr:uid="{00000000-0004-0000-0100-0000F6000000}"/>
    <hyperlink ref="Q129" r:id="rId248" xr:uid="{00000000-0004-0000-0100-0000F7000000}"/>
    <hyperlink ref="P130" r:id="rId249" xr:uid="{00000000-0004-0000-0100-0000F8000000}"/>
    <hyperlink ref="Q130" r:id="rId250" xr:uid="{00000000-0004-0000-0100-0000F9000000}"/>
    <hyperlink ref="P131" r:id="rId251" xr:uid="{00000000-0004-0000-0100-0000FA000000}"/>
    <hyperlink ref="Q131" r:id="rId252" xr:uid="{00000000-0004-0000-0100-0000FB000000}"/>
    <hyperlink ref="P132" r:id="rId253" xr:uid="{00000000-0004-0000-0100-0000FC000000}"/>
    <hyperlink ref="Q132" r:id="rId254" xr:uid="{00000000-0004-0000-0100-0000FD000000}"/>
    <hyperlink ref="P133" r:id="rId255" xr:uid="{00000000-0004-0000-0100-0000FE000000}"/>
    <hyperlink ref="Q133" r:id="rId256" xr:uid="{00000000-0004-0000-0100-0000FF000000}"/>
    <hyperlink ref="P134" r:id="rId257" xr:uid="{00000000-0004-0000-0100-000000010000}"/>
    <hyperlink ref="Q134" r:id="rId258" xr:uid="{00000000-0004-0000-0100-000001010000}"/>
    <hyperlink ref="P135" r:id="rId259" xr:uid="{00000000-0004-0000-0100-000002010000}"/>
    <hyperlink ref="Q135" r:id="rId260" xr:uid="{00000000-0004-0000-0100-000003010000}"/>
    <hyperlink ref="P136" r:id="rId261" xr:uid="{00000000-0004-0000-0100-000004010000}"/>
    <hyperlink ref="Q136" r:id="rId262" xr:uid="{00000000-0004-0000-0100-000005010000}"/>
    <hyperlink ref="P137" r:id="rId263" xr:uid="{00000000-0004-0000-0100-000006010000}"/>
    <hyperlink ref="Q137" r:id="rId264" xr:uid="{00000000-0004-0000-0100-000007010000}"/>
    <hyperlink ref="P138" r:id="rId265" xr:uid="{00000000-0004-0000-0100-000008010000}"/>
    <hyperlink ref="Q138" r:id="rId266" xr:uid="{00000000-0004-0000-0100-000009010000}"/>
    <hyperlink ref="P139" r:id="rId267" xr:uid="{00000000-0004-0000-0100-00000A010000}"/>
    <hyperlink ref="Q139" r:id="rId268" xr:uid="{00000000-0004-0000-0100-00000B010000}"/>
    <hyperlink ref="P140" r:id="rId269" xr:uid="{00000000-0004-0000-0100-00000C010000}"/>
    <hyperlink ref="Q140" r:id="rId270" xr:uid="{00000000-0004-0000-0100-00000D010000}"/>
    <hyperlink ref="P141" r:id="rId271" xr:uid="{00000000-0004-0000-0100-00000E010000}"/>
    <hyperlink ref="Q141" r:id="rId272" xr:uid="{00000000-0004-0000-0100-00000F010000}"/>
    <hyperlink ref="P142" r:id="rId273" xr:uid="{00000000-0004-0000-0100-000010010000}"/>
    <hyperlink ref="Q142" r:id="rId274" xr:uid="{00000000-0004-0000-0100-000011010000}"/>
    <hyperlink ref="P143" r:id="rId275" xr:uid="{00000000-0004-0000-0100-000012010000}"/>
    <hyperlink ref="Q143" r:id="rId276" xr:uid="{00000000-0004-0000-0100-000013010000}"/>
    <hyperlink ref="P144" r:id="rId277" xr:uid="{00000000-0004-0000-0100-000014010000}"/>
    <hyperlink ref="Q144" r:id="rId278" xr:uid="{00000000-0004-0000-0100-000015010000}"/>
    <hyperlink ref="P145" r:id="rId279" xr:uid="{00000000-0004-0000-0100-000016010000}"/>
    <hyperlink ref="Q145" r:id="rId280" xr:uid="{00000000-0004-0000-0100-000017010000}"/>
    <hyperlink ref="P146" r:id="rId281" xr:uid="{00000000-0004-0000-0100-000018010000}"/>
    <hyperlink ref="Q146" r:id="rId282" xr:uid="{00000000-0004-0000-0100-000019010000}"/>
    <hyperlink ref="P147" r:id="rId283" xr:uid="{00000000-0004-0000-0100-00001A010000}"/>
    <hyperlink ref="Q147" r:id="rId284" xr:uid="{00000000-0004-0000-0100-00001B010000}"/>
    <hyperlink ref="P148" r:id="rId285" xr:uid="{00000000-0004-0000-0100-00001C010000}"/>
    <hyperlink ref="Q148" r:id="rId286" xr:uid="{00000000-0004-0000-0100-00001D010000}"/>
    <hyperlink ref="P149" r:id="rId287" xr:uid="{00000000-0004-0000-0100-00001E010000}"/>
    <hyperlink ref="Q149" r:id="rId288" xr:uid="{00000000-0004-0000-0100-00001F010000}"/>
    <hyperlink ref="P150" r:id="rId289" xr:uid="{00000000-0004-0000-0100-000020010000}"/>
    <hyperlink ref="Q150" r:id="rId290" xr:uid="{00000000-0004-0000-0100-000021010000}"/>
    <hyperlink ref="P151" r:id="rId291" xr:uid="{00000000-0004-0000-0100-000022010000}"/>
    <hyperlink ref="Q151" r:id="rId292" xr:uid="{00000000-0004-0000-0100-000023010000}"/>
    <hyperlink ref="P152" r:id="rId293" xr:uid="{00000000-0004-0000-0100-000024010000}"/>
    <hyperlink ref="Q152" r:id="rId294" xr:uid="{00000000-0004-0000-0100-000025010000}"/>
    <hyperlink ref="P153" r:id="rId295" xr:uid="{00000000-0004-0000-0100-000026010000}"/>
    <hyperlink ref="Q153" r:id="rId296" xr:uid="{00000000-0004-0000-0100-000027010000}"/>
    <hyperlink ref="P154" r:id="rId297" xr:uid="{00000000-0004-0000-0100-000028010000}"/>
    <hyperlink ref="Q154" r:id="rId298" xr:uid="{00000000-0004-0000-0100-000029010000}"/>
    <hyperlink ref="P155" r:id="rId299" xr:uid="{00000000-0004-0000-0100-00002A010000}"/>
    <hyperlink ref="Q155" r:id="rId300" xr:uid="{00000000-0004-0000-0100-00002B010000}"/>
    <hyperlink ref="P156" r:id="rId301" xr:uid="{00000000-0004-0000-0100-00002C010000}"/>
    <hyperlink ref="Q156" r:id="rId302" xr:uid="{00000000-0004-0000-0100-00002D010000}"/>
    <hyperlink ref="P157" r:id="rId303" xr:uid="{00000000-0004-0000-0100-00002E010000}"/>
    <hyperlink ref="Q157" r:id="rId304" xr:uid="{00000000-0004-0000-0100-00002F010000}"/>
    <hyperlink ref="P158" r:id="rId305" xr:uid="{00000000-0004-0000-0100-000030010000}"/>
    <hyperlink ref="Q158" r:id="rId306" xr:uid="{00000000-0004-0000-0100-000031010000}"/>
    <hyperlink ref="P159" r:id="rId307" xr:uid="{00000000-0004-0000-0100-000032010000}"/>
    <hyperlink ref="Q159" r:id="rId308" xr:uid="{00000000-0004-0000-0100-000033010000}"/>
    <hyperlink ref="P160" r:id="rId309" xr:uid="{00000000-0004-0000-0100-000034010000}"/>
    <hyperlink ref="Q160" r:id="rId310" xr:uid="{00000000-0004-0000-0100-000035010000}"/>
    <hyperlink ref="P161" r:id="rId311" xr:uid="{00000000-0004-0000-0100-000036010000}"/>
    <hyperlink ref="Q161" r:id="rId312" xr:uid="{00000000-0004-0000-0100-000037010000}"/>
    <hyperlink ref="P162" r:id="rId313" xr:uid="{00000000-0004-0000-0100-000038010000}"/>
    <hyperlink ref="Q162" r:id="rId314" xr:uid="{00000000-0004-0000-0100-000039010000}"/>
    <hyperlink ref="P163" r:id="rId315" xr:uid="{00000000-0004-0000-0100-00003A010000}"/>
    <hyperlink ref="Q163" r:id="rId316" xr:uid="{00000000-0004-0000-0100-00003B010000}"/>
    <hyperlink ref="P164" r:id="rId317" xr:uid="{00000000-0004-0000-0100-00003C010000}"/>
    <hyperlink ref="Q164" r:id="rId318" xr:uid="{00000000-0004-0000-0100-00003D010000}"/>
    <hyperlink ref="P165" r:id="rId319" xr:uid="{00000000-0004-0000-0100-00003E010000}"/>
    <hyperlink ref="Q165" r:id="rId320" xr:uid="{00000000-0004-0000-0100-00003F010000}"/>
    <hyperlink ref="P166" r:id="rId321" xr:uid="{00000000-0004-0000-0100-000040010000}"/>
    <hyperlink ref="Q166" r:id="rId322" xr:uid="{00000000-0004-0000-0100-000041010000}"/>
    <hyperlink ref="P167" r:id="rId323" xr:uid="{00000000-0004-0000-0100-000042010000}"/>
    <hyperlink ref="Q167" r:id="rId324" xr:uid="{00000000-0004-0000-0100-000043010000}"/>
    <hyperlink ref="P168" r:id="rId325" xr:uid="{00000000-0004-0000-0100-000044010000}"/>
    <hyperlink ref="Q168" r:id="rId326" xr:uid="{00000000-0004-0000-0100-000045010000}"/>
    <hyperlink ref="P169" r:id="rId327" xr:uid="{00000000-0004-0000-0100-000046010000}"/>
    <hyperlink ref="Q169" r:id="rId328" xr:uid="{00000000-0004-0000-0100-000047010000}"/>
    <hyperlink ref="P170" r:id="rId329" xr:uid="{00000000-0004-0000-0100-000048010000}"/>
    <hyperlink ref="Q170" r:id="rId330" xr:uid="{00000000-0004-0000-0100-000049010000}"/>
    <hyperlink ref="P171" r:id="rId331" xr:uid="{00000000-0004-0000-0100-00004A010000}"/>
    <hyperlink ref="Q171" r:id="rId332" xr:uid="{00000000-0004-0000-0100-00004B010000}"/>
    <hyperlink ref="P172" r:id="rId333" xr:uid="{00000000-0004-0000-0100-00004C010000}"/>
    <hyperlink ref="Q172" r:id="rId334" xr:uid="{00000000-0004-0000-0100-00004D010000}"/>
    <hyperlink ref="P173" r:id="rId335" xr:uid="{00000000-0004-0000-0100-00004E010000}"/>
    <hyperlink ref="Q173" r:id="rId336" xr:uid="{00000000-0004-0000-0100-00004F010000}"/>
    <hyperlink ref="P174" r:id="rId337" xr:uid="{00000000-0004-0000-0100-000050010000}"/>
    <hyperlink ref="Q174" r:id="rId338" xr:uid="{00000000-0004-0000-0100-000051010000}"/>
    <hyperlink ref="P175" r:id="rId339" xr:uid="{00000000-0004-0000-0100-000052010000}"/>
    <hyperlink ref="Q175" r:id="rId340" xr:uid="{00000000-0004-0000-0100-000053010000}"/>
    <hyperlink ref="P176" r:id="rId341" xr:uid="{00000000-0004-0000-0100-000054010000}"/>
    <hyperlink ref="Q176" r:id="rId342" xr:uid="{00000000-0004-0000-0100-000055010000}"/>
    <hyperlink ref="P177" r:id="rId343" xr:uid="{00000000-0004-0000-0100-000056010000}"/>
    <hyperlink ref="Q177" r:id="rId344" xr:uid="{00000000-0004-0000-0100-000057010000}"/>
    <hyperlink ref="P178" r:id="rId345" xr:uid="{00000000-0004-0000-0100-000058010000}"/>
    <hyperlink ref="Q178" r:id="rId346" xr:uid="{00000000-0004-0000-0100-000059010000}"/>
    <hyperlink ref="P179" r:id="rId347" xr:uid="{00000000-0004-0000-0100-00005A010000}"/>
    <hyperlink ref="Q179" r:id="rId348" xr:uid="{00000000-0004-0000-0100-00005B010000}"/>
    <hyperlink ref="P180" r:id="rId349" xr:uid="{00000000-0004-0000-0100-00005C010000}"/>
    <hyperlink ref="Q180" r:id="rId350" xr:uid="{00000000-0004-0000-0100-00005D010000}"/>
    <hyperlink ref="P181" r:id="rId351" xr:uid="{00000000-0004-0000-0100-00005E010000}"/>
    <hyperlink ref="Q181" r:id="rId352" xr:uid="{00000000-0004-0000-0100-00005F010000}"/>
    <hyperlink ref="P182" r:id="rId353" xr:uid="{00000000-0004-0000-0100-000060010000}"/>
    <hyperlink ref="Q182" r:id="rId354" xr:uid="{00000000-0004-0000-0100-000061010000}"/>
    <hyperlink ref="P183" r:id="rId355" xr:uid="{00000000-0004-0000-0100-000062010000}"/>
    <hyperlink ref="Q183" r:id="rId356" xr:uid="{00000000-0004-0000-0100-000063010000}"/>
    <hyperlink ref="P184" r:id="rId357" xr:uid="{00000000-0004-0000-0100-000064010000}"/>
    <hyperlink ref="Q184" r:id="rId358" xr:uid="{00000000-0004-0000-0100-000065010000}"/>
    <hyperlink ref="P185" r:id="rId359" xr:uid="{00000000-0004-0000-0100-000066010000}"/>
    <hyperlink ref="Q185" r:id="rId360" xr:uid="{00000000-0004-0000-0100-000067010000}"/>
    <hyperlink ref="P186" r:id="rId361" xr:uid="{00000000-0004-0000-0100-000068010000}"/>
    <hyperlink ref="Q186" r:id="rId362" xr:uid="{00000000-0004-0000-0100-000069010000}"/>
    <hyperlink ref="P187" r:id="rId363" xr:uid="{00000000-0004-0000-0100-00006A010000}"/>
    <hyperlink ref="Q187" r:id="rId364" xr:uid="{00000000-0004-0000-0100-00006B010000}"/>
    <hyperlink ref="P188" r:id="rId365" xr:uid="{00000000-0004-0000-0100-00006C010000}"/>
    <hyperlink ref="Q188" r:id="rId366" xr:uid="{00000000-0004-0000-0100-00006D010000}"/>
    <hyperlink ref="P189" r:id="rId367" xr:uid="{00000000-0004-0000-0100-00006E010000}"/>
    <hyperlink ref="Q189" r:id="rId368" xr:uid="{00000000-0004-0000-0100-00006F010000}"/>
    <hyperlink ref="P190" r:id="rId369" xr:uid="{00000000-0004-0000-0100-000070010000}"/>
    <hyperlink ref="Q190" r:id="rId370" xr:uid="{00000000-0004-0000-0100-000071010000}"/>
    <hyperlink ref="P191" r:id="rId371" xr:uid="{00000000-0004-0000-0100-000072010000}"/>
    <hyperlink ref="Q191" r:id="rId372" xr:uid="{00000000-0004-0000-0100-000073010000}"/>
    <hyperlink ref="P192" r:id="rId373" xr:uid="{00000000-0004-0000-0100-000074010000}"/>
    <hyperlink ref="Q192" r:id="rId374" xr:uid="{00000000-0004-0000-0100-000075010000}"/>
    <hyperlink ref="P193" r:id="rId375" xr:uid="{00000000-0004-0000-0100-000076010000}"/>
    <hyperlink ref="Q193" r:id="rId376" xr:uid="{00000000-0004-0000-0100-000077010000}"/>
    <hyperlink ref="P194" r:id="rId377" xr:uid="{00000000-0004-0000-0100-000078010000}"/>
    <hyperlink ref="Q194" r:id="rId378" xr:uid="{00000000-0004-0000-0100-000079010000}"/>
    <hyperlink ref="P195" r:id="rId379" xr:uid="{00000000-0004-0000-0100-00007A010000}"/>
    <hyperlink ref="Q195" r:id="rId380" xr:uid="{00000000-0004-0000-0100-00007B010000}"/>
    <hyperlink ref="P196" r:id="rId381" xr:uid="{00000000-0004-0000-0100-00007C010000}"/>
    <hyperlink ref="Q196" r:id="rId382" xr:uid="{00000000-0004-0000-0100-00007D010000}"/>
    <hyperlink ref="P197" r:id="rId383" xr:uid="{00000000-0004-0000-0100-00007E010000}"/>
    <hyperlink ref="Q197" r:id="rId384" xr:uid="{00000000-0004-0000-0100-00007F010000}"/>
  </hyperlinks>
  <printOptions horizontalCentered="1"/>
  <pageMargins left="0.7" right="0.7" top="0.75" bottom="0.75" header="0" footer="0"/>
  <pageSetup paperSize="9" scale="45" pageOrder="overThenDown"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385"/>
  <sheetViews>
    <sheetView workbookViewId="0"/>
  </sheetViews>
  <sheetFormatPr defaultColWidth="12.6328125" defaultRowHeight="15.75" customHeight="1"/>
  <cols>
    <col min="3" max="3" width="29.453125" customWidth="1"/>
  </cols>
  <sheetData>
    <row r="1" spans="1:12" ht="15.75" customHeight="1">
      <c r="A1" s="85" t="s">
        <v>1690</v>
      </c>
      <c r="B1" s="74"/>
      <c r="C1" s="74"/>
      <c r="D1" s="44"/>
      <c r="E1" s="44"/>
      <c r="F1" s="44"/>
      <c r="G1" s="86" t="s">
        <v>1691</v>
      </c>
      <c r="H1" s="74"/>
      <c r="I1" s="74"/>
      <c r="J1" s="74"/>
      <c r="K1" s="45"/>
      <c r="L1" s="46"/>
    </row>
    <row r="2" spans="1:12" ht="15.75" customHeight="1">
      <c r="A2" s="85" t="s">
        <v>1692</v>
      </c>
      <c r="B2" s="74"/>
      <c r="C2" s="74"/>
      <c r="D2" s="44"/>
      <c r="E2" s="44"/>
      <c r="F2" s="44"/>
      <c r="G2" s="86" t="s">
        <v>1693</v>
      </c>
      <c r="H2" s="74"/>
      <c r="I2" s="74"/>
      <c r="J2" s="74"/>
      <c r="K2" s="45"/>
      <c r="L2" s="46"/>
    </row>
    <row r="3" spans="1:12" ht="15.75" customHeight="1">
      <c r="A3" s="86" t="s">
        <v>1694</v>
      </c>
      <c r="B3" s="74"/>
      <c r="C3" s="74"/>
      <c r="D3" s="44"/>
      <c r="E3" s="44"/>
      <c r="F3" s="44"/>
      <c r="G3" s="44"/>
      <c r="H3" s="44"/>
      <c r="I3" s="44"/>
      <c r="J3" s="44"/>
      <c r="K3" s="45"/>
      <c r="L3" s="46"/>
    </row>
    <row r="4" spans="1:12" ht="15.75" customHeight="1">
      <c r="A4" s="44"/>
      <c r="B4" s="47"/>
      <c r="C4" s="48"/>
      <c r="D4" s="44"/>
      <c r="E4" s="44"/>
      <c r="F4" s="44"/>
      <c r="G4" s="44"/>
      <c r="H4" s="44"/>
      <c r="I4" s="44"/>
      <c r="J4" s="44"/>
      <c r="K4" s="45"/>
      <c r="L4" s="46"/>
    </row>
    <row r="5" spans="1:12" ht="15.75" customHeight="1">
      <c r="A5" s="44"/>
      <c r="B5" s="44"/>
      <c r="C5" s="48"/>
      <c r="D5" s="44"/>
      <c r="E5" s="44"/>
      <c r="F5" s="44"/>
      <c r="G5" s="44"/>
      <c r="H5" s="44"/>
      <c r="I5" s="44"/>
      <c r="J5" s="44"/>
      <c r="K5" s="45"/>
      <c r="L5" s="46"/>
    </row>
    <row r="6" spans="1:12" ht="15.75" customHeight="1">
      <c r="A6" s="87" t="s">
        <v>1695</v>
      </c>
      <c r="B6" s="74"/>
      <c r="C6" s="74"/>
      <c r="D6" s="74"/>
      <c r="E6" s="74"/>
      <c r="F6" s="74"/>
      <c r="G6" s="74"/>
      <c r="H6" s="74"/>
      <c r="I6" s="74"/>
      <c r="J6" s="74"/>
      <c r="K6" s="45"/>
      <c r="L6" s="46"/>
    </row>
    <row r="7" spans="1:12" ht="15.75" customHeight="1">
      <c r="A7" s="85" t="s">
        <v>1696</v>
      </c>
      <c r="B7" s="74"/>
      <c r="C7" s="74"/>
      <c r="D7" s="74"/>
      <c r="E7" s="74"/>
      <c r="F7" s="74"/>
      <c r="G7" s="74"/>
      <c r="H7" s="74"/>
      <c r="I7" s="74"/>
      <c r="J7" s="74"/>
      <c r="K7" s="45"/>
      <c r="L7" s="46"/>
    </row>
    <row r="8" spans="1:12" ht="15.75" customHeight="1">
      <c r="A8" s="44"/>
      <c r="B8" s="44"/>
      <c r="C8" s="48"/>
      <c r="D8" s="44"/>
      <c r="E8" s="44"/>
      <c r="F8" s="44"/>
      <c r="G8" s="44"/>
      <c r="H8" s="44"/>
      <c r="I8" s="44"/>
      <c r="J8" s="44"/>
      <c r="K8" s="45"/>
      <c r="L8" s="46"/>
    </row>
    <row r="9" spans="1:12" ht="15.75" customHeight="1">
      <c r="A9" s="49" t="s">
        <v>1697</v>
      </c>
      <c r="B9" s="49" t="s">
        <v>1698</v>
      </c>
      <c r="C9" s="49" t="s">
        <v>1699</v>
      </c>
      <c r="D9" s="49" t="s">
        <v>1700</v>
      </c>
      <c r="E9" s="49" t="s">
        <v>1701</v>
      </c>
      <c r="F9" s="49" t="s">
        <v>1702</v>
      </c>
      <c r="G9" s="49" t="s">
        <v>1703</v>
      </c>
      <c r="H9" s="49" t="s">
        <v>1704</v>
      </c>
      <c r="I9" s="49" t="s">
        <v>1705</v>
      </c>
      <c r="J9" s="49" t="s">
        <v>1706</v>
      </c>
      <c r="K9" s="50"/>
      <c r="L9" s="50"/>
    </row>
    <row r="10" spans="1:12" ht="15.75" customHeight="1">
      <c r="A10" s="79">
        <v>1</v>
      </c>
      <c r="B10" s="79">
        <v>3121200013</v>
      </c>
      <c r="C10" s="80" t="s">
        <v>54</v>
      </c>
      <c r="D10" s="79" t="s">
        <v>1707</v>
      </c>
      <c r="E10" s="49">
        <v>1</v>
      </c>
      <c r="F10" s="49">
        <v>100</v>
      </c>
      <c r="G10" s="49" t="s">
        <v>1708</v>
      </c>
      <c r="H10" s="79">
        <v>100</v>
      </c>
      <c r="I10" s="79" t="s">
        <v>1709</v>
      </c>
      <c r="J10" s="79"/>
      <c r="K10" s="51"/>
      <c r="L10" s="52"/>
    </row>
    <row r="11" spans="1:12" ht="15.75" customHeight="1">
      <c r="A11" s="62"/>
      <c r="B11" s="62"/>
      <c r="C11" s="62"/>
      <c r="D11" s="62"/>
      <c r="E11" s="49">
        <v>2</v>
      </c>
      <c r="F11" s="49">
        <v>100</v>
      </c>
      <c r="G11" s="49" t="s">
        <v>1708</v>
      </c>
      <c r="H11" s="62"/>
      <c r="I11" s="62"/>
      <c r="J11" s="62"/>
      <c r="K11" s="51"/>
      <c r="L11" s="52"/>
    </row>
    <row r="12" spans="1:12" ht="15.75" customHeight="1">
      <c r="A12" s="79">
        <v>2</v>
      </c>
      <c r="B12" s="79">
        <v>3121200023</v>
      </c>
      <c r="C12" s="80" t="s">
        <v>21</v>
      </c>
      <c r="D12" s="79" t="s">
        <v>1707</v>
      </c>
      <c r="E12" s="49">
        <v>1</v>
      </c>
      <c r="F12" s="49">
        <v>100</v>
      </c>
      <c r="G12" s="49" t="s">
        <v>1708</v>
      </c>
      <c r="H12" s="79">
        <v>98</v>
      </c>
      <c r="I12" s="79" t="s">
        <v>1709</v>
      </c>
      <c r="J12" s="79"/>
      <c r="K12" s="51"/>
      <c r="L12" s="52"/>
    </row>
    <row r="13" spans="1:12" ht="15.75" customHeight="1">
      <c r="A13" s="62"/>
      <c r="B13" s="62"/>
      <c r="C13" s="62"/>
      <c r="D13" s="62"/>
      <c r="E13" s="49">
        <v>2</v>
      </c>
      <c r="F13" s="49">
        <v>96</v>
      </c>
      <c r="G13" s="49" t="s">
        <v>1708</v>
      </c>
      <c r="H13" s="62"/>
      <c r="I13" s="62"/>
      <c r="J13" s="62"/>
      <c r="K13" s="51"/>
      <c r="L13" s="52"/>
    </row>
    <row r="14" spans="1:12" ht="15.75" customHeight="1">
      <c r="A14" s="79">
        <v>3</v>
      </c>
      <c r="B14" s="79">
        <v>3122200003</v>
      </c>
      <c r="C14" s="80" t="s">
        <v>39</v>
      </c>
      <c r="D14" s="79" t="s">
        <v>1710</v>
      </c>
      <c r="E14" s="49">
        <v>1</v>
      </c>
      <c r="F14" s="49">
        <v>100</v>
      </c>
      <c r="G14" s="49" t="s">
        <v>1708</v>
      </c>
      <c r="H14" s="79">
        <v>93</v>
      </c>
      <c r="I14" s="79" t="s">
        <v>1709</v>
      </c>
      <c r="J14" s="79"/>
      <c r="K14" s="51"/>
      <c r="L14" s="52"/>
    </row>
    <row r="15" spans="1:12" ht="15.75" customHeight="1">
      <c r="A15" s="62"/>
      <c r="B15" s="62"/>
      <c r="C15" s="62"/>
      <c r="D15" s="62"/>
      <c r="E15" s="49">
        <v>2</v>
      </c>
      <c r="F15" s="49">
        <v>86</v>
      </c>
      <c r="G15" s="49" t="s">
        <v>1711</v>
      </c>
      <c r="H15" s="62"/>
      <c r="I15" s="62"/>
      <c r="J15" s="62"/>
      <c r="K15" s="51"/>
      <c r="L15" s="52"/>
    </row>
    <row r="16" spans="1:12" ht="15.75" customHeight="1">
      <c r="A16" s="79">
        <v>4</v>
      </c>
      <c r="B16" s="79">
        <v>3122200005</v>
      </c>
      <c r="C16" s="80" t="s">
        <v>62</v>
      </c>
      <c r="D16" s="49" t="s">
        <v>1710</v>
      </c>
      <c r="E16" s="49">
        <v>1</v>
      </c>
      <c r="F16" s="49">
        <v>100</v>
      </c>
      <c r="G16" s="49" t="s">
        <v>1708</v>
      </c>
      <c r="H16" s="79">
        <v>98.5</v>
      </c>
      <c r="I16" s="79" t="s">
        <v>1709</v>
      </c>
      <c r="J16" s="79"/>
      <c r="K16" s="51"/>
      <c r="L16" s="52"/>
    </row>
    <row r="17" spans="1:12" ht="15.75" customHeight="1">
      <c r="A17" s="62"/>
      <c r="B17" s="62"/>
      <c r="C17" s="62"/>
      <c r="D17" s="49"/>
      <c r="E17" s="49">
        <v>2</v>
      </c>
      <c r="F17" s="49">
        <v>97</v>
      </c>
      <c r="G17" s="49" t="s">
        <v>1708</v>
      </c>
      <c r="H17" s="62"/>
      <c r="I17" s="62"/>
      <c r="J17" s="62"/>
      <c r="K17" s="51"/>
      <c r="L17" s="52"/>
    </row>
    <row r="18" spans="1:12" ht="15.75" customHeight="1">
      <c r="A18" s="79">
        <v>5</v>
      </c>
      <c r="B18" s="79">
        <v>3122200009</v>
      </c>
      <c r="C18" s="80" t="s">
        <v>1712</v>
      </c>
      <c r="D18" s="49" t="s">
        <v>1710</v>
      </c>
      <c r="E18" s="49">
        <v>1</v>
      </c>
      <c r="F18" s="49">
        <v>100</v>
      </c>
      <c r="G18" s="49" t="s">
        <v>1708</v>
      </c>
      <c r="H18" s="79">
        <v>97</v>
      </c>
      <c r="I18" s="79" t="s">
        <v>1709</v>
      </c>
      <c r="J18" s="79"/>
      <c r="K18" s="51"/>
      <c r="L18" s="52"/>
    </row>
    <row r="19" spans="1:12" ht="15.75" customHeight="1">
      <c r="A19" s="62"/>
      <c r="B19" s="62"/>
      <c r="C19" s="62"/>
      <c r="D19" s="49"/>
      <c r="E19" s="49">
        <v>2</v>
      </c>
      <c r="F19" s="49">
        <v>94</v>
      </c>
      <c r="G19" s="49" t="s">
        <v>1708</v>
      </c>
      <c r="H19" s="62"/>
      <c r="I19" s="62"/>
      <c r="J19" s="62"/>
      <c r="K19" s="51"/>
      <c r="L19" s="52"/>
    </row>
    <row r="20" spans="1:12" ht="15.75" customHeight="1">
      <c r="A20" s="79">
        <v>6</v>
      </c>
      <c r="B20" s="79">
        <v>3122200012</v>
      </c>
      <c r="C20" s="80" t="s">
        <v>32</v>
      </c>
      <c r="D20" s="79" t="s">
        <v>1710</v>
      </c>
      <c r="E20" s="49">
        <v>1</v>
      </c>
      <c r="F20" s="49">
        <v>98</v>
      </c>
      <c r="G20" s="49" t="s">
        <v>1708</v>
      </c>
      <c r="H20" s="79">
        <v>95</v>
      </c>
      <c r="I20" s="79" t="s">
        <v>1709</v>
      </c>
      <c r="J20" s="79"/>
      <c r="K20" s="51"/>
      <c r="L20" s="52"/>
    </row>
    <row r="21" spans="1:12" ht="15.75" customHeight="1">
      <c r="A21" s="62"/>
      <c r="B21" s="62"/>
      <c r="C21" s="62"/>
      <c r="D21" s="62"/>
      <c r="E21" s="49">
        <v>2</v>
      </c>
      <c r="F21" s="49">
        <v>92</v>
      </c>
      <c r="G21" s="49" t="s">
        <v>1708</v>
      </c>
      <c r="H21" s="62"/>
      <c r="I21" s="62"/>
      <c r="J21" s="62"/>
      <c r="K21" s="51"/>
      <c r="L21" s="52"/>
    </row>
    <row r="22" spans="1:12" ht="15.5">
      <c r="A22" s="79">
        <v>7</v>
      </c>
      <c r="B22" s="81">
        <v>3123340038</v>
      </c>
      <c r="C22" s="82" t="s">
        <v>396</v>
      </c>
      <c r="D22" s="81" t="s">
        <v>1713</v>
      </c>
      <c r="E22" s="49">
        <v>1</v>
      </c>
      <c r="F22" s="49">
        <v>100</v>
      </c>
      <c r="G22" s="49" t="s">
        <v>1708</v>
      </c>
      <c r="H22" s="79">
        <v>98.5</v>
      </c>
      <c r="I22" s="79" t="s">
        <v>1714</v>
      </c>
      <c r="J22" s="79"/>
      <c r="K22" s="51"/>
      <c r="L22" s="52"/>
    </row>
    <row r="23" spans="1:12" ht="15.5">
      <c r="A23" s="62"/>
      <c r="B23" s="62"/>
      <c r="C23" s="62"/>
      <c r="D23" s="62"/>
      <c r="E23" s="49">
        <v>2</v>
      </c>
      <c r="F23" s="49">
        <v>97</v>
      </c>
      <c r="G23" s="49" t="s">
        <v>1708</v>
      </c>
      <c r="H23" s="62"/>
      <c r="I23" s="62"/>
      <c r="J23" s="62"/>
      <c r="K23" s="51"/>
      <c r="L23" s="52"/>
    </row>
    <row r="24" spans="1:12" ht="15.5">
      <c r="A24" s="79">
        <v>8</v>
      </c>
      <c r="B24" s="81">
        <v>3123340048</v>
      </c>
      <c r="C24" s="82" t="s">
        <v>404</v>
      </c>
      <c r="D24" s="81" t="s">
        <v>1713</v>
      </c>
      <c r="E24" s="49">
        <v>1</v>
      </c>
      <c r="F24" s="49">
        <v>100</v>
      </c>
      <c r="G24" s="49" t="s">
        <v>1708</v>
      </c>
      <c r="H24" s="79">
        <v>97</v>
      </c>
      <c r="I24" s="79" t="s">
        <v>1714</v>
      </c>
      <c r="J24" s="79"/>
      <c r="K24" s="51"/>
      <c r="L24" s="52"/>
    </row>
    <row r="25" spans="1:12" ht="15.5">
      <c r="A25" s="62"/>
      <c r="B25" s="62"/>
      <c r="C25" s="62"/>
      <c r="D25" s="62"/>
      <c r="E25" s="49">
        <v>2</v>
      </c>
      <c r="F25" s="49">
        <v>94</v>
      </c>
      <c r="G25" s="49" t="s">
        <v>1708</v>
      </c>
      <c r="H25" s="62"/>
      <c r="I25" s="62"/>
      <c r="J25" s="62"/>
      <c r="K25" s="51"/>
      <c r="L25" s="52"/>
    </row>
    <row r="26" spans="1:12" ht="15.5">
      <c r="A26" s="79">
        <v>9</v>
      </c>
      <c r="B26" s="81">
        <v>3123340049</v>
      </c>
      <c r="C26" s="82" t="s">
        <v>412</v>
      </c>
      <c r="D26" s="81" t="s">
        <v>1713</v>
      </c>
      <c r="E26" s="49">
        <v>1</v>
      </c>
      <c r="F26" s="49">
        <v>100</v>
      </c>
      <c r="G26" s="49" t="s">
        <v>1708</v>
      </c>
      <c r="H26" s="79">
        <v>97</v>
      </c>
      <c r="I26" s="79" t="s">
        <v>1714</v>
      </c>
      <c r="J26" s="79"/>
      <c r="K26" s="51"/>
      <c r="L26" s="52"/>
    </row>
    <row r="27" spans="1:12" ht="15.5">
      <c r="A27" s="62"/>
      <c r="B27" s="62"/>
      <c r="C27" s="62"/>
      <c r="D27" s="62"/>
      <c r="E27" s="49">
        <v>2</v>
      </c>
      <c r="F27" s="49">
        <v>94</v>
      </c>
      <c r="G27" s="49" t="s">
        <v>1708</v>
      </c>
      <c r="H27" s="62"/>
      <c r="I27" s="62"/>
      <c r="J27" s="62"/>
      <c r="K27" s="51"/>
      <c r="L27" s="52"/>
    </row>
    <row r="28" spans="1:12" ht="15.5">
      <c r="A28" s="79">
        <v>10</v>
      </c>
      <c r="B28" s="79">
        <v>3123500003</v>
      </c>
      <c r="C28" s="80" t="s">
        <v>391</v>
      </c>
      <c r="D28" s="79" t="s">
        <v>1715</v>
      </c>
      <c r="E28" s="49">
        <v>1</v>
      </c>
      <c r="F28" s="49">
        <v>100</v>
      </c>
      <c r="G28" s="49" t="s">
        <v>1708</v>
      </c>
      <c r="H28" s="79">
        <v>100</v>
      </c>
      <c r="I28" s="79" t="s">
        <v>1714</v>
      </c>
      <c r="J28" s="79"/>
      <c r="K28" s="51"/>
      <c r="L28" s="52"/>
    </row>
    <row r="29" spans="1:12" ht="15.5">
      <c r="A29" s="62"/>
      <c r="B29" s="62"/>
      <c r="C29" s="62"/>
      <c r="D29" s="62"/>
      <c r="E29" s="49">
        <v>2</v>
      </c>
      <c r="F29" s="49">
        <v>100</v>
      </c>
      <c r="G29" s="49" t="s">
        <v>1708</v>
      </c>
      <c r="H29" s="62"/>
      <c r="I29" s="62"/>
      <c r="J29" s="62"/>
      <c r="K29" s="51"/>
      <c r="L29" s="52"/>
    </row>
    <row r="30" spans="1:12" ht="15.5">
      <c r="A30" s="79">
        <v>11</v>
      </c>
      <c r="B30" s="79">
        <v>3122410001</v>
      </c>
      <c r="C30" s="80" t="s">
        <v>1334</v>
      </c>
      <c r="D30" s="79" t="s">
        <v>1716</v>
      </c>
      <c r="E30" s="49">
        <v>1</v>
      </c>
      <c r="F30" s="49">
        <v>100</v>
      </c>
      <c r="G30" s="49" t="s">
        <v>1708</v>
      </c>
      <c r="H30" s="79">
        <v>99</v>
      </c>
      <c r="I30" s="79" t="s">
        <v>1717</v>
      </c>
      <c r="J30" s="79"/>
      <c r="K30" s="51"/>
      <c r="L30" s="52"/>
    </row>
    <row r="31" spans="1:12" ht="15.5">
      <c r="A31" s="62"/>
      <c r="B31" s="62"/>
      <c r="C31" s="62"/>
      <c r="D31" s="62"/>
      <c r="E31" s="49">
        <v>2</v>
      </c>
      <c r="F31" s="49">
        <v>98</v>
      </c>
      <c r="G31" s="49" t="s">
        <v>1708</v>
      </c>
      <c r="H31" s="62"/>
      <c r="I31" s="62"/>
      <c r="J31" s="62"/>
      <c r="K31" s="51"/>
      <c r="L31" s="52"/>
    </row>
    <row r="32" spans="1:12" ht="15.5">
      <c r="A32" s="79">
        <v>12</v>
      </c>
      <c r="B32" s="79">
        <v>3122411020</v>
      </c>
      <c r="C32" s="80" t="s">
        <v>1344</v>
      </c>
      <c r="D32" s="79" t="s">
        <v>1718</v>
      </c>
      <c r="E32" s="49">
        <v>1</v>
      </c>
      <c r="F32" s="49">
        <v>97</v>
      </c>
      <c r="G32" s="49" t="s">
        <v>1708</v>
      </c>
      <c r="H32" s="79">
        <v>96</v>
      </c>
      <c r="I32" s="79" t="s">
        <v>1717</v>
      </c>
      <c r="J32" s="79"/>
      <c r="K32" s="51"/>
      <c r="L32" s="52"/>
    </row>
    <row r="33" spans="1:12" ht="15.5">
      <c r="A33" s="62"/>
      <c r="B33" s="62"/>
      <c r="C33" s="62"/>
      <c r="D33" s="62"/>
      <c r="E33" s="49">
        <v>2</v>
      </c>
      <c r="F33" s="49">
        <v>95</v>
      </c>
      <c r="G33" s="49" t="s">
        <v>1708</v>
      </c>
      <c r="H33" s="62"/>
      <c r="I33" s="62"/>
      <c r="J33" s="62"/>
      <c r="K33" s="51"/>
      <c r="L33" s="52"/>
    </row>
    <row r="34" spans="1:12" ht="15.5">
      <c r="A34" s="79">
        <v>13</v>
      </c>
      <c r="B34" s="79">
        <v>3121150004</v>
      </c>
      <c r="C34" s="80" t="s">
        <v>456</v>
      </c>
      <c r="D34" s="79" t="s">
        <v>1719</v>
      </c>
      <c r="E34" s="49">
        <v>1</v>
      </c>
      <c r="F34" s="49">
        <v>97</v>
      </c>
      <c r="G34" s="49" t="s">
        <v>1708</v>
      </c>
      <c r="H34" s="79">
        <v>97.5</v>
      </c>
      <c r="I34" s="79" t="s">
        <v>1720</v>
      </c>
      <c r="J34" s="79"/>
      <c r="K34" s="51"/>
      <c r="L34" s="52"/>
    </row>
    <row r="35" spans="1:12" ht="15.5">
      <c r="A35" s="62"/>
      <c r="B35" s="62"/>
      <c r="C35" s="62"/>
      <c r="D35" s="62"/>
      <c r="E35" s="49">
        <v>2</v>
      </c>
      <c r="F35" s="49">
        <v>98</v>
      </c>
      <c r="G35" s="49" t="s">
        <v>1708</v>
      </c>
      <c r="H35" s="62"/>
      <c r="I35" s="62"/>
      <c r="J35" s="62"/>
      <c r="K35" s="51"/>
      <c r="L35" s="52"/>
    </row>
    <row r="36" spans="1:12" ht="15.5">
      <c r="A36" s="79">
        <v>14</v>
      </c>
      <c r="B36" s="79">
        <v>3121150036</v>
      </c>
      <c r="C36" s="80" t="s">
        <v>452</v>
      </c>
      <c r="D36" s="79" t="s">
        <v>1721</v>
      </c>
      <c r="E36" s="49">
        <v>1</v>
      </c>
      <c r="F36" s="49">
        <v>100</v>
      </c>
      <c r="G36" s="49" t="s">
        <v>1708</v>
      </c>
      <c r="H36" s="79">
        <v>97.5</v>
      </c>
      <c r="I36" s="79" t="s">
        <v>1720</v>
      </c>
      <c r="J36" s="79"/>
      <c r="K36" s="51"/>
      <c r="L36" s="52"/>
    </row>
    <row r="37" spans="1:12" ht="15.5">
      <c r="A37" s="62"/>
      <c r="B37" s="62"/>
      <c r="C37" s="62"/>
      <c r="D37" s="62"/>
      <c r="E37" s="49">
        <v>2</v>
      </c>
      <c r="F37" s="49">
        <v>95</v>
      </c>
      <c r="G37" s="49" t="s">
        <v>1708</v>
      </c>
      <c r="H37" s="62"/>
      <c r="I37" s="62"/>
      <c r="J37" s="62"/>
      <c r="K37" s="51"/>
      <c r="L37" s="52"/>
    </row>
    <row r="38" spans="1:12" ht="15.5">
      <c r="A38" s="79">
        <v>15</v>
      </c>
      <c r="B38" s="79">
        <v>3121150147</v>
      </c>
      <c r="C38" s="80" t="s">
        <v>442</v>
      </c>
      <c r="D38" s="79" t="s">
        <v>1722</v>
      </c>
      <c r="E38" s="49">
        <v>1</v>
      </c>
      <c r="F38" s="49">
        <v>100</v>
      </c>
      <c r="G38" s="49" t="s">
        <v>1708</v>
      </c>
      <c r="H38" s="79">
        <v>95.5</v>
      </c>
      <c r="I38" s="79" t="s">
        <v>1720</v>
      </c>
      <c r="J38" s="79"/>
      <c r="K38" s="51"/>
      <c r="L38" s="52"/>
    </row>
    <row r="39" spans="1:12" ht="15.5">
      <c r="A39" s="62"/>
      <c r="B39" s="62"/>
      <c r="C39" s="62"/>
      <c r="D39" s="62"/>
      <c r="E39" s="49">
        <v>2</v>
      </c>
      <c r="F39" s="49">
        <v>91</v>
      </c>
      <c r="G39" s="49" t="s">
        <v>1708</v>
      </c>
      <c r="H39" s="62"/>
      <c r="I39" s="62"/>
      <c r="J39" s="62"/>
      <c r="K39" s="51"/>
      <c r="L39" s="52"/>
    </row>
    <row r="40" spans="1:12" ht="15.5">
      <c r="A40" s="79">
        <v>16</v>
      </c>
      <c r="B40" s="79">
        <v>3122150005</v>
      </c>
      <c r="C40" s="80" t="s">
        <v>518</v>
      </c>
      <c r="D40" s="79" t="s">
        <v>1723</v>
      </c>
      <c r="E40" s="49">
        <v>1</v>
      </c>
      <c r="F40" s="49">
        <v>100</v>
      </c>
      <c r="G40" s="49" t="s">
        <v>1708</v>
      </c>
      <c r="H40" s="79">
        <v>96.5</v>
      </c>
      <c r="I40" s="79" t="s">
        <v>1720</v>
      </c>
      <c r="J40" s="79"/>
      <c r="K40" s="51"/>
      <c r="L40" s="52"/>
    </row>
    <row r="41" spans="1:12" ht="15.5">
      <c r="A41" s="62"/>
      <c r="B41" s="62"/>
      <c r="C41" s="62"/>
      <c r="D41" s="62"/>
      <c r="E41" s="49">
        <v>2</v>
      </c>
      <c r="F41" s="49">
        <v>93</v>
      </c>
      <c r="G41" s="49" t="s">
        <v>1708</v>
      </c>
      <c r="H41" s="62"/>
      <c r="I41" s="62"/>
      <c r="J41" s="62"/>
      <c r="K41" s="51"/>
      <c r="L41" s="52"/>
    </row>
    <row r="42" spans="1:12" ht="15.5">
      <c r="A42" s="79">
        <v>17</v>
      </c>
      <c r="B42" s="79">
        <v>3122150011</v>
      </c>
      <c r="C42" s="80" t="s">
        <v>463</v>
      </c>
      <c r="D42" s="79" t="s">
        <v>1724</v>
      </c>
      <c r="E42" s="49">
        <v>1</v>
      </c>
      <c r="F42" s="49">
        <v>100</v>
      </c>
      <c r="G42" s="49" t="s">
        <v>1708</v>
      </c>
      <c r="H42" s="79">
        <v>93.5</v>
      </c>
      <c r="I42" s="79" t="s">
        <v>1720</v>
      </c>
      <c r="J42" s="79"/>
      <c r="K42" s="51"/>
      <c r="L42" s="52"/>
    </row>
    <row r="43" spans="1:12" ht="15.5">
      <c r="A43" s="62"/>
      <c r="B43" s="62"/>
      <c r="C43" s="62"/>
      <c r="D43" s="62"/>
      <c r="E43" s="49">
        <v>2</v>
      </c>
      <c r="F43" s="49">
        <v>87</v>
      </c>
      <c r="G43" s="49" t="s">
        <v>1711</v>
      </c>
      <c r="H43" s="62"/>
      <c r="I43" s="62"/>
      <c r="J43" s="62"/>
      <c r="K43" s="51"/>
      <c r="L43" s="52"/>
    </row>
    <row r="44" spans="1:12" ht="15.5">
      <c r="A44" s="79">
        <v>18</v>
      </c>
      <c r="B44" s="79">
        <v>3122150033</v>
      </c>
      <c r="C44" s="80" t="s">
        <v>471</v>
      </c>
      <c r="D44" s="79" t="s">
        <v>1724</v>
      </c>
      <c r="E44" s="49">
        <v>1</v>
      </c>
      <c r="F44" s="49">
        <v>100</v>
      </c>
      <c r="G44" s="49" t="s">
        <v>1708</v>
      </c>
      <c r="H44" s="79">
        <v>100</v>
      </c>
      <c r="I44" s="79" t="s">
        <v>1720</v>
      </c>
      <c r="J44" s="79"/>
      <c r="K44" s="51"/>
      <c r="L44" s="52"/>
    </row>
    <row r="45" spans="1:12" ht="15.5">
      <c r="A45" s="62"/>
      <c r="B45" s="62"/>
      <c r="C45" s="62"/>
      <c r="D45" s="62"/>
      <c r="E45" s="49">
        <v>2</v>
      </c>
      <c r="F45" s="49">
        <v>100</v>
      </c>
      <c r="G45" s="49" t="s">
        <v>1708</v>
      </c>
      <c r="H45" s="62"/>
      <c r="I45" s="62"/>
      <c r="J45" s="62"/>
      <c r="K45" s="51"/>
      <c r="L45" s="52"/>
    </row>
    <row r="46" spans="1:12" ht="15.5">
      <c r="A46" s="79">
        <v>19</v>
      </c>
      <c r="B46" s="79">
        <v>3122150042</v>
      </c>
      <c r="C46" s="80" t="s">
        <v>476</v>
      </c>
      <c r="D46" s="79" t="s">
        <v>1724</v>
      </c>
      <c r="E46" s="49">
        <v>1</v>
      </c>
      <c r="F46" s="49">
        <v>81</v>
      </c>
      <c r="G46" s="49" t="s">
        <v>1711</v>
      </c>
      <c r="H46" s="79">
        <v>90.5</v>
      </c>
      <c r="I46" s="79" t="s">
        <v>1720</v>
      </c>
      <c r="J46" s="79"/>
      <c r="K46" s="51"/>
      <c r="L46" s="52"/>
    </row>
    <row r="47" spans="1:12" ht="15.5">
      <c r="A47" s="62"/>
      <c r="B47" s="62"/>
      <c r="C47" s="62"/>
      <c r="D47" s="62"/>
      <c r="E47" s="49">
        <v>2</v>
      </c>
      <c r="F47" s="49">
        <v>100</v>
      </c>
      <c r="G47" s="49" t="s">
        <v>1708</v>
      </c>
      <c r="H47" s="62"/>
      <c r="I47" s="62"/>
      <c r="J47" s="62"/>
      <c r="K47" s="51"/>
      <c r="L47" s="52"/>
    </row>
    <row r="48" spans="1:12" ht="15.5">
      <c r="A48" s="79">
        <v>20</v>
      </c>
      <c r="B48" s="79">
        <v>3122150044</v>
      </c>
      <c r="C48" s="80" t="s">
        <v>553</v>
      </c>
      <c r="D48" s="79" t="s">
        <v>1725</v>
      </c>
      <c r="E48" s="49">
        <v>1</v>
      </c>
      <c r="F48" s="49">
        <v>100</v>
      </c>
      <c r="G48" s="49" t="s">
        <v>1708</v>
      </c>
      <c r="H48" s="79">
        <v>99</v>
      </c>
      <c r="I48" s="79" t="s">
        <v>1720</v>
      </c>
      <c r="J48" s="79"/>
      <c r="K48" s="51"/>
      <c r="L48" s="52"/>
    </row>
    <row r="49" spans="1:12" ht="15.5">
      <c r="A49" s="62"/>
      <c r="B49" s="62"/>
      <c r="C49" s="62"/>
      <c r="D49" s="62"/>
      <c r="E49" s="49">
        <v>2</v>
      </c>
      <c r="F49" s="49">
        <v>98</v>
      </c>
      <c r="G49" s="49" t="s">
        <v>1708</v>
      </c>
      <c r="H49" s="62"/>
      <c r="I49" s="62"/>
      <c r="J49" s="62"/>
      <c r="K49" s="51"/>
      <c r="L49" s="52"/>
    </row>
    <row r="50" spans="1:12" ht="15.5">
      <c r="A50" s="79">
        <v>21</v>
      </c>
      <c r="B50" s="79">
        <v>3122150055</v>
      </c>
      <c r="C50" s="80" t="s">
        <v>526</v>
      </c>
      <c r="D50" s="79" t="s">
        <v>1723</v>
      </c>
      <c r="E50" s="49">
        <v>1</v>
      </c>
      <c r="F50" s="49">
        <v>82</v>
      </c>
      <c r="G50" s="49" t="s">
        <v>1711</v>
      </c>
      <c r="H50" s="79">
        <v>89.5</v>
      </c>
      <c r="I50" s="79" t="s">
        <v>1720</v>
      </c>
      <c r="J50" s="79"/>
      <c r="K50" s="51"/>
      <c r="L50" s="52"/>
    </row>
    <row r="51" spans="1:12" ht="15.5">
      <c r="A51" s="62"/>
      <c r="B51" s="62"/>
      <c r="C51" s="62"/>
      <c r="D51" s="62"/>
      <c r="E51" s="49">
        <v>2</v>
      </c>
      <c r="F51" s="49">
        <v>97</v>
      </c>
      <c r="G51" s="49" t="s">
        <v>1708</v>
      </c>
      <c r="H51" s="62"/>
      <c r="I51" s="62"/>
      <c r="J51" s="62"/>
      <c r="K51" s="51"/>
      <c r="L51" s="52"/>
    </row>
    <row r="52" spans="1:12" ht="15.5">
      <c r="A52" s="79">
        <v>22</v>
      </c>
      <c r="B52" s="79">
        <v>3122150061</v>
      </c>
      <c r="C52" s="80" t="s">
        <v>532</v>
      </c>
      <c r="D52" s="79" t="s">
        <v>1723</v>
      </c>
      <c r="E52" s="49">
        <v>1</v>
      </c>
      <c r="F52" s="49">
        <v>80</v>
      </c>
      <c r="G52" s="49" t="s">
        <v>1711</v>
      </c>
      <c r="H52" s="79">
        <v>84</v>
      </c>
      <c r="I52" s="79" t="s">
        <v>1720</v>
      </c>
      <c r="J52" s="79"/>
      <c r="K52" s="51"/>
      <c r="L52" s="52"/>
    </row>
    <row r="53" spans="1:12" ht="15.5">
      <c r="A53" s="62"/>
      <c r="B53" s="62"/>
      <c r="C53" s="62"/>
      <c r="D53" s="62"/>
      <c r="E53" s="49">
        <v>2</v>
      </c>
      <c r="F53" s="49">
        <v>88</v>
      </c>
      <c r="G53" s="49" t="s">
        <v>1711</v>
      </c>
      <c r="H53" s="62"/>
      <c r="I53" s="62"/>
      <c r="J53" s="62"/>
      <c r="K53" s="51"/>
      <c r="L53" s="52"/>
    </row>
    <row r="54" spans="1:12" ht="15.5">
      <c r="A54" s="79">
        <v>23</v>
      </c>
      <c r="B54" s="79">
        <v>3122150070</v>
      </c>
      <c r="C54" s="80" t="s">
        <v>484</v>
      </c>
      <c r="D54" s="79" t="s">
        <v>1724</v>
      </c>
      <c r="E54" s="49">
        <v>1</v>
      </c>
      <c r="F54" s="49">
        <v>100</v>
      </c>
      <c r="G54" s="49" t="s">
        <v>1708</v>
      </c>
      <c r="H54" s="79">
        <v>98</v>
      </c>
      <c r="I54" s="79" t="s">
        <v>1720</v>
      </c>
      <c r="J54" s="79"/>
      <c r="K54" s="51"/>
      <c r="L54" s="52"/>
    </row>
    <row r="55" spans="1:12" ht="15.5">
      <c r="A55" s="62"/>
      <c r="B55" s="62"/>
      <c r="C55" s="62"/>
      <c r="D55" s="62"/>
      <c r="E55" s="49">
        <v>2</v>
      </c>
      <c r="F55" s="49">
        <v>96</v>
      </c>
      <c r="G55" s="49" t="s">
        <v>1708</v>
      </c>
      <c r="H55" s="62"/>
      <c r="I55" s="62"/>
      <c r="J55" s="62"/>
      <c r="K55" s="51"/>
      <c r="L55" s="52"/>
    </row>
    <row r="56" spans="1:12" ht="15.5">
      <c r="A56" s="79">
        <v>24</v>
      </c>
      <c r="B56" s="79">
        <v>3122150072</v>
      </c>
      <c r="C56" s="80" t="s">
        <v>559</v>
      </c>
      <c r="D56" s="79" t="s">
        <v>1725</v>
      </c>
      <c r="E56" s="49">
        <v>1</v>
      </c>
      <c r="F56" s="49">
        <v>95</v>
      </c>
      <c r="G56" s="49" t="s">
        <v>1708</v>
      </c>
      <c r="H56" s="79">
        <v>95.5</v>
      </c>
      <c r="I56" s="79" t="s">
        <v>1720</v>
      </c>
      <c r="J56" s="79"/>
      <c r="K56" s="51"/>
      <c r="L56" s="52"/>
    </row>
    <row r="57" spans="1:12" ht="15.5">
      <c r="A57" s="62"/>
      <c r="B57" s="62"/>
      <c r="C57" s="62"/>
      <c r="D57" s="62"/>
      <c r="E57" s="49">
        <v>2</v>
      </c>
      <c r="F57" s="49">
        <v>96</v>
      </c>
      <c r="G57" s="49" t="s">
        <v>1708</v>
      </c>
      <c r="H57" s="62"/>
      <c r="I57" s="62"/>
      <c r="J57" s="62"/>
      <c r="K57" s="51"/>
      <c r="L57" s="52"/>
    </row>
    <row r="58" spans="1:12" ht="15.5">
      <c r="A58" s="79">
        <v>25</v>
      </c>
      <c r="B58" s="79">
        <v>3122150092</v>
      </c>
      <c r="C58" s="80" t="s">
        <v>565</v>
      </c>
      <c r="D58" s="79" t="s">
        <v>1725</v>
      </c>
      <c r="E58" s="49">
        <v>1</v>
      </c>
      <c r="F58" s="49">
        <v>100</v>
      </c>
      <c r="G58" s="49" t="s">
        <v>1708</v>
      </c>
      <c r="H58" s="79">
        <v>97.5</v>
      </c>
      <c r="I58" s="79" t="s">
        <v>1720</v>
      </c>
      <c r="J58" s="79"/>
      <c r="K58" s="51"/>
      <c r="L58" s="52"/>
    </row>
    <row r="59" spans="1:12" ht="15.5">
      <c r="A59" s="62"/>
      <c r="B59" s="62"/>
      <c r="C59" s="62"/>
      <c r="D59" s="62"/>
      <c r="E59" s="49">
        <v>2</v>
      </c>
      <c r="F59" s="49">
        <v>95</v>
      </c>
      <c r="G59" s="49" t="s">
        <v>1708</v>
      </c>
      <c r="H59" s="62"/>
      <c r="I59" s="62"/>
      <c r="J59" s="62"/>
      <c r="K59" s="51"/>
      <c r="L59" s="52"/>
    </row>
    <row r="60" spans="1:12" ht="15.5">
      <c r="A60" s="79">
        <v>26</v>
      </c>
      <c r="B60" s="79">
        <v>3122150096</v>
      </c>
      <c r="C60" s="80" t="s">
        <v>571</v>
      </c>
      <c r="D60" s="79" t="s">
        <v>1725</v>
      </c>
      <c r="E60" s="49">
        <v>1</v>
      </c>
      <c r="F60" s="49">
        <v>100</v>
      </c>
      <c r="G60" s="49" t="s">
        <v>1708</v>
      </c>
      <c r="H60" s="79">
        <v>98</v>
      </c>
      <c r="I60" s="79" t="s">
        <v>1720</v>
      </c>
      <c r="J60" s="79"/>
      <c r="K60" s="51"/>
      <c r="L60" s="52"/>
    </row>
    <row r="61" spans="1:12" ht="15.5">
      <c r="A61" s="62"/>
      <c r="B61" s="62"/>
      <c r="C61" s="62"/>
      <c r="D61" s="62"/>
      <c r="E61" s="49">
        <v>2</v>
      </c>
      <c r="F61" s="49">
        <v>96</v>
      </c>
      <c r="G61" s="49" t="s">
        <v>1708</v>
      </c>
      <c r="H61" s="62"/>
      <c r="I61" s="62"/>
      <c r="J61" s="62"/>
      <c r="K61" s="51"/>
      <c r="L61" s="52"/>
    </row>
    <row r="62" spans="1:12" ht="15.5">
      <c r="A62" s="79">
        <v>27</v>
      </c>
      <c r="B62" s="79">
        <v>3122150122</v>
      </c>
      <c r="C62" s="80" t="s">
        <v>533</v>
      </c>
      <c r="D62" s="79" t="s">
        <v>1723</v>
      </c>
      <c r="E62" s="49">
        <v>1</v>
      </c>
      <c r="F62" s="49">
        <v>97</v>
      </c>
      <c r="G62" s="49" t="s">
        <v>1708</v>
      </c>
      <c r="H62" s="79">
        <v>96</v>
      </c>
      <c r="I62" s="79" t="s">
        <v>1720</v>
      </c>
      <c r="J62" s="79"/>
      <c r="K62" s="51"/>
      <c r="L62" s="52"/>
    </row>
    <row r="63" spans="1:12" ht="15.5">
      <c r="A63" s="62"/>
      <c r="B63" s="62"/>
      <c r="C63" s="62"/>
      <c r="D63" s="62"/>
      <c r="E63" s="49">
        <v>2</v>
      </c>
      <c r="F63" s="49">
        <v>95</v>
      </c>
      <c r="G63" s="49" t="s">
        <v>1708</v>
      </c>
      <c r="H63" s="62"/>
      <c r="I63" s="62"/>
      <c r="J63" s="62"/>
      <c r="K63" s="51"/>
      <c r="L63" s="52"/>
    </row>
    <row r="64" spans="1:12" ht="15.5">
      <c r="A64" s="79">
        <v>28</v>
      </c>
      <c r="B64" s="79">
        <v>3122150128</v>
      </c>
      <c r="C64" s="80" t="s">
        <v>539</v>
      </c>
      <c r="D64" s="79" t="s">
        <v>1723</v>
      </c>
      <c r="E64" s="49">
        <v>1</v>
      </c>
      <c r="F64" s="49">
        <v>94</v>
      </c>
      <c r="G64" s="49" t="s">
        <v>1708</v>
      </c>
      <c r="H64" s="79">
        <v>96</v>
      </c>
      <c r="I64" s="79" t="s">
        <v>1720</v>
      </c>
      <c r="J64" s="79"/>
      <c r="K64" s="51"/>
      <c r="L64" s="52"/>
    </row>
    <row r="65" spans="1:12" ht="15.5">
      <c r="A65" s="62"/>
      <c r="B65" s="62"/>
      <c r="C65" s="62"/>
      <c r="D65" s="62"/>
      <c r="E65" s="49">
        <v>2</v>
      </c>
      <c r="F65" s="49">
        <v>98</v>
      </c>
      <c r="G65" s="49" t="s">
        <v>1708</v>
      </c>
      <c r="H65" s="62"/>
      <c r="I65" s="62"/>
      <c r="J65" s="62"/>
      <c r="K65" s="51"/>
      <c r="L65" s="52"/>
    </row>
    <row r="66" spans="1:12" ht="15.5">
      <c r="A66" s="79">
        <v>29</v>
      </c>
      <c r="B66" s="79">
        <v>3122150143</v>
      </c>
      <c r="C66" s="80" t="s">
        <v>492</v>
      </c>
      <c r="D66" s="79" t="s">
        <v>1724</v>
      </c>
      <c r="E66" s="49">
        <v>1</v>
      </c>
      <c r="F66" s="49">
        <v>99</v>
      </c>
      <c r="G66" s="49" t="s">
        <v>1708</v>
      </c>
      <c r="H66" s="79">
        <v>99.5</v>
      </c>
      <c r="I66" s="79" t="s">
        <v>1720</v>
      </c>
      <c r="J66" s="79"/>
      <c r="K66" s="51"/>
      <c r="L66" s="52"/>
    </row>
    <row r="67" spans="1:12" ht="15.5">
      <c r="A67" s="62"/>
      <c r="B67" s="62"/>
      <c r="C67" s="62"/>
      <c r="D67" s="62"/>
      <c r="E67" s="49">
        <v>2</v>
      </c>
      <c r="F67" s="49">
        <v>100</v>
      </c>
      <c r="G67" s="49" t="s">
        <v>1708</v>
      </c>
      <c r="H67" s="62"/>
      <c r="I67" s="62"/>
      <c r="J67" s="62"/>
      <c r="K67" s="51"/>
      <c r="L67" s="52"/>
    </row>
    <row r="68" spans="1:12" ht="15.5">
      <c r="A68" s="79">
        <v>30</v>
      </c>
      <c r="B68" s="79">
        <v>3122150146</v>
      </c>
      <c r="C68" s="80" t="s">
        <v>500</v>
      </c>
      <c r="D68" s="79" t="s">
        <v>1724</v>
      </c>
      <c r="E68" s="49">
        <v>1</v>
      </c>
      <c r="F68" s="49">
        <v>100</v>
      </c>
      <c r="G68" s="49" t="s">
        <v>1708</v>
      </c>
      <c r="H68" s="79">
        <v>100</v>
      </c>
      <c r="I68" s="79" t="s">
        <v>1720</v>
      </c>
      <c r="J68" s="79"/>
      <c r="K68" s="51"/>
      <c r="L68" s="52"/>
    </row>
    <row r="69" spans="1:12" ht="15.5">
      <c r="A69" s="62"/>
      <c r="B69" s="62"/>
      <c r="C69" s="62"/>
      <c r="D69" s="62"/>
      <c r="E69" s="49">
        <v>2</v>
      </c>
      <c r="F69" s="49">
        <v>100</v>
      </c>
      <c r="G69" s="49" t="s">
        <v>1708</v>
      </c>
      <c r="H69" s="62"/>
      <c r="I69" s="62"/>
      <c r="J69" s="62"/>
      <c r="K69" s="51"/>
      <c r="L69" s="52"/>
    </row>
    <row r="70" spans="1:12" ht="15.5">
      <c r="A70" s="79">
        <v>31</v>
      </c>
      <c r="B70" s="79">
        <v>3122150147</v>
      </c>
      <c r="C70" s="80" t="s">
        <v>545</v>
      </c>
      <c r="D70" s="79" t="s">
        <v>1723</v>
      </c>
      <c r="E70" s="49">
        <v>1</v>
      </c>
      <c r="F70" s="49">
        <v>95</v>
      </c>
      <c r="G70" s="49" t="s">
        <v>1708</v>
      </c>
      <c r="H70" s="79">
        <v>93.5</v>
      </c>
      <c r="I70" s="79" t="s">
        <v>1720</v>
      </c>
      <c r="J70" s="79"/>
      <c r="K70" s="51"/>
      <c r="L70" s="52"/>
    </row>
    <row r="71" spans="1:12" ht="15.5">
      <c r="A71" s="62"/>
      <c r="B71" s="62"/>
      <c r="C71" s="62"/>
      <c r="D71" s="62"/>
      <c r="E71" s="49">
        <v>2</v>
      </c>
      <c r="F71" s="49">
        <v>92</v>
      </c>
      <c r="G71" s="49" t="s">
        <v>1708</v>
      </c>
      <c r="H71" s="62"/>
      <c r="I71" s="62"/>
      <c r="J71" s="62"/>
      <c r="K71" s="51"/>
      <c r="L71" s="52"/>
    </row>
    <row r="72" spans="1:12" ht="15.5">
      <c r="A72" s="79">
        <v>32</v>
      </c>
      <c r="B72" s="79">
        <v>3122150155</v>
      </c>
      <c r="C72" s="80" t="s">
        <v>508</v>
      </c>
      <c r="D72" s="79" t="s">
        <v>1724</v>
      </c>
      <c r="E72" s="49">
        <v>1</v>
      </c>
      <c r="F72" s="49">
        <v>100</v>
      </c>
      <c r="G72" s="49" t="s">
        <v>1708</v>
      </c>
      <c r="H72" s="79">
        <v>99.5</v>
      </c>
      <c r="I72" s="79" t="s">
        <v>1720</v>
      </c>
      <c r="J72" s="79"/>
      <c r="K72" s="51"/>
      <c r="L72" s="52"/>
    </row>
    <row r="73" spans="1:12" ht="15.5">
      <c r="A73" s="62"/>
      <c r="B73" s="62"/>
      <c r="C73" s="62"/>
      <c r="D73" s="62"/>
      <c r="E73" s="49">
        <v>2</v>
      </c>
      <c r="F73" s="49">
        <v>99</v>
      </c>
      <c r="G73" s="49" t="s">
        <v>1708</v>
      </c>
      <c r="H73" s="62"/>
      <c r="I73" s="62"/>
      <c r="J73" s="62"/>
      <c r="K73" s="51"/>
      <c r="L73" s="52"/>
    </row>
    <row r="74" spans="1:12" ht="15.5">
      <c r="A74" s="79">
        <v>33</v>
      </c>
      <c r="B74" s="79">
        <v>3122150158</v>
      </c>
      <c r="C74" s="80" t="s">
        <v>509</v>
      </c>
      <c r="D74" s="79" t="s">
        <v>1724</v>
      </c>
      <c r="E74" s="49">
        <v>1</v>
      </c>
      <c r="F74" s="49">
        <v>100</v>
      </c>
      <c r="G74" s="49" t="s">
        <v>1708</v>
      </c>
      <c r="H74" s="79">
        <v>100</v>
      </c>
      <c r="I74" s="79" t="s">
        <v>1720</v>
      </c>
      <c r="J74" s="79"/>
      <c r="K74" s="51"/>
      <c r="L74" s="52"/>
    </row>
    <row r="75" spans="1:12" ht="15.5">
      <c r="A75" s="62"/>
      <c r="B75" s="62"/>
      <c r="C75" s="62"/>
      <c r="D75" s="62"/>
      <c r="E75" s="49">
        <v>2</v>
      </c>
      <c r="F75" s="49">
        <v>100</v>
      </c>
      <c r="G75" s="49" t="s">
        <v>1708</v>
      </c>
      <c r="H75" s="62"/>
      <c r="I75" s="62"/>
      <c r="J75" s="62"/>
      <c r="K75" s="51"/>
      <c r="L75" s="52"/>
    </row>
    <row r="76" spans="1:12" ht="15.5">
      <c r="A76" s="79">
        <v>34</v>
      </c>
      <c r="B76" s="79">
        <v>3122150160</v>
      </c>
      <c r="C76" s="80" t="s">
        <v>577</v>
      </c>
      <c r="D76" s="79" t="s">
        <v>1725</v>
      </c>
      <c r="E76" s="49">
        <v>1</v>
      </c>
      <c r="F76" s="49">
        <v>91</v>
      </c>
      <c r="G76" s="49" t="s">
        <v>1708</v>
      </c>
      <c r="H76" s="79">
        <v>94</v>
      </c>
      <c r="I76" s="79" t="s">
        <v>1720</v>
      </c>
      <c r="J76" s="79"/>
      <c r="K76" s="51"/>
      <c r="L76" s="52"/>
    </row>
    <row r="77" spans="1:12" ht="15.5">
      <c r="A77" s="62"/>
      <c r="B77" s="62"/>
      <c r="C77" s="62"/>
      <c r="D77" s="62"/>
      <c r="E77" s="49">
        <v>2</v>
      </c>
      <c r="F77" s="49">
        <v>97</v>
      </c>
      <c r="G77" s="49" t="s">
        <v>1708</v>
      </c>
      <c r="H77" s="62"/>
      <c r="I77" s="62"/>
      <c r="J77" s="62"/>
      <c r="K77" s="51"/>
      <c r="L77" s="52"/>
    </row>
    <row r="78" spans="1:12" ht="15.5">
      <c r="A78" s="79">
        <v>35</v>
      </c>
      <c r="B78" s="79">
        <v>3122150161</v>
      </c>
      <c r="C78" s="80" t="s">
        <v>517</v>
      </c>
      <c r="D78" s="79" t="s">
        <v>1724</v>
      </c>
      <c r="E78" s="49">
        <v>1</v>
      </c>
      <c r="F78" s="49">
        <v>80</v>
      </c>
      <c r="G78" s="49" t="s">
        <v>1711</v>
      </c>
      <c r="H78" s="79">
        <v>86.5</v>
      </c>
      <c r="I78" s="79" t="s">
        <v>1720</v>
      </c>
      <c r="J78" s="79"/>
      <c r="K78" s="51"/>
      <c r="L78" s="52"/>
    </row>
    <row r="79" spans="1:12" ht="15.5">
      <c r="A79" s="62"/>
      <c r="B79" s="62"/>
      <c r="C79" s="62"/>
      <c r="D79" s="62"/>
      <c r="E79" s="49">
        <v>2</v>
      </c>
      <c r="F79" s="49">
        <v>93</v>
      </c>
      <c r="G79" s="49" t="s">
        <v>1708</v>
      </c>
      <c r="H79" s="62"/>
      <c r="I79" s="62"/>
      <c r="J79" s="62"/>
      <c r="K79" s="51"/>
      <c r="L79" s="52"/>
    </row>
    <row r="80" spans="1:12" ht="15.5">
      <c r="A80" s="79">
        <v>36</v>
      </c>
      <c r="B80" s="79">
        <v>3122150162</v>
      </c>
      <c r="C80" s="80" t="s">
        <v>551</v>
      </c>
      <c r="D80" s="79" t="s">
        <v>1723</v>
      </c>
      <c r="E80" s="49">
        <v>1</v>
      </c>
      <c r="F80" s="49">
        <v>85</v>
      </c>
      <c r="G80" s="49" t="s">
        <v>1711</v>
      </c>
      <c r="H80" s="79">
        <v>91.5</v>
      </c>
      <c r="I80" s="79" t="s">
        <v>1720</v>
      </c>
      <c r="J80" s="79"/>
      <c r="K80" s="51"/>
      <c r="L80" s="52"/>
    </row>
    <row r="81" spans="1:12" ht="15.5">
      <c r="A81" s="62"/>
      <c r="B81" s="62"/>
      <c r="C81" s="62"/>
      <c r="D81" s="62"/>
      <c r="E81" s="49">
        <v>2</v>
      </c>
      <c r="F81" s="49">
        <v>98</v>
      </c>
      <c r="G81" s="49" t="s">
        <v>1708</v>
      </c>
      <c r="H81" s="62"/>
      <c r="I81" s="62"/>
      <c r="J81" s="62"/>
      <c r="K81" s="51"/>
      <c r="L81" s="52"/>
    </row>
    <row r="82" spans="1:12" ht="15.5">
      <c r="A82" s="79">
        <v>37</v>
      </c>
      <c r="B82" s="79">
        <v>3122150169</v>
      </c>
      <c r="C82" s="80" t="s">
        <v>552</v>
      </c>
      <c r="D82" s="79" t="s">
        <v>1723</v>
      </c>
      <c r="E82" s="49">
        <v>1</v>
      </c>
      <c r="F82" s="49">
        <v>98</v>
      </c>
      <c r="G82" s="49" t="s">
        <v>1708</v>
      </c>
      <c r="H82" s="79">
        <v>96.5</v>
      </c>
      <c r="I82" s="79" t="s">
        <v>1720</v>
      </c>
      <c r="J82" s="79"/>
      <c r="K82" s="51"/>
      <c r="L82" s="52"/>
    </row>
    <row r="83" spans="1:12" ht="15.5">
      <c r="A83" s="62"/>
      <c r="B83" s="62"/>
      <c r="C83" s="62"/>
      <c r="D83" s="62"/>
      <c r="E83" s="49">
        <v>2</v>
      </c>
      <c r="F83" s="49">
        <v>95</v>
      </c>
      <c r="G83" s="49" t="s">
        <v>1708</v>
      </c>
      <c r="H83" s="62"/>
      <c r="I83" s="62"/>
      <c r="J83" s="62"/>
      <c r="K83" s="51"/>
      <c r="L83" s="52"/>
    </row>
    <row r="84" spans="1:12" ht="15.5">
      <c r="A84" s="79">
        <v>38</v>
      </c>
      <c r="B84" s="79">
        <v>3122150170</v>
      </c>
      <c r="C84" s="80" t="s">
        <v>578</v>
      </c>
      <c r="D84" s="79" t="s">
        <v>1725</v>
      </c>
      <c r="E84" s="49">
        <v>1</v>
      </c>
      <c r="F84" s="49">
        <v>100</v>
      </c>
      <c r="G84" s="49" t="s">
        <v>1708</v>
      </c>
      <c r="H84" s="79">
        <v>100</v>
      </c>
      <c r="I84" s="79" t="s">
        <v>1720</v>
      </c>
      <c r="J84" s="79"/>
      <c r="K84" s="51"/>
      <c r="L84" s="52"/>
    </row>
    <row r="85" spans="1:12" ht="15.5">
      <c r="A85" s="62"/>
      <c r="B85" s="62"/>
      <c r="C85" s="62"/>
      <c r="D85" s="62"/>
      <c r="E85" s="49">
        <v>2</v>
      </c>
      <c r="F85" s="49">
        <v>100</v>
      </c>
      <c r="G85" s="49" t="s">
        <v>1708</v>
      </c>
      <c r="H85" s="62"/>
      <c r="I85" s="62"/>
      <c r="J85" s="62"/>
      <c r="K85" s="51"/>
      <c r="L85" s="52"/>
    </row>
    <row r="86" spans="1:12" ht="15.5">
      <c r="A86" s="79">
        <v>39</v>
      </c>
      <c r="B86" s="79">
        <v>3122150179</v>
      </c>
      <c r="C86" s="80" t="s">
        <v>579</v>
      </c>
      <c r="D86" s="79" t="s">
        <v>1725</v>
      </c>
      <c r="E86" s="49">
        <v>1</v>
      </c>
      <c r="F86" s="49">
        <v>81</v>
      </c>
      <c r="G86" s="49" t="s">
        <v>1711</v>
      </c>
      <c r="H86" s="79">
        <v>86</v>
      </c>
      <c r="I86" s="79" t="s">
        <v>1720</v>
      </c>
      <c r="J86" s="79"/>
      <c r="K86" s="51"/>
      <c r="L86" s="52"/>
    </row>
    <row r="87" spans="1:12" ht="15.5">
      <c r="A87" s="62"/>
      <c r="B87" s="62"/>
      <c r="C87" s="62"/>
      <c r="D87" s="62"/>
      <c r="E87" s="49">
        <v>2</v>
      </c>
      <c r="F87" s="49">
        <v>91</v>
      </c>
      <c r="G87" s="49" t="s">
        <v>1708</v>
      </c>
      <c r="H87" s="62"/>
      <c r="I87" s="62"/>
      <c r="J87" s="62"/>
      <c r="K87" s="51"/>
      <c r="L87" s="52"/>
    </row>
    <row r="88" spans="1:12" ht="15.5">
      <c r="A88" s="79">
        <v>40</v>
      </c>
      <c r="B88" s="79">
        <v>3123150015</v>
      </c>
      <c r="C88" s="80" t="s">
        <v>647</v>
      </c>
      <c r="D88" s="79" t="s">
        <v>1726</v>
      </c>
      <c r="E88" s="49">
        <v>1</v>
      </c>
      <c r="F88" s="49">
        <v>100</v>
      </c>
      <c r="G88" s="49" t="s">
        <v>1708</v>
      </c>
      <c r="H88" s="79">
        <v>91</v>
      </c>
      <c r="I88" s="79" t="s">
        <v>1720</v>
      </c>
      <c r="J88" s="79"/>
      <c r="K88" s="51"/>
      <c r="L88" s="52"/>
    </row>
    <row r="89" spans="1:12" ht="15.5">
      <c r="A89" s="62"/>
      <c r="B89" s="62"/>
      <c r="C89" s="62"/>
      <c r="D89" s="62"/>
      <c r="E89" s="49">
        <v>2</v>
      </c>
      <c r="F89" s="49">
        <v>82</v>
      </c>
      <c r="G89" s="49" t="s">
        <v>1711</v>
      </c>
      <c r="H89" s="62"/>
      <c r="I89" s="62"/>
      <c r="J89" s="62"/>
      <c r="K89" s="51"/>
      <c r="L89" s="52"/>
    </row>
    <row r="90" spans="1:12" ht="15.5">
      <c r="A90" s="79">
        <v>41</v>
      </c>
      <c r="B90" s="79">
        <v>3123150033</v>
      </c>
      <c r="C90" s="80" t="s">
        <v>597</v>
      </c>
      <c r="D90" s="79" t="s">
        <v>1727</v>
      </c>
      <c r="E90" s="49">
        <v>1</v>
      </c>
      <c r="F90" s="49">
        <v>92</v>
      </c>
      <c r="G90" s="49" t="s">
        <v>1708</v>
      </c>
      <c r="H90" s="79">
        <v>96</v>
      </c>
      <c r="I90" s="79" t="s">
        <v>1720</v>
      </c>
      <c r="J90" s="79"/>
      <c r="K90" s="51"/>
      <c r="L90" s="52"/>
    </row>
    <row r="91" spans="1:12" ht="15.5">
      <c r="A91" s="62"/>
      <c r="B91" s="62"/>
      <c r="C91" s="62"/>
      <c r="D91" s="62"/>
      <c r="E91" s="49">
        <v>2</v>
      </c>
      <c r="F91" s="49">
        <v>100</v>
      </c>
      <c r="G91" s="49" t="s">
        <v>1708</v>
      </c>
      <c r="H91" s="62"/>
      <c r="I91" s="62"/>
      <c r="J91" s="62"/>
      <c r="K91" s="51"/>
      <c r="L91" s="52"/>
    </row>
    <row r="92" spans="1:12" ht="15.5">
      <c r="A92" s="79">
        <v>42</v>
      </c>
      <c r="B92" s="79">
        <v>3123150061</v>
      </c>
      <c r="C92" s="80" t="s">
        <v>603</v>
      </c>
      <c r="D92" s="79" t="s">
        <v>1727</v>
      </c>
      <c r="E92" s="49">
        <v>1</v>
      </c>
      <c r="F92" s="49">
        <v>88</v>
      </c>
      <c r="G92" s="49" t="s">
        <v>1711</v>
      </c>
      <c r="H92" s="79">
        <v>93</v>
      </c>
      <c r="I92" s="79" t="s">
        <v>1720</v>
      </c>
      <c r="J92" s="79"/>
      <c r="K92" s="51"/>
      <c r="L92" s="52"/>
    </row>
    <row r="93" spans="1:12" ht="15.5">
      <c r="A93" s="62"/>
      <c r="B93" s="62"/>
      <c r="C93" s="62"/>
      <c r="D93" s="62"/>
      <c r="E93" s="49">
        <v>2</v>
      </c>
      <c r="F93" s="49">
        <v>98</v>
      </c>
      <c r="G93" s="49" t="s">
        <v>1708</v>
      </c>
      <c r="H93" s="62"/>
      <c r="I93" s="62"/>
      <c r="J93" s="62"/>
      <c r="K93" s="51"/>
      <c r="L93" s="52"/>
    </row>
    <row r="94" spans="1:12" ht="15.5">
      <c r="A94" s="79">
        <v>43</v>
      </c>
      <c r="B94" s="79">
        <v>3123150067</v>
      </c>
      <c r="C94" s="80" t="s">
        <v>609</v>
      </c>
      <c r="D94" s="79" t="s">
        <v>1727</v>
      </c>
      <c r="E94" s="49">
        <v>1</v>
      </c>
      <c r="F94" s="49">
        <v>93</v>
      </c>
      <c r="G94" s="49" t="s">
        <v>1708</v>
      </c>
      <c r="H94" s="79">
        <v>86.5</v>
      </c>
      <c r="I94" s="79" t="s">
        <v>1720</v>
      </c>
      <c r="J94" s="79"/>
      <c r="K94" s="51"/>
      <c r="L94" s="52"/>
    </row>
    <row r="95" spans="1:12" ht="15.5">
      <c r="A95" s="62"/>
      <c r="B95" s="62"/>
      <c r="C95" s="62"/>
      <c r="D95" s="62"/>
      <c r="E95" s="49">
        <v>2</v>
      </c>
      <c r="F95" s="49">
        <v>80</v>
      </c>
      <c r="G95" s="49" t="s">
        <v>1711</v>
      </c>
      <c r="H95" s="62"/>
      <c r="I95" s="62"/>
      <c r="J95" s="62"/>
      <c r="K95" s="51"/>
      <c r="L95" s="52"/>
    </row>
    <row r="96" spans="1:12" ht="15.5">
      <c r="A96" s="79">
        <v>44</v>
      </c>
      <c r="B96" s="79">
        <v>3123150092</v>
      </c>
      <c r="C96" s="80" t="s">
        <v>655</v>
      </c>
      <c r="D96" s="79" t="s">
        <v>1726</v>
      </c>
      <c r="E96" s="49">
        <v>1</v>
      </c>
      <c r="F96" s="49">
        <v>100</v>
      </c>
      <c r="G96" s="49" t="s">
        <v>1708</v>
      </c>
      <c r="H96" s="79">
        <v>100</v>
      </c>
      <c r="I96" s="79" t="s">
        <v>1720</v>
      </c>
      <c r="J96" s="79"/>
      <c r="K96" s="51"/>
      <c r="L96" s="52"/>
    </row>
    <row r="97" spans="1:12" ht="15.5">
      <c r="A97" s="62"/>
      <c r="B97" s="62"/>
      <c r="C97" s="62"/>
      <c r="D97" s="62"/>
      <c r="E97" s="49">
        <v>2</v>
      </c>
      <c r="F97" s="49">
        <v>100</v>
      </c>
      <c r="G97" s="49" t="s">
        <v>1708</v>
      </c>
      <c r="H97" s="62"/>
      <c r="I97" s="62"/>
      <c r="J97" s="62"/>
      <c r="K97" s="51"/>
      <c r="L97" s="52"/>
    </row>
    <row r="98" spans="1:12" ht="15.5">
      <c r="A98" s="79">
        <v>45</v>
      </c>
      <c r="B98" s="79">
        <v>3123150105</v>
      </c>
      <c r="C98" s="80" t="s">
        <v>585</v>
      </c>
      <c r="D98" s="79" t="s">
        <v>1728</v>
      </c>
      <c r="E98" s="49">
        <v>1</v>
      </c>
      <c r="F98" s="49">
        <v>99</v>
      </c>
      <c r="G98" s="49" t="s">
        <v>1708</v>
      </c>
      <c r="H98" s="79">
        <v>99.5</v>
      </c>
      <c r="I98" s="79" t="s">
        <v>1720</v>
      </c>
      <c r="J98" s="79"/>
      <c r="K98" s="51"/>
      <c r="L98" s="52"/>
    </row>
    <row r="99" spans="1:12" ht="15.5">
      <c r="A99" s="62"/>
      <c r="B99" s="62"/>
      <c r="C99" s="62"/>
      <c r="D99" s="62"/>
      <c r="E99" s="49">
        <v>2</v>
      </c>
      <c r="F99" s="49">
        <v>100</v>
      </c>
      <c r="G99" s="49" t="s">
        <v>1708</v>
      </c>
      <c r="H99" s="62"/>
      <c r="I99" s="62"/>
      <c r="J99" s="62"/>
      <c r="K99" s="51"/>
      <c r="L99" s="52"/>
    </row>
    <row r="100" spans="1:12" ht="15.5">
      <c r="A100" s="79">
        <v>46</v>
      </c>
      <c r="B100" s="79">
        <v>3123150109</v>
      </c>
      <c r="C100" s="80" t="s">
        <v>615</v>
      </c>
      <c r="D100" s="79" t="s">
        <v>1727</v>
      </c>
      <c r="E100" s="49">
        <v>1</v>
      </c>
      <c r="F100" s="49">
        <v>100</v>
      </c>
      <c r="G100" s="49" t="s">
        <v>1708</v>
      </c>
      <c r="H100" s="79">
        <v>98.5</v>
      </c>
      <c r="I100" s="79" t="s">
        <v>1720</v>
      </c>
      <c r="J100" s="79"/>
      <c r="K100" s="51"/>
      <c r="L100" s="52"/>
    </row>
    <row r="101" spans="1:12" ht="15.5">
      <c r="A101" s="62"/>
      <c r="B101" s="62"/>
      <c r="C101" s="62"/>
      <c r="D101" s="62"/>
      <c r="E101" s="49">
        <v>2</v>
      </c>
      <c r="F101" s="49">
        <v>97</v>
      </c>
      <c r="G101" s="49" t="s">
        <v>1708</v>
      </c>
      <c r="H101" s="62"/>
      <c r="I101" s="62"/>
      <c r="J101" s="62"/>
      <c r="K101" s="51"/>
      <c r="L101" s="52"/>
    </row>
    <row r="102" spans="1:12" ht="15.5">
      <c r="A102" s="79">
        <v>47</v>
      </c>
      <c r="B102" s="79">
        <v>3123150116</v>
      </c>
      <c r="C102" s="80" t="s">
        <v>623</v>
      </c>
      <c r="D102" s="79" t="s">
        <v>1727</v>
      </c>
      <c r="E102" s="49">
        <v>1</v>
      </c>
      <c r="F102" s="49">
        <v>100</v>
      </c>
      <c r="G102" s="49" t="s">
        <v>1708</v>
      </c>
      <c r="H102" s="79">
        <v>100</v>
      </c>
      <c r="I102" s="79" t="s">
        <v>1720</v>
      </c>
      <c r="J102" s="79"/>
      <c r="K102" s="51"/>
      <c r="L102" s="52"/>
    </row>
    <row r="103" spans="1:12" ht="15.5">
      <c r="A103" s="62"/>
      <c r="B103" s="62"/>
      <c r="C103" s="62"/>
      <c r="D103" s="62"/>
      <c r="E103" s="49">
        <v>2</v>
      </c>
      <c r="F103" s="49">
        <v>100</v>
      </c>
      <c r="G103" s="49" t="s">
        <v>1708</v>
      </c>
      <c r="H103" s="62"/>
      <c r="I103" s="62"/>
      <c r="J103" s="62"/>
      <c r="K103" s="51"/>
      <c r="L103" s="52"/>
    </row>
    <row r="104" spans="1:12" ht="15.5">
      <c r="A104" s="79">
        <v>48</v>
      </c>
      <c r="B104" s="79">
        <v>3123150135</v>
      </c>
      <c r="C104" s="80" t="s">
        <v>631</v>
      </c>
      <c r="D104" s="79" t="s">
        <v>1727</v>
      </c>
      <c r="E104" s="49">
        <v>1</v>
      </c>
      <c r="F104" s="49">
        <v>90</v>
      </c>
      <c r="G104" s="49" t="s">
        <v>1708</v>
      </c>
      <c r="H104" s="79">
        <v>94</v>
      </c>
      <c r="I104" s="79" t="s">
        <v>1720</v>
      </c>
      <c r="J104" s="79"/>
      <c r="K104" s="51"/>
      <c r="L104" s="52"/>
    </row>
    <row r="105" spans="1:12" ht="15.5">
      <c r="A105" s="62"/>
      <c r="B105" s="62"/>
      <c r="C105" s="62"/>
      <c r="D105" s="62"/>
      <c r="E105" s="49">
        <v>2</v>
      </c>
      <c r="F105" s="49">
        <v>98</v>
      </c>
      <c r="G105" s="49" t="s">
        <v>1708</v>
      </c>
      <c r="H105" s="62"/>
      <c r="I105" s="62"/>
      <c r="J105" s="62"/>
      <c r="K105" s="51"/>
      <c r="L105" s="52"/>
    </row>
    <row r="106" spans="1:12" ht="15.5">
      <c r="A106" s="79">
        <v>49</v>
      </c>
      <c r="B106" s="79">
        <v>3123150146</v>
      </c>
      <c r="C106" s="80" t="s">
        <v>663</v>
      </c>
      <c r="D106" s="79" t="s">
        <v>1726</v>
      </c>
      <c r="E106" s="49">
        <v>1</v>
      </c>
      <c r="F106" s="49">
        <v>100</v>
      </c>
      <c r="G106" s="49" t="s">
        <v>1708</v>
      </c>
      <c r="H106" s="79">
        <v>100</v>
      </c>
      <c r="I106" s="79" t="s">
        <v>1720</v>
      </c>
      <c r="J106" s="79"/>
      <c r="K106" s="51"/>
      <c r="L106" s="52"/>
    </row>
    <row r="107" spans="1:12" ht="15.5">
      <c r="A107" s="62"/>
      <c r="B107" s="62"/>
      <c r="C107" s="62"/>
      <c r="D107" s="62"/>
      <c r="E107" s="49">
        <v>2</v>
      </c>
      <c r="F107" s="49">
        <v>100</v>
      </c>
      <c r="G107" s="49" t="s">
        <v>1708</v>
      </c>
      <c r="H107" s="62"/>
      <c r="I107" s="62"/>
      <c r="J107" s="62"/>
      <c r="K107" s="51"/>
      <c r="L107" s="52"/>
    </row>
    <row r="108" spans="1:12" ht="15.5">
      <c r="A108" s="79">
        <v>50</v>
      </c>
      <c r="B108" s="79">
        <v>3123150167</v>
      </c>
      <c r="C108" s="80" t="s">
        <v>639</v>
      </c>
      <c r="D108" s="79" t="s">
        <v>1727</v>
      </c>
      <c r="E108" s="49">
        <v>1</v>
      </c>
      <c r="F108" s="49">
        <v>100</v>
      </c>
      <c r="G108" s="49" t="s">
        <v>1708</v>
      </c>
      <c r="H108" s="79">
        <v>99</v>
      </c>
      <c r="I108" s="79" t="s">
        <v>1720</v>
      </c>
      <c r="J108" s="79"/>
      <c r="K108" s="51"/>
      <c r="L108" s="52"/>
    </row>
    <row r="109" spans="1:12" ht="15.5">
      <c r="A109" s="62"/>
      <c r="B109" s="62"/>
      <c r="C109" s="62"/>
      <c r="D109" s="62"/>
      <c r="E109" s="49">
        <v>2</v>
      </c>
      <c r="F109" s="49">
        <v>98</v>
      </c>
      <c r="G109" s="49" t="s">
        <v>1708</v>
      </c>
      <c r="H109" s="62"/>
      <c r="I109" s="62"/>
      <c r="J109" s="62"/>
      <c r="K109" s="51"/>
      <c r="L109" s="52"/>
    </row>
    <row r="110" spans="1:12" ht="15.5">
      <c r="A110" s="79">
        <v>51</v>
      </c>
      <c r="B110" s="79">
        <v>3123150188</v>
      </c>
      <c r="C110" s="80" t="s">
        <v>591</v>
      </c>
      <c r="D110" s="79" t="s">
        <v>1728</v>
      </c>
      <c r="E110" s="49">
        <v>1</v>
      </c>
      <c r="F110" s="49">
        <v>100</v>
      </c>
      <c r="G110" s="49" t="s">
        <v>1708</v>
      </c>
      <c r="H110" s="79">
        <v>100</v>
      </c>
      <c r="I110" s="79" t="s">
        <v>1720</v>
      </c>
      <c r="J110" s="79"/>
      <c r="K110" s="51"/>
      <c r="L110" s="52"/>
    </row>
    <row r="111" spans="1:12" ht="15.5">
      <c r="A111" s="62"/>
      <c r="B111" s="62"/>
      <c r="C111" s="62"/>
      <c r="D111" s="62"/>
      <c r="E111" s="49">
        <v>2</v>
      </c>
      <c r="F111" s="49">
        <v>100</v>
      </c>
      <c r="G111" s="49" t="s">
        <v>1708</v>
      </c>
      <c r="H111" s="62"/>
      <c r="I111" s="62"/>
      <c r="J111" s="62"/>
      <c r="K111" s="51"/>
      <c r="L111" s="52"/>
    </row>
    <row r="112" spans="1:12" ht="15.5">
      <c r="A112" s="79">
        <v>52</v>
      </c>
      <c r="B112" s="79">
        <v>3124150002</v>
      </c>
      <c r="C112" s="80" t="s">
        <v>679</v>
      </c>
      <c r="D112" s="79" t="s">
        <v>1729</v>
      </c>
      <c r="E112" s="49">
        <v>1</v>
      </c>
      <c r="F112" s="49">
        <v>86</v>
      </c>
      <c r="G112" s="49" t="s">
        <v>1711</v>
      </c>
      <c r="H112" s="79">
        <v>90</v>
      </c>
      <c r="I112" s="79" t="s">
        <v>1720</v>
      </c>
      <c r="J112" s="79"/>
      <c r="K112" s="51"/>
      <c r="L112" s="52"/>
    </row>
    <row r="113" spans="1:12" ht="15.5">
      <c r="A113" s="61"/>
      <c r="B113" s="61"/>
      <c r="C113" s="61"/>
      <c r="D113" s="61"/>
      <c r="E113" s="49">
        <v>2</v>
      </c>
      <c r="F113" s="49">
        <v>95</v>
      </c>
      <c r="G113" s="49" t="s">
        <v>1708</v>
      </c>
      <c r="H113" s="61"/>
      <c r="I113" s="61"/>
      <c r="J113" s="61"/>
      <c r="K113" s="51"/>
      <c r="L113" s="52"/>
    </row>
    <row r="114" spans="1:12" ht="15.5">
      <c r="A114" s="62"/>
      <c r="B114" s="62"/>
      <c r="C114" s="62"/>
      <c r="D114" s="62"/>
      <c r="E114" s="49">
        <v>3</v>
      </c>
      <c r="F114" s="49">
        <v>89</v>
      </c>
      <c r="G114" s="49" t="s">
        <v>1711</v>
      </c>
      <c r="H114" s="62"/>
      <c r="I114" s="62"/>
      <c r="J114" s="62"/>
      <c r="K114" s="51"/>
      <c r="L114" s="52"/>
    </row>
    <row r="115" spans="1:12" ht="15.5">
      <c r="A115" s="79">
        <v>53</v>
      </c>
      <c r="B115" s="79">
        <v>3124150081</v>
      </c>
      <c r="C115" s="80" t="s">
        <v>687</v>
      </c>
      <c r="D115" s="79" t="s">
        <v>1729</v>
      </c>
      <c r="E115" s="49">
        <v>1</v>
      </c>
      <c r="F115" s="49">
        <v>93</v>
      </c>
      <c r="G115" s="49" t="s">
        <v>1708</v>
      </c>
      <c r="H115" s="79">
        <v>96.7</v>
      </c>
      <c r="I115" s="79" t="s">
        <v>1720</v>
      </c>
      <c r="J115" s="49"/>
      <c r="K115" s="51"/>
      <c r="L115" s="52"/>
    </row>
    <row r="116" spans="1:12" ht="15.5">
      <c r="A116" s="61"/>
      <c r="B116" s="61"/>
      <c r="C116" s="61"/>
      <c r="D116" s="61"/>
      <c r="E116" s="49">
        <v>2</v>
      </c>
      <c r="F116" s="49">
        <v>100</v>
      </c>
      <c r="G116" s="49" t="s">
        <v>1708</v>
      </c>
      <c r="H116" s="61"/>
      <c r="I116" s="61"/>
      <c r="J116" s="49"/>
      <c r="K116" s="51"/>
      <c r="L116" s="52"/>
    </row>
    <row r="117" spans="1:12" ht="15.5">
      <c r="A117" s="62"/>
      <c r="B117" s="62"/>
      <c r="C117" s="62"/>
      <c r="D117" s="62"/>
      <c r="E117" s="49">
        <v>3</v>
      </c>
      <c r="F117" s="49">
        <v>97</v>
      </c>
      <c r="G117" s="49" t="s">
        <v>1708</v>
      </c>
      <c r="H117" s="62"/>
      <c r="I117" s="62"/>
      <c r="J117" s="49"/>
      <c r="K117" s="51"/>
      <c r="L117" s="52"/>
    </row>
    <row r="118" spans="1:12" ht="15.5">
      <c r="A118" s="79">
        <v>54</v>
      </c>
      <c r="B118" s="79">
        <v>3124150119</v>
      </c>
      <c r="C118" s="80" t="s">
        <v>695</v>
      </c>
      <c r="D118" s="79" t="s">
        <v>1730</v>
      </c>
      <c r="E118" s="49">
        <v>1</v>
      </c>
      <c r="F118" s="49">
        <v>97</v>
      </c>
      <c r="G118" s="49" t="s">
        <v>1708</v>
      </c>
      <c r="H118" s="79">
        <v>94.7</v>
      </c>
      <c r="I118" s="79" t="s">
        <v>1720</v>
      </c>
      <c r="J118" s="79"/>
      <c r="K118" s="51"/>
      <c r="L118" s="52"/>
    </row>
    <row r="119" spans="1:12" ht="15.5">
      <c r="A119" s="61"/>
      <c r="B119" s="61"/>
      <c r="C119" s="61"/>
      <c r="D119" s="61"/>
      <c r="E119" s="49">
        <v>2</v>
      </c>
      <c r="F119" s="49">
        <v>100</v>
      </c>
      <c r="G119" s="49" t="s">
        <v>1708</v>
      </c>
      <c r="H119" s="61"/>
      <c r="I119" s="61"/>
      <c r="J119" s="61"/>
      <c r="K119" s="51"/>
      <c r="L119" s="52"/>
    </row>
    <row r="120" spans="1:12" ht="15.5">
      <c r="A120" s="62"/>
      <c r="B120" s="62"/>
      <c r="C120" s="62"/>
      <c r="D120" s="62"/>
      <c r="E120" s="49">
        <v>3</v>
      </c>
      <c r="F120" s="49">
        <v>87</v>
      </c>
      <c r="G120" s="49" t="s">
        <v>1711</v>
      </c>
      <c r="H120" s="62"/>
      <c r="I120" s="62"/>
      <c r="J120" s="62"/>
      <c r="K120" s="51"/>
      <c r="L120" s="52"/>
    </row>
    <row r="121" spans="1:12" ht="15.5">
      <c r="A121" s="79">
        <v>55</v>
      </c>
      <c r="B121" s="79">
        <v>3124150137</v>
      </c>
      <c r="C121" s="80" t="s">
        <v>703</v>
      </c>
      <c r="D121" s="79" t="s">
        <v>1730</v>
      </c>
      <c r="E121" s="49">
        <v>1</v>
      </c>
      <c r="F121" s="49">
        <v>97</v>
      </c>
      <c r="G121" s="49" t="s">
        <v>1708</v>
      </c>
      <c r="H121" s="79">
        <v>96</v>
      </c>
      <c r="I121" s="79" t="s">
        <v>1720</v>
      </c>
      <c r="J121" s="79"/>
      <c r="K121" s="51"/>
      <c r="L121" s="52"/>
    </row>
    <row r="122" spans="1:12" ht="15.5">
      <c r="A122" s="61"/>
      <c r="B122" s="61"/>
      <c r="C122" s="61"/>
      <c r="D122" s="61"/>
      <c r="E122" s="49">
        <v>2</v>
      </c>
      <c r="F122" s="49">
        <v>100</v>
      </c>
      <c r="G122" s="49" t="s">
        <v>1708</v>
      </c>
      <c r="H122" s="61"/>
      <c r="I122" s="61"/>
      <c r="J122" s="61"/>
      <c r="K122" s="51"/>
      <c r="L122" s="52"/>
    </row>
    <row r="123" spans="1:12" ht="15.5">
      <c r="A123" s="62"/>
      <c r="B123" s="62"/>
      <c r="C123" s="62"/>
      <c r="D123" s="62"/>
      <c r="E123" s="49">
        <v>3</v>
      </c>
      <c r="F123" s="49">
        <v>91</v>
      </c>
      <c r="G123" s="49" t="s">
        <v>1708</v>
      </c>
      <c r="H123" s="62"/>
      <c r="I123" s="62"/>
      <c r="J123" s="62"/>
      <c r="K123" s="51"/>
      <c r="L123" s="52"/>
    </row>
    <row r="124" spans="1:12" ht="15.5">
      <c r="A124" s="79">
        <v>56</v>
      </c>
      <c r="B124" s="79">
        <v>3124150143</v>
      </c>
      <c r="C124" s="80" t="s">
        <v>711</v>
      </c>
      <c r="D124" s="79" t="s">
        <v>1730</v>
      </c>
      <c r="E124" s="49">
        <v>1</v>
      </c>
      <c r="F124" s="49">
        <v>83</v>
      </c>
      <c r="G124" s="49" t="s">
        <v>1711</v>
      </c>
      <c r="H124" s="79">
        <v>85.7</v>
      </c>
      <c r="I124" s="79" t="s">
        <v>1720</v>
      </c>
      <c r="J124" s="79"/>
      <c r="K124" s="51"/>
      <c r="L124" s="52"/>
    </row>
    <row r="125" spans="1:12" ht="15.5">
      <c r="A125" s="61"/>
      <c r="B125" s="61"/>
      <c r="C125" s="61"/>
      <c r="D125" s="61"/>
      <c r="E125" s="49">
        <v>2</v>
      </c>
      <c r="F125" s="49">
        <v>87</v>
      </c>
      <c r="G125" s="49" t="s">
        <v>1711</v>
      </c>
      <c r="H125" s="61"/>
      <c r="I125" s="61"/>
      <c r="J125" s="61"/>
      <c r="K125" s="51"/>
      <c r="L125" s="52"/>
    </row>
    <row r="126" spans="1:12" ht="15.5">
      <c r="A126" s="62"/>
      <c r="B126" s="62"/>
      <c r="C126" s="62"/>
      <c r="D126" s="62"/>
      <c r="E126" s="49">
        <v>3</v>
      </c>
      <c r="F126" s="49">
        <v>87</v>
      </c>
      <c r="G126" s="49" t="s">
        <v>1711</v>
      </c>
      <c r="H126" s="62"/>
      <c r="I126" s="62"/>
      <c r="J126" s="62"/>
      <c r="K126" s="51"/>
      <c r="L126" s="52"/>
    </row>
    <row r="127" spans="1:12" ht="15.5">
      <c r="A127" s="79">
        <v>57</v>
      </c>
      <c r="B127" s="79">
        <v>3124150172</v>
      </c>
      <c r="C127" s="80" t="s">
        <v>671</v>
      </c>
      <c r="D127" s="79" t="s">
        <v>1731</v>
      </c>
      <c r="E127" s="49">
        <v>1</v>
      </c>
      <c r="F127" s="49">
        <v>64</v>
      </c>
      <c r="G127" s="49" t="s">
        <v>1732</v>
      </c>
      <c r="H127" s="79">
        <v>83.3</v>
      </c>
      <c r="I127" s="79" t="s">
        <v>1720</v>
      </c>
      <c r="J127" s="79"/>
      <c r="K127" s="51"/>
      <c r="L127" s="52"/>
    </row>
    <row r="128" spans="1:12" ht="15.5">
      <c r="A128" s="61"/>
      <c r="B128" s="61"/>
      <c r="C128" s="61"/>
      <c r="D128" s="61"/>
      <c r="E128" s="49">
        <v>2</v>
      </c>
      <c r="F128" s="49">
        <v>88</v>
      </c>
      <c r="G128" s="49" t="s">
        <v>1711</v>
      </c>
      <c r="H128" s="61"/>
      <c r="I128" s="61"/>
      <c r="J128" s="61"/>
      <c r="K128" s="51"/>
      <c r="L128" s="52"/>
    </row>
    <row r="129" spans="1:12" ht="15.5">
      <c r="A129" s="62"/>
      <c r="B129" s="62"/>
      <c r="C129" s="62"/>
      <c r="D129" s="62"/>
      <c r="E129" s="49">
        <v>3</v>
      </c>
      <c r="F129" s="49">
        <v>98</v>
      </c>
      <c r="G129" s="49" t="s">
        <v>1708</v>
      </c>
      <c r="H129" s="62"/>
      <c r="I129" s="62"/>
      <c r="J129" s="62"/>
      <c r="K129" s="51"/>
      <c r="L129" s="52"/>
    </row>
    <row r="130" spans="1:12" ht="15.5">
      <c r="A130" s="79">
        <v>58</v>
      </c>
      <c r="B130" s="79">
        <v>3121160003</v>
      </c>
      <c r="C130" s="80" t="s">
        <v>1356</v>
      </c>
      <c r="D130" s="79" t="s">
        <v>1733</v>
      </c>
      <c r="E130" s="49">
        <v>1</v>
      </c>
      <c r="F130" s="49">
        <v>91</v>
      </c>
      <c r="G130" s="49" t="s">
        <v>1708</v>
      </c>
      <c r="H130" s="79">
        <v>95.5</v>
      </c>
      <c r="I130" s="79" t="s">
        <v>1734</v>
      </c>
      <c r="J130" s="79"/>
      <c r="K130" s="51"/>
      <c r="L130" s="52"/>
    </row>
    <row r="131" spans="1:12" ht="15.5">
      <c r="A131" s="62"/>
      <c r="B131" s="62"/>
      <c r="C131" s="62"/>
      <c r="D131" s="62"/>
      <c r="E131" s="49">
        <v>2</v>
      </c>
      <c r="F131" s="49">
        <v>100</v>
      </c>
      <c r="G131" s="49" t="s">
        <v>1708</v>
      </c>
      <c r="H131" s="62"/>
      <c r="I131" s="62"/>
      <c r="J131" s="62"/>
      <c r="K131" s="51"/>
      <c r="L131" s="52"/>
    </row>
    <row r="132" spans="1:12" ht="15.5">
      <c r="A132" s="79">
        <v>59</v>
      </c>
      <c r="B132" s="79">
        <v>3121220037</v>
      </c>
      <c r="C132" s="80" t="s">
        <v>1401</v>
      </c>
      <c r="D132" s="79" t="s">
        <v>1735</v>
      </c>
      <c r="E132" s="49">
        <v>1</v>
      </c>
      <c r="F132" s="49">
        <v>100</v>
      </c>
      <c r="G132" s="49" t="s">
        <v>1708</v>
      </c>
      <c r="H132" s="79">
        <v>100</v>
      </c>
      <c r="I132" s="79" t="s">
        <v>1734</v>
      </c>
      <c r="J132" s="79"/>
      <c r="K132" s="51"/>
      <c r="L132" s="52"/>
    </row>
    <row r="133" spans="1:12" ht="15.5">
      <c r="A133" s="62"/>
      <c r="B133" s="62"/>
      <c r="C133" s="62"/>
      <c r="D133" s="62"/>
      <c r="E133" s="49">
        <v>2</v>
      </c>
      <c r="F133" s="49">
        <v>100</v>
      </c>
      <c r="G133" s="49" t="s">
        <v>1708</v>
      </c>
      <c r="H133" s="62"/>
      <c r="I133" s="62"/>
      <c r="J133" s="62"/>
      <c r="K133" s="51"/>
      <c r="L133" s="52"/>
    </row>
    <row r="134" spans="1:12" ht="15.5">
      <c r="A134" s="79">
        <v>60</v>
      </c>
      <c r="B134" s="79">
        <v>3121220044</v>
      </c>
      <c r="C134" s="80" t="s">
        <v>1367</v>
      </c>
      <c r="D134" s="79" t="s">
        <v>1735</v>
      </c>
      <c r="E134" s="49">
        <v>1</v>
      </c>
      <c r="F134" s="49">
        <v>100</v>
      </c>
      <c r="G134" s="49" t="s">
        <v>1708</v>
      </c>
      <c r="H134" s="79">
        <v>100</v>
      </c>
      <c r="I134" s="79" t="s">
        <v>1734</v>
      </c>
      <c r="J134" s="79"/>
      <c r="K134" s="51"/>
      <c r="L134" s="52"/>
    </row>
    <row r="135" spans="1:12" ht="15.5">
      <c r="A135" s="62"/>
      <c r="B135" s="62"/>
      <c r="C135" s="62"/>
      <c r="D135" s="62"/>
      <c r="E135" s="49">
        <v>2</v>
      </c>
      <c r="F135" s="49">
        <v>100</v>
      </c>
      <c r="G135" s="49" t="s">
        <v>1708</v>
      </c>
      <c r="H135" s="62"/>
      <c r="I135" s="62"/>
      <c r="J135" s="62"/>
      <c r="K135" s="51"/>
      <c r="L135" s="52"/>
    </row>
    <row r="136" spans="1:12" ht="15.5">
      <c r="A136" s="79">
        <v>61</v>
      </c>
      <c r="B136" s="79">
        <v>3122090004</v>
      </c>
      <c r="C136" s="80" t="s">
        <v>1361</v>
      </c>
      <c r="D136" s="79" t="s">
        <v>1736</v>
      </c>
      <c r="E136" s="49">
        <v>1</v>
      </c>
      <c r="F136" s="49">
        <v>100</v>
      </c>
      <c r="G136" s="49" t="s">
        <v>1708</v>
      </c>
      <c r="H136" s="79">
        <v>93.5</v>
      </c>
      <c r="I136" s="79" t="s">
        <v>1734</v>
      </c>
      <c r="J136" s="79"/>
      <c r="K136" s="51"/>
      <c r="L136" s="52"/>
    </row>
    <row r="137" spans="1:12" ht="15.5">
      <c r="A137" s="62"/>
      <c r="B137" s="62"/>
      <c r="C137" s="62"/>
      <c r="D137" s="62"/>
      <c r="E137" s="49">
        <v>2</v>
      </c>
      <c r="F137" s="49">
        <v>87</v>
      </c>
      <c r="G137" s="49" t="s">
        <v>1711</v>
      </c>
      <c r="H137" s="62"/>
      <c r="I137" s="62"/>
      <c r="J137" s="62"/>
      <c r="K137" s="51"/>
      <c r="L137" s="52"/>
    </row>
    <row r="138" spans="1:12" ht="15.5">
      <c r="A138" s="79">
        <v>62</v>
      </c>
      <c r="B138" s="79">
        <v>3122090011</v>
      </c>
      <c r="C138" s="80" t="s">
        <v>1346</v>
      </c>
      <c r="D138" s="79" t="s">
        <v>1736</v>
      </c>
      <c r="E138" s="49">
        <v>1</v>
      </c>
      <c r="F138" s="49">
        <v>100</v>
      </c>
      <c r="G138" s="49" t="s">
        <v>1708</v>
      </c>
      <c r="H138" s="79">
        <v>96</v>
      </c>
      <c r="I138" s="79" t="s">
        <v>1734</v>
      </c>
      <c r="J138" s="79"/>
      <c r="K138" s="51"/>
      <c r="L138" s="52"/>
    </row>
    <row r="139" spans="1:12" ht="15.5">
      <c r="A139" s="62"/>
      <c r="B139" s="62"/>
      <c r="C139" s="62"/>
      <c r="D139" s="62"/>
      <c r="E139" s="49">
        <v>2</v>
      </c>
      <c r="F139" s="49">
        <v>92</v>
      </c>
      <c r="G139" s="49" t="s">
        <v>1708</v>
      </c>
      <c r="H139" s="62"/>
      <c r="I139" s="62"/>
      <c r="J139" s="62"/>
      <c r="K139" s="51"/>
      <c r="L139" s="52"/>
    </row>
    <row r="140" spans="1:12" ht="15.5">
      <c r="A140" s="79">
        <v>63</v>
      </c>
      <c r="B140" s="79">
        <v>3122090015</v>
      </c>
      <c r="C140" s="80" t="s">
        <v>1413</v>
      </c>
      <c r="D140" s="49" t="s">
        <v>1736</v>
      </c>
      <c r="E140" s="49">
        <v>1</v>
      </c>
      <c r="F140" s="49">
        <v>100</v>
      </c>
      <c r="G140" s="49" t="s">
        <v>1708</v>
      </c>
      <c r="H140" s="79">
        <v>100</v>
      </c>
      <c r="I140" s="79" t="s">
        <v>1734</v>
      </c>
      <c r="J140" s="79"/>
      <c r="K140" s="51"/>
      <c r="L140" s="52"/>
    </row>
    <row r="141" spans="1:12" ht="15.5">
      <c r="A141" s="62"/>
      <c r="B141" s="62"/>
      <c r="C141" s="62"/>
      <c r="D141" s="49"/>
      <c r="E141" s="49">
        <v>2</v>
      </c>
      <c r="F141" s="49">
        <v>100</v>
      </c>
      <c r="G141" s="49" t="s">
        <v>1708</v>
      </c>
      <c r="H141" s="62"/>
      <c r="I141" s="62"/>
      <c r="J141" s="62"/>
      <c r="K141" s="51"/>
      <c r="L141" s="52"/>
    </row>
    <row r="142" spans="1:12" ht="15.5">
      <c r="A142" s="79">
        <v>64</v>
      </c>
      <c r="B142" s="79">
        <v>3122090022</v>
      </c>
      <c r="C142" s="80" t="s">
        <v>1415</v>
      </c>
      <c r="D142" s="79" t="s">
        <v>1736</v>
      </c>
      <c r="E142" s="49">
        <v>1</v>
      </c>
      <c r="F142" s="49">
        <v>100</v>
      </c>
      <c r="G142" s="49" t="s">
        <v>1708</v>
      </c>
      <c r="H142" s="79">
        <v>100</v>
      </c>
      <c r="I142" s="79" t="s">
        <v>1734</v>
      </c>
      <c r="J142" s="79"/>
      <c r="K142" s="51"/>
      <c r="L142" s="52"/>
    </row>
    <row r="143" spans="1:12" ht="15.5">
      <c r="A143" s="62"/>
      <c r="B143" s="62"/>
      <c r="C143" s="62"/>
      <c r="D143" s="62"/>
      <c r="E143" s="49">
        <v>2</v>
      </c>
      <c r="F143" s="49">
        <v>100</v>
      </c>
      <c r="G143" s="49" t="s">
        <v>1708</v>
      </c>
      <c r="H143" s="62"/>
      <c r="I143" s="62"/>
      <c r="J143" s="62"/>
      <c r="K143" s="51"/>
      <c r="L143" s="52"/>
    </row>
    <row r="144" spans="1:12" ht="15.5">
      <c r="A144" s="79">
        <v>65</v>
      </c>
      <c r="B144" s="79">
        <v>3122100001</v>
      </c>
      <c r="C144" s="80" t="s">
        <v>1407</v>
      </c>
      <c r="D144" s="79" t="s">
        <v>1737</v>
      </c>
      <c r="E144" s="49">
        <v>1</v>
      </c>
      <c r="F144" s="49">
        <v>100</v>
      </c>
      <c r="G144" s="49" t="s">
        <v>1708</v>
      </c>
      <c r="H144" s="79">
        <v>100</v>
      </c>
      <c r="I144" s="79" t="s">
        <v>1734</v>
      </c>
      <c r="J144" s="79"/>
      <c r="K144" s="51"/>
      <c r="L144" s="52"/>
    </row>
    <row r="145" spans="1:12" ht="15.5">
      <c r="A145" s="62"/>
      <c r="B145" s="62"/>
      <c r="C145" s="62"/>
      <c r="D145" s="62"/>
      <c r="E145" s="49">
        <v>2</v>
      </c>
      <c r="F145" s="49">
        <v>100</v>
      </c>
      <c r="G145" s="49" t="s">
        <v>1708</v>
      </c>
      <c r="H145" s="62"/>
      <c r="I145" s="62"/>
      <c r="J145" s="62"/>
      <c r="K145" s="51"/>
      <c r="L145" s="52"/>
    </row>
    <row r="146" spans="1:12" ht="15.5">
      <c r="A146" s="79">
        <v>66</v>
      </c>
      <c r="B146" s="79">
        <v>3122100013</v>
      </c>
      <c r="C146" s="80" t="s">
        <v>1738</v>
      </c>
      <c r="D146" s="79" t="s">
        <v>1737</v>
      </c>
      <c r="E146" s="49">
        <v>1</v>
      </c>
      <c r="F146" s="49">
        <v>100</v>
      </c>
      <c r="G146" s="49" t="s">
        <v>1708</v>
      </c>
      <c r="H146" s="79">
        <v>100</v>
      </c>
      <c r="I146" s="79" t="s">
        <v>1734</v>
      </c>
      <c r="J146" s="79"/>
      <c r="K146" s="51"/>
      <c r="L146" s="52"/>
    </row>
    <row r="147" spans="1:12" ht="15.5">
      <c r="A147" s="62"/>
      <c r="B147" s="62"/>
      <c r="C147" s="62"/>
      <c r="D147" s="62"/>
      <c r="E147" s="49">
        <v>2</v>
      </c>
      <c r="F147" s="49">
        <v>100</v>
      </c>
      <c r="G147" s="49" t="s">
        <v>1708</v>
      </c>
      <c r="H147" s="62"/>
      <c r="I147" s="62"/>
      <c r="J147" s="62"/>
      <c r="K147" s="51"/>
      <c r="L147" s="52"/>
    </row>
    <row r="148" spans="1:12" ht="15.5">
      <c r="A148" s="79">
        <v>67</v>
      </c>
      <c r="B148" s="79">
        <v>3122390043</v>
      </c>
      <c r="C148" s="80" t="s">
        <v>1382</v>
      </c>
      <c r="D148" s="79" t="s">
        <v>1739</v>
      </c>
      <c r="E148" s="49">
        <v>1</v>
      </c>
      <c r="F148" s="49">
        <v>100</v>
      </c>
      <c r="G148" s="49" t="s">
        <v>1708</v>
      </c>
      <c r="H148" s="79">
        <v>100</v>
      </c>
      <c r="I148" s="79" t="s">
        <v>1734</v>
      </c>
      <c r="J148" s="79"/>
      <c r="K148" s="51"/>
      <c r="L148" s="52"/>
    </row>
    <row r="149" spans="1:12" ht="15.5">
      <c r="A149" s="62"/>
      <c r="B149" s="62"/>
      <c r="C149" s="62"/>
      <c r="D149" s="62"/>
      <c r="E149" s="49">
        <v>2</v>
      </c>
      <c r="F149" s="49">
        <v>100</v>
      </c>
      <c r="G149" s="49" t="s">
        <v>1708</v>
      </c>
      <c r="H149" s="62"/>
      <c r="I149" s="62"/>
      <c r="J149" s="62"/>
      <c r="K149" s="51"/>
      <c r="L149" s="52"/>
    </row>
    <row r="150" spans="1:12" ht="15.5">
      <c r="A150" s="79">
        <v>68</v>
      </c>
      <c r="B150" s="79">
        <v>3122390067</v>
      </c>
      <c r="C150" s="80" t="s">
        <v>1376</v>
      </c>
      <c r="D150" s="79" t="s">
        <v>1739</v>
      </c>
      <c r="E150" s="49">
        <v>1</v>
      </c>
      <c r="F150" s="49">
        <v>97</v>
      </c>
      <c r="G150" s="49" t="s">
        <v>1708</v>
      </c>
      <c r="H150" s="79">
        <v>88.5</v>
      </c>
      <c r="I150" s="79" t="s">
        <v>1734</v>
      </c>
      <c r="J150" s="79"/>
      <c r="K150" s="51"/>
      <c r="L150" s="52"/>
    </row>
    <row r="151" spans="1:12" ht="15.5">
      <c r="A151" s="62"/>
      <c r="B151" s="62"/>
      <c r="C151" s="62"/>
      <c r="D151" s="62"/>
      <c r="E151" s="49">
        <v>2</v>
      </c>
      <c r="F151" s="49">
        <v>80</v>
      </c>
      <c r="G151" s="49" t="s">
        <v>1711</v>
      </c>
      <c r="H151" s="62"/>
      <c r="I151" s="62"/>
      <c r="J151" s="62"/>
      <c r="K151" s="51"/>
      <c r="L151" s="52"/>
    </row>
    <row r="152" spans="1:12" ht="15.5">
      <c r="A152" s="79">
        <v>69</v>
      </c>
      <c r="B152" s="79">
        <v>3123090002</v>
      </c>
      <c r="C152" s="80" t="s">
        <v>1354</v>
      </c>
      <c r="D152" s="79" t="s">
        <v>1740</v>
      </c>
      <c r="E152" s="49">
        <v>1</v>
      </c>
      <c r="F152" s="49">
        <v>91</v>
      </c>
      <c r="G152" s="49" t="s">
        <v>1708</v>
      </c>
      <c r="H152" s="79">
        <v>94.5</v>
      </c>
      <c r="I152" s="79" t="s">
        <v>1734</v>
      </c>
      <c r="J152" s="79"/>
      <c r="K152" s="51"/>
      <c r="L152" s="52"/>
    </row>
    <row r="153" spans="1:12" ht="15.5">
      <c r="A153" s="62"/>
      <c r="B153" s="62"/>
      <c r="C153" s="62"/>
      <c r="D153" s="62"/>
      <c r="E153" s="49">
        <v>2</v>
      </c>
      <c r="F153" s="49">
        <v>98</v>
      </c>
      <c r="G153" s="49" t="s">
        <v>1708</v>
      </c>
      <c r="H153" s="62"/>
      <c r="I153" s="62"/>
      <c r="J153" s="62"/>
      <c r="K153" s="51"/>
      <c r="L153" s="52"/>
    </row>
    <row r="154" spans="1:12" ht="15.5">
      <c r="A154" s="79">
        <v>70</v>
      </c>
      <c r="B154" s="79">
        <v>3123090007</v>
      </c>
      <c r="C154" s="80" t="s">
        <v>1395</v>
      </c>
      <c r="D154" s="79" t="s">
        <v>1740</v>
      </c>
      <c r="E154" s="49">
        <v>1</v>
      </c>
      <c r="F154" s="49">
        <v>100</v>
      </c>
      <c r="G154" s="49" t="s">
        <v>1708</v>
      </c>
      <c r="H154" s="79">
        <v>100</v>
      </c>
      <c r="I154" s="79" t="s">
        <v>1734</v>
      </c>
      <c r="J154" s="79"/>
      <c r="K154" s="51"/>
      <c r="L154" s="52"/>
    </row>
    <row r="155" spans="1:12" ht="15.5">
      <c r="A155" s="62"/>
      <c r="B155" s="62"/>
      <c r="C155" s="62"/>
      <c r="D155" s="62"/>
      <c r="E155" s="49">
        <v>2</v>
      </c>
      <c r="F155" s="49">
        <v>100</v>
      </c>
      <c r="G155" s="49" t="s">
        <v>1708</v>
      </c>
      <c r="H155" s="62"/>
      <c r="I155" s="62"/>
      <c r="J155" s="62"/>
      <c r="K155" s="51"/>
      <c r="L155" s="52"/>
    </row>
    <row r="156" spans="1:12" ht="15.5">
      <c r="A156" s="79">
        <v>71</v>
      </c>
      <c r="B156" s="79">
        <v>3123090016</v>
      </c>
      <c r="C156" s="80" t="s">
        <v>1374</v>
      </c>
      <c r="D156" s="79" t="s">
        <v>1740</v>
      </c>
      <c r="E156" s="49">
        <v>1</v>
      </c>
      <c r="F156" s="49">
        <v>94</v>
      </c>
      <c r="G156" s="49" t="s">
        <v>1708</v>
      </c>
      <c r="H156" s="79">
        <v>96</v>
      </c>
      <c r="I156" s="79" t="s">
        <v>1734</v>
      </c>
      <c r="J156" s="79"/>
      <c r="K156" s="51"/>
      <c r="L156" s="52"/>
    </row>
    <row r="157" spans="1:12" ht="15.5">
      <c r="A157" s="62"/>
      <c r="B157" s="62"/>
      <c r="C157" s="62"/>
      <c r="D157" s="62"/>
      <c r="E157" s="49">
        <v>2</v>
      </c>
      <c r="F157" s="49">
        <v>98</v>
      </c>
      <c r="G157" s="49" t="s">
        <v>1708</v>
      </c>
      <c r="H157" s="62"/>
      <c r="I157" s="62"/>
      <c r="J157" s="62"/>
      <c r="K157" s="51"/>
      <c r="L157" s="52"/>
    </row>
    <row r="158" spans="1:12" ht="15.5">
      <c r="A158" s="79">
        <v>72</v>
      </c>
      <c r="B158" s="79">
        <v>3123090048</v>
      </c>
      <c r="C158" s="80" t="s">
        <v>1394</v>
      </c>
      <c r="D158" s="79" t="s">
        <v>1740</v>
      </c>
      <c r="E158" s="49">
        <v>1</v>
      </c>
      <c r="F158" s="49">
        <v>97</v>
      </c>
      <c r="G158" s="49" t="s">
        <v>1708</v>
      </c>
      <c r="H158" s="79">
        <v>98.5</v>
      </c>
      <c r="I158" s="79" t="s">
        <v>1734</v>
      </c>
      <c r="J158" s="79"/>
      <c r="K158" s="51"/>
      <c r="L158" s="52"/>
    </row>
    <row r="159" spans="1:12" ht="15.5">
      <c r="A159" s="62"/>
      <c r="B159" s="62"/>
      <c r="C159" s="62"/>
      <c r="D159" s="62"/>
      <c r="E159" s="49">
        <v>2</v>
      </c>
      <c r="F159" s="49">
        <v>100</v>
      </c>
      <c r="G159" s="49" t="s">
        <v>1708</v>
      </c>
      <c r="H159" s="62"/>
      <c r="I159" s="62"/>
      <c r="J159" s="62"/>
      <c r="K159" s="51"/>
      <c r="L159" s="52"/>
    </row>
    <row r="160" spans="1:12" ht="15.5">
      <c r="A160" s="79">
        <v>73</v>
      </c>
      <c r="B160" s="79">
        <v>3123100001</v>
      </c>
      <c r="C160" s="80" t="s">
        <v>1741</v>
      </c>
      <c r="D160" s="79" t="s">
        <v>1742</v>
      </c>
      <c r="E160" s="49">
        <v>1</v>
      </c>
      <c r="F160" s="49">
        <v>99</v>
      </c>
      <c r="G160" s="49" t="s">
        <v>1708</v>
      </c>
      <c r="H160" s="79">
        <v>94.5</v>
      </c>
      <c r="I160" s="79" t="s">
        <v>1734</v>
      </c>
      <c r="J160" s="79"/>
      <c r="K160" s="51"/>
      <c r="L160" s="52"/>
    </row>
    <row r="161" spans="1:12" ht="15.5">
      <c r="A161" s="62"/>
      <c r="B161" s="62"/>
      <c r="C161" s="62"/>
      <c r="D161" s="62"/>
      <c r="E161" s="49">
        <v>2</v>
      </c>
      <c r="F161" s="49">
        <v>90</v>
      </c>
      <c r="G161" s="49" t="s">
        <v>1708</v>
      </c>
      <c r="H161" s="62"/>
      <c r="I161" s="62"/>
      <c r="J161" s="62"/>
      <c r="K161" s="51"/>
      <c r="L161" s="52"/>
    </row>
    <row r="162" spans="1:12" ht="15.5">
      <c r="A162" s="79">
        <v>74</v>
      </c>
      <c r="B162" s="79">
        <v>3123100002</v>
      </c>
      <c r="C162" s="80" t="s">
        <v>1388</v>
      </c>
      <c r="D162" s="79" t="s">
        <v>1742</v>
      </c>
      <c r="E162" s="49">
        <v>1</v>
      </c>
      <c r="F162" s="49">
        <v>100</v>
      </c>
      <c r="G162" s="49" t="s">
        <v>1708</v>
      </c>
      <c r="H162" s="79">
        <v>100</v>
      </c>
      <c r="I162" s="79" t="s">
        <v>1734</v>
      </c>
      <c r="J162" s="79"/>
      <c r="K162" s="51"/>
      <c r="L162" s="52"/>
    </row>
    <row r="163" spans="1:12" ht="15.5">
      <c r="A163" s="62"/>
      <c r="B163" s="62"/>
      <c r="C163" s="62"/>
      <c r="D163" s="62"/>
      <c r="E163" s="49">
        <v>2</v>
      </c>
      <c r="F163" s="49">
        <v>100</v>
      </c>
      <c r="G163" s="49" t="s">
        <v>1708</v>
      </c>
      <c r="H163" s="62"/>
      <c r="I163" s="62"/>
      <c r="J163" s="62"/>
      <c r="K163" s="51"/>
      <c r="L163" s="52"/>
    </row>
    <row r="164" spans="1:12" ht="15.5">
      <c r="A164" s="79">
        <v>75</v>
      </c>
      <c r="B164" s="79">
        <v>3122430014</v>
      </c>
      <c r="C164" s="80" t="s">
        <v>147</v>
      </c>
      <c r="D164" s="79" t="s">
        <v>1743</v>
      </c>
      <c r="E164" s="49">
        <v>1</v>
      </c>
      <c r="F164" s="49">
        <v>100</v>
      </c>
      <c r="G164" s="49" t="s">
        <v>1708</v>
      </c>
      <c r="H164" s="79">
        <v>100</v>
      </c>
      <c r="I164" s="79" t="s">
        <v>1744</v>
      </c>
      <c r="J164" s="79"/>
      <c r="K164" s="51"/>
      <c r="L164" s="52"/>
    </row>
    <row r="165" spans="1:12" ht="15.5">
      <c r="A165" s="62"/>
      <c r="B165" s="62"/>
      <c r="C165" s="62"/>
      <c r="D165" s="62"/>
      <c r="E165" s="49">
        <v>2</v>
      </c>
      <c r="F165" s="49">
        <v>100</v>
      </c>
      <c r="G165" s="49" t="s">
        <v>1708</v>
      </c>
      <c r="H165" s="62"/>
      <c r="I165" s="62"/>
      <c r="J165" s="62"/>
      <c r="K165" s="51"/>
      <c r="L165" s="52"/>
    </row>
    <row r="166" spans="1:12" ht="15.5">
      <c r="A166" s="79">
        <v>76</v>
      </c>
      <c r="B166" s="79">
        <v>3122430044</v>
      </c>
      <c r="C166" s="80" t="s">
        <v>163</v>
      </c>
      <c r="D166" s="79" t="s">
        <v>1745</v>
      </c>
      <c r="E166" s="49">
        <v>1</v>
      </c>
      <c r="F166" s="49">
        <v>98</v>
      </c>
      <c r="G166" s="49" t="s">
        <v>1708</v>
      </c>
      <c r="H166" s="79">
        <v>94.5</v>
      </c>
      <c r="I166" s="79" t="s">
        <v>1744</v>
      </c>
      <c r="J166" s="79"/>
      <c r="K166" s="51"/>
      <c r="L166" s="52"/>
    </row>
    <row r="167" spans="1:12" ht="15.5">
      <c r="A167" s="62"/>
      <c r="B167" s="62"/>
      <c r="C167" s="62"/>
      <c r="D167" s="62"/>
      <c r="E167" s="49">
        <v>2</v>
      </c>
      <c r="F167" s="49">
        <v>91</v>
      </c>
      <c r="G167" s="49" t="s">
        <v>1708</v>
      </c>
      <c r="H167" s="62"/>
      <c r="I167" s="62"/>
      <c r="J167" s="62"/>
      <c r="K167" s="51"/>
      <c r="L167" s="52"/>
    </row>
    <row r="168" spans="1:12" ht="15.5">
      <c r="A168" s="79">
        <v>77</v>
      </c>
      <c r="B168" s="79">
        <v>3122430104</v>
      </c>
      <c r="C168" s="80" t="s">
        <v>88</v>
      </c>
      <c r="D168" s="79" t="s">
        <v>1743</v>
      </c>
      <c r="E168" s="49">
        <v>1</v>
      </c>
      <c r="F168" s="49">
        <v>100</v>
      </c>
      <c r="G168" s="49" t="s">
        <v>1708</v>
      </c>
      <c r="H168" s="79">
        <v>100</v>
      </c>
      <c r="I168" s="79" t="s">
        <v>1744</v>
      </c>
      <c r="J168" s="79"/>
      <c r="K168" s="51"/>
      <c r="L168" s="52"/>
    </row>
    <row r="169" spans="1:12" ht="15.5">
      <c r="A169" s="62"/>
      <c r="B169" s="62"/>
      <c r="C169" s="62"/>
      <c r="D169" s="62"/>
      <c r="E169" s="49">
        <v>2</v>
      </c>
      <c r="F169" s="49">
        <v>100</v>
      </c>
      <c r="G169" s="49" t="s">
        <v>1708</v>
      </c>
      <c r="H169" s="62"/>
      <c r="I169" s="62"/>
      <c r="J169" s="62"/>
      <c r="K169" s="51"/>
      <c r="L169" s="52"/>
    </row>
    <row r="170" spans="1:12" ht="15.5">
      <c r="A170" s="79">
        <v>78</v>
      </c>
      <c r="B170" s="79">
        <v>3122430202</v>
      </c>
      <c r="C170" s="80" t="s">
        <v>96</v>
      </c>
      <c r="D170" s="79" t="s">
        <v>1746</v>
      </c>
      <c r="E170" s="49">
        <v>1</v>
      </c>
      <c r="F170" s="49">
        <v>100</v>
      </c>
      <c r="G170" s="49" t="s">
        <v>1708</v>
      </c>
      <c r="H170" s="79">
        <v>100</v>
      </c>
      <c r="I170" s="79" t="s">
        <v>1744</v>
      </c>
      <c r="J170" s="79"/>
      <c r="K170" s="51"/>
      <c r="L170" s="52"/>
    </row>
    <row r="171" spans="1:12" ht="15.5">
      <c r="A171" s="62"/>
      <c r="B171" s="62"/>
      <c r="C171" s="62"/>
      <c r="D171" s="62"/>
      <c r="E171" s="49">
        <v>2</v>
      </c>
      <c r="F171" s="49">
        <v>100</v>
      </c>
      <c r="G171" s="49" t="s">
        <v>1708</v>
      </c>
      <c r="H171" s="62"/>
      <c r="I171" s="62"/>
      <c r="J171" s="62"/>
      <c r="K171" s="51"/>
      <c r="L171" s="52"/>
    </row>
    <row r="172" spans="1:12" ht="15.5">
      <c r="A172" s="79">
        <v>79</v>
      </c>
      <c r="B172" s="79">
        <v>3123430088</v>
      </c>
      <c r="C172" s="80" t="s">
        <v>143</v>
      </c>
      <c r="D172" s="79" t="s">
        <v>1747</v>
      </c>
      <c r="E172" s="49">
        <v>1</v>
      </c>
      <c r="F172" s="49">
        <v>95</v>
      </c>
      <c r="G172" s="49" t="s">
        <v>1708</v>
      </c>
      <c r="H172" s="79">
        <v>95.5</v>
      </c>
      <c r="I172" s="79" t="s">
        <v>1744</v>
      </c>
      <c r="J172" s="79"/>
      <c r="K172" s="51"/>
      <c r="L172" s="52"/>
    </row>
    <row r="173" spans="1:12" ht="15.5">
      <c r="A173" s="62"/>
      <c r="B173" s="62"/>
      <c r="C173" s="62"/>
      <c r="D173" s="62"/>
      <c r="E173" s="49">
        <v>2</v>
      </c>
      <c r="F173" s="49">
        <v>96</v>
      </c>
      <c r="G173" s="49" t="s">
        <v>1708</v>
      </c>
      <c r="H173" s="62"/>
      <c r="I173" s="62"/>
      <c r="J173" s="62"/>
      <c r="K173" s="51"/>
      <c r="L173" s="52"/>
    </row>
    <row r="174" spans="1:12" ht="15.5">
      <c r="A174" s="79">
        <v>80</v>
      </c>
      <c r="B174" s="79">
        <v>3123430131</v>
      </c>
      <c r="C174" s="80" t="s">
        <v>104</v>
      </c>
      <c r="D174" s="79" t="s">
        <v>1748</v>
      </c>
      <c r="E174" s="49">
        <v>1</v>
      </c>
      <c r="F174" s="49">
        <v>100</v>
      </c>
      <c r="G174" s="49" t="s">
        <v>1708</v>
      </c>
      <c r="H174" s="79">
        <v>100</v>
      </c>
      <c r="I174" s="79" t="s">
        <v>1744</v>
      </c>
      <c r="J174" s="79"/>
      <c r="K174" s="51"/>
      <c r="L174" s="52"/>
    </row>
    <row r="175" spans="1:12" ht="15.5">
      <c r="A175" s="62"/>
      <c r="B175" s="62"/>
      <c r="C175" s="62"/>
      <c r="D175" s="62"/>
      <c r="E175" s="49">
        <v>2</v>
      </c>
      <c r="F175" s="49">
        <v>100</v>
      </c>
      <c r="G175" s="49" t="s">
        <v>1708</v>
      </c>
      <c r="H175" s="62"/>
      <c r="I175" s="62"/>
      <c r="J175" s="62"/>
      <c r="K175" s="51"/>
      <c r="L175" s="52"/>
    </row>
    <row r="176" spans="1:12" ht="15.5">
      <c r="A176" s="79">
        <v>81</v>
      </c>
      <c r="B176" s="79">
        <v>3123430156</v>
      </c>
      <c r="C176" s="80" t="s">
        <v>128</v>
      </c>
      <c r="D176" s="79" t="s">
        <v>1747</v>
      </c>
      <c r="E176" s="49">
        <v>1</v>
      </c>
      <c r="F176" s="49">
        <v>100</v>
      </c>
      <c r="G176" s="49" t="s">
        <v>1708</v>
      </c>
      <c r="H176" s="79">
        <v>99</v>
      </c>
      <c r="I176" s="79" t="s">
        <v>1744</v>
      </c>
      <c r="J176" s="79"/>
      <c r="K176" s="51"/>
      <c r="L176" s="52"/>
    </row>
    <row r="177" spans="1:12" ht="15.5">
      <c r="A177" s="62"/>
      <c r="B177" s="62"/>
      <c r="C177" s="62"/>
      <c r="D177" s="62"/>
      <c r="E177" s="49">
        <v>2</v>
      </c>
      <c r="F177" s="49">
        <v>98</v>
      </c>
      <c r="G177" s="49" t="s">
        <v>1708</v>
      </c>
      <c r="H177" s="62"/>
      <c r="I177" s="62"/>
      <c r="J177" s="62"/>
      <c r="K177" s="51"/>
      <c r="L177" s="52"/>
    </row>
    <row r="178" spans="1:12" ht="15.5">
      <c r="A178" s="79">
        <v>82</v>
      </c>
      <c r="B178" s="79">
        <v>3123430163</v>
      </c>
      <c r="C178" s="80" t="s">
        <v>170</v>
      </c>
      <c r="D178" s="79" t="s">
        <v>1747</v>
      </c>
      <c r="E178" s="49">
        <v>1</v>
      </c>
      <c r="F178" s="49">
        <v>93</v>
      </c>
      <c r="G178" s="49" t="s">
        <v>1708</v>
      </c>
      <c r="H178" s="79">
        <v>92.5</v>
      </c>
      <c r="I178" s="79" t="s">
        <v>1744</v>
      </c>
      <c r="J178" s="79"/>
      <c r="K178" s="51"/>
      <c r="L178" s="52"/>
    </row>
    <row r="179" spans="1:12" ht="15.5">
      <c r="A179" s="62"/>
      <c r="B179" s="62"/>
      <c r="C179" s="62"/>
      <c r="D179" s="62"/>
      <c r="E179" s="49">
        <v>2</v>
      </c>
      <c r="F179" s="49">
        <v>92</v>
      </c>
      <c r="G179" s="49" t="s">
        <v>1708</v>
      </c>
      <c r="H179" s="62"/>
      <c r="I179" s="62"/>
      <c r="J179" s="62"/>
      <c r="K179" s="51"/>
      <c r="L179" s="52"/>
    </row>
    <row r="180" spans="1:12" ht="15.5">
      <c r="A180" s="79">
        <v>83</v>
      </c>
      <c r="B180" s="79">
        <v>3123430178</v>
      </c>
      <c r="C180" s="80" t="s">
        <v>112</v>
      </c>
      <c r="D180" s="79" t="s">
        <v>1747</v>
      </c>
      <c r="E180" s="49">
        <v>1</v>
      </c>
      <c r="F180" s="49">
        <v>100</v>
      </c>
      <c r="G180" s="49" t="s">
        <v>1708</v>
      </c>
      <c r="H180" s="79">
        <v>100</v>
      </c>
      <c r="I180" s="79" t="s">
        <v>1744</v>
      </c>
      <c r="J180" s="79"/>
      <c r="K180" s="51"/>
      <c r="L180" s="52"/>
    </row>
    <row r="181" spans="1:12" ht="15.5">
      <c r="A181" s="62"/>
      <c r="B181" s="62"/>
      <c r="C181" s="62"/>
      <c r="D181" s="62"/>
      <c r="E181" s="49">
        <v>2</v>
      </c>
      <c r="F181" s="49">
        <v>100</v>
      </c>
      <c r="G181" s="49" t="s">
        <v>1708</v>
      </c>
      <c r="H181" s="62"/>
      <c r="I181" s="62"/>
      <c r="J181" s="62"/>
      <c r="K181" s="51"/>
      <c r="L181" s="52"/>
    </row>
    <row r="182" spans="1:12" ht="15.5">
      <c r="A182" s="79">
        <v>84</v>
      </c>
      <c r="B182" s="79">
        <v>3123430196</v>
      </c>
      <c r="C182" s="80" t="s">
        <v>69</v>
      </c>
      <c r="D182" s="79" t="s">
        <v>1749</v>
      </c>
      <c r="E182" s="49">
        <v>1</v>
      </c>
      <c r="F182" s="49">
        <v>100</v>
      </c>
      <c r="G182" s="49" t="s">
        <v>1708</v>
      </c>
      <c r="H182" s="79">
        <v>100</v>
      </c>
      <c r="I182" s="79" t="s">
        <v>1744</v>
      </c>
      <c r="J182" s="79"/>
      <c r="K182" s="51"/>
      <c r="L182" s="52"/>
    </row>
    <row r="183" spans="1:12" ht="15.5">
      <c r="A183" s="62"/>
      <c r="B183" s="62"/>
      <c r="C183" s="62"/>
      <c r="D183" s="62"/>
      <c r="E183" s="49">
        <v>2</v>
      </c>
      <c r="F183" s="49">
        <v>100</v>
      </c>
      <c r="G183" s="49" t="s">
        <v>1708</v>
      </c>
      <c r="H183" s="62"/>
      <c r="I183" s="62"/>
      <c r="J183" s="62"/>
      <c r="K183" s="51"/>
      <c r="L183" s="52"/>
    </row>
    <row r="184" spans="1:12" ht="15.5">
      <c r="A184" s="79">
        <v>85</v>
      </c>
      <c r="B184" s="79">
        <v>3123430222</v>
      </c>
      <c r="C184" s="80" t="s">
        <v>76</v>
      </c>
      <c r="D184" s="79" t="s">
        <v>1748</v>
      </c>
      <c r="E184" s="49">
        <v>1</v>
      </c>
      <c r="F184" s="49">
        <v>90</v>
      </c>
      <c r="G184" s="49" t="s">
        <v>1708</v>
      </c>
      <c r="H184" s="79">
        <v>89</v>
      </c>
      <c r="I184" s="79" t="s">
        <v>1744</v>
      </c>
      <c r="J184" s="79"/>
      <c r="K184" s="51"/>
      <c r="L184" s="52"/>
    </row>
    <row r="185" spans="1:12" ht="15.5">
      <c r="A185" s="62"/>
      <c r="B185" s="62"/>
      <c r="C185" s="62"/>
      <c r="D185" s="62"/>
      <c r="E185" s="49">
        <v>2</v>
      </c>
      <c r="F185" s="49">
        <v>88</v>
      </c>
      <c r="G185" s="49" t="s">
        <v>1711</v>
      </c>
      <c r="H185" s="62"/>
      <c r="I185" s="62"/>
      <c r="J185" s="62"/>
      <c r="K185" s="51"/>
      <c r="L185" s="52"/>
    </row>
    <row r="186" spans="1:12" ht="15.5">
      <c r="A186" s="79">
        <v>86</v>
      </c>
      <c r="B186" s="79">
        <v>3123430228</v>
      </c>
      <c r="C186" s="80" t="s">
        <v>84</v>
      </c>
      <c r="D186" s="79" t="s">
        <v>1748</v>
      </c>
      <c r="E186" s="49">
        <v>1</v>
      </c>
      <c r="F186" s="49">
        <v>91</v>
      </c>
      <c r="G186" s="49" t="s">
        <v>1708</v>
      </c>
      <c r="H186" s="79">
        <v>90.5</v>
      </c>
      <c r="I186" s="79" t="s">
        <v>1744</v>
      </c>
      <c r="J186" s="79"/>
      <c r="K186" s="51"/>
      <c r="L186" s="52"/>
    </row>
    <row r="187" spans="1:12" ht="15.5">
      <c r="A187" s="62"/>
      <c r="B187" s="62"/>
      <c r="C187" s="62"/>
      <c r="D187" s="62"/>
      <c r="E187" s="49">
        <v>2</v>
      </c>
      <c r="F187" s="49">
        <v>90</v>
      </c>
      <c r="G187" s="49" t="s">
        <v>1708</v>
      </c>
      <c r="H187" s="62"/>
      <c r="I187" s="62"/>
      <c r="J187" s="62"/>
      <c r="K187" s="51"/>
      <c r="L187" s="52"/>
    </row>
    <row r="188" spans="1:12" ht="15.5">
      <c r="A188" s="79">
        <v>87</v>
      </c>
      <c r="B188" s="79">
        <v>3124430141</v>
      </c>
      <c r="C188" s="80" t="s">
        <v>120</v>
      </c>
      <c r="D188" s="79" t="s">
        <v>1750</v>
      </c>
      <c r="E188" s="49">
        <v>1</v>
      </c>
      <c r="F188" s="49">
        <v>100</v>
      </c>
      <c r="G188" s="49" t="s">
        <v>1708</v>
      </c>
      <c r="H188" s="79">
        <v>93.7</v>
      </c>
      <c r="I188" s="79" t="s">
        <v>1744</v>
      </c>
      <c r="J188" s="79"/>
      <c r="K188" s="51"/>
      <c r="L188" s="52"/>
    </row>
    <row r="189" spans="1:12" ht="15.5">
      <c r="A189" s="61"/>
      <c r="B189" s="61"/>
      <c r="C189" s="61"/>
      <c r="D189" s="61"/>
      <c r="E189" s="49">
        <v>2</v>
      </c>
      <c r="F189" s="49">
        <v>95</v>
      </c>
      <c r="G189" s="49" t="s">
        <v>1708</v>
      </c>
      <c r="H189" s="61"/>
      <c r="I189" s="61"/>
      <c r="J189" s="61"/>
      <c r="K189" s="51"/>
      <c r="L189" s="52"/>
    </row>
    <row r="190" spans="1:12" ht="15.5">
      <c r="A190" s="62"/>
      <c r="B190" s="62"/>
      <c r="C190" s="62"/>
      <c r="D190" s="62"/>
      <c r="E190" s="49">
        <v>3</v>
      </c>
      <c r="F190" s="49">
        <v>86</v>
      </c>
      <c r="G190" s="49" t="s">
        <v>1711</v>
      </c>
      <c r="H190" s="62"/>
      <c r="I190" s="62"/>
      <c r="J190" s="62"/>
      <c r="K190" s="51"/>
      <c r="L190" s="52"/>
    </row>
    <row r="191" spans="1:12" ht="15.5">
      <c r="A191" s="79">
        <v>88</v>
      </c>
      <c r="B191" s="79">
        <v>3124430149</v>
      </c>
      <c r="C191" s="80" t="s">
        <v>136</v>
      </c>
      <c r="D191" s="79" t="s">
        <v>1751</v>
      </c>
      <c r="E191" s="49">
        <v>1</v>
      </c>
      <c r="F191" s="49">
        <v>100</v>
      </c>
      <c r="G191" s="49" t="s">
        <v>1708</v>
      </c>
      <c r="H191" s="79">
        <v>98.3</v>
      </c>
      <c r="I191" s="79" t="s">
        <v>1744</v>
      </c>
      <c r="J191" s="79"/>
      <c r="K191" s="51"/>
      <c r="L191" s="52"/>
    </row>
    <row r="192" spans="1:12" ht="15.5">
      <c r="A192" s="61"/>
      <c r="B192" s="61"/>
      <c r="C192" s="61"/>
      <c r="D192" s="61"/>
      <c r="E192" s="49">
        <v>2</v>
      </c>
      <c r="F192" s="49">
        <v>99</v>
      </c>
      <c r="G192" s="49" t="s">
        <v>1708</v>
      </c>
      <c r="H192" s="61"/>
      <c r="I192" s="61"/>
      <c r="J192" s="61"/>
      <c r="K192" s="51"/>
      <c r="L192" s="52"/>
    </row>
    <row r="193" spans="1:12" ht="15.5">
      <c r="A193" s="62"/>
      <c r="B193" s="62"/>
      <c r="C193" s="62"/>
      <c r="D193" s="62"/>
      <c r="E193" s="49">
        <v>3</v>
      </c>
      <c r="F193" s="49">
        <v>96</v>
      </c>
      <c r="G193" s="49" t="s">
        <v>1708</v>
      </c>
      <c r="H193" s="62"/>
      <c r="I193" s="62"/>
      <c r="J193" s="62"/>
      <c r="K193" s="51"/>
      <c r="L193" s="52"/>
    </row>
    <row r="194" spans="1:12" ht="15.5">
      <c r="A194" s="79">
        <v>89</v>
      </c>
      <c r="B194" s="79">
        <v>3124430177</v>
      </c>
      <c r="C194" s="80" t="s">
        <v>155</v>
      </c>
      <c r="D194" s="79" t="s">
        <v>1752</v>
      </c>
      <c r="E194" s="49">
        <v>1</v>
      </c>
      <c r="F194" s="49">
        <v>100</v>
      </c>
      <c r="G194" s="49" t="s">
        <v>1708</v>
      </c>
      <c r="H194" s="79">
        <v>92.3</v>
      </c>
      <c r="I194" s="79" t="s">
        <v>1744</v>
      </c>
      <c r="J194" s="79"/>
      <c r="K194" s="51"/>
      <c r="L194" s="52"/>
    </row>
    <row r="195" spans="1:12" ht="15.5">
      <c r="A195" s="61"/>
      <c r="B195" s="61"/>
      <c r="C195" s="61"/>
      <c r="D195" s="61"/>
      <c r="E195" s="49">
        <v>2</v>
      </c>
      <c r="F195" s="49">
        <v>99</v>
      </c>
      <c r="G195" s="49" t="s">
        <v>1708</v>
      </c>
      <c r="H195" s="61"/>
      <c r="I195" s="61"/>
      <c r="J195" s="61"/>
      <c r="K195" s="51"/>
      <c r="L195" s="52"/>
    </row>
    <row r="196" spans="1:12" ht="15.5">
      <c r="A196" s="62"/>
      <c r="B196" s="62"/>
      <c r="C196" s="62"/>
      <c r="D196" s="62"/>
      <c r="E196" s="49">
        <v>3</v>
      </c>
      <c r="F196" s="49">
        <v>78</v>
      </c>
      <c r="G196" s="49" t="s">
        <v>1753</v>
      </c>
      <c r="H196" s="62"/>
      <c r="I196" s="62"/>
      <c r="J196" s="62"/>
      <c r="K196" s="51"/>
      <c r="L196" s="52"/>
    </row>
    <row r="197" spans="1:12" ht="15.5">
      <c r="A197" s="79">
        <v>90</v>
      </c>
      <c r="B197" s="79">
        <v>3121130006</v>
      </c>
      <c r="C197" s="80" t="s">
        <v>844</v>
      </c>
      <c r="D197" s="79" t="s">
        <v>1754</v>
      </c>
      <c r="E197" s="49">
        <v>1</v>
      </c>
      <c r="F197" s="49">
        <v>96</v>
      </c>
      <c r="G197" s="49" t="s">
        <v>1708</v>
      </c>
      <c r="H197" s="79">
        <v>98</v>
      </c>
      <c r="I197" s="79" t="s">
        <v>1755</v>
      </c>
      <c r="J197" s="79"/>
      <c r="K197" s="51"/>
      <c r="L197" s="52"/>
    </row>
    <row r="198" spans="1:12" ht="15.5">
      <c r="A198" s="62"/>
      <c r="B198" s="62"/>
      <c r="C198" s="62"/>
      <c r="D198" s="62"/>
      <c r="E198" s="49">
        <v>2</v>
      </c>
      <c r="F198" s="49">
        <v>100</v>
      </c>
      <c r="G198" s="49" t="s">
        <v>1708</v>
      </c>
      <c r="H198" s="62"/>
      <c r="I198" s="62"/>
      <c r="J198" s="62"/>
      <c r="K198" s="51"/>
      <c r="L198" s="52"/>
    </row>
    <row r="199" spans="1:12" ht="15.5">
      <c r="A199" s="79">
        <v>91</v>
      </c>
      <c r="B199" s="79">
        <v>3121130125</v>
      </c>
      <c r="C199" s="80" t="s">
        <v>792</v>
      </c>
      <c r="D199" s="79" t="s">
        <v>1756</v>
      </c>
      <c r="E199" s="49">
        <v>1</v>
      </c>
      <c r="F199" s="49">
        <v>100</v>
      </c>
      <c r="G199" s="49" t="s">
        <v>1708</v>
      </c>
      <c r="H199" s="79">
        <v>100</v>
      </c>
      <c r="I199" s="79" t="s">
        <v>1755</v>
      </c>
      <c r="J199" s="79"/>
      <c r="K199" s="51"/>
      <c r="L199" s="52"/>
    </row>
    <row r="200" spans="1:12" ht="15.5">
      <c r="A200" s="62"/>
      <c r="B200" s="62"/>
      <c r="C200" s="62"/>
      <c r="D200" s="62"/>
      <c r="E200" s="49">
        <v>2</v>
      </c>
      <c r="F200" s="49">
        <v>100</v>
      </c>
      <c r="G200" s="49" t="s">
        <v>1708</v>
      </c>
      <c r="H200" s="62"/>
      <c r="I200" s="62"/>
      <c r="J200" s="62"/>
      <c r="K200" s="51"/>
      <c r="L200" s="52"/>
    </row>
    <row r="201" spans="1:12" ht="15.5">
      <c r="A201" s="79">
        <v>92</v>
      </c>
      <c r="B201" s="79">
        <v>3121380069</v>
      </c>
      <c r="C201" s="80" t="s">
        <v>851</v>
      </c>
      <c r="D201" s="79" t="s">
        <v>1757</v>
      </c>
      <c r="E201" s="49">
        <v>1</v>
      </c>
      <c r="F201" s="49">
        <v>100</v>
      </c>
      <c r="G201" s="49" t="s">
        <v>1708</v>
      </c>
      <c r="H201" s="79">
        <v>100</v>
      </c>
      <c r="I201" s="79" t="s">
        <v>1755</v>
      </c>
      <c r="J201" s="79"/>
      <c r="K201" s="51"/>
      <c r="L201" s="52"/>
    </row>
    <row r="202" spans="1:12" ht="15.5">
      <c r="A202" s="62"/>
      <c r="B202" s="62"/>
      <c r="C202" s="62"/>
      <c r="D202" s="62"/>
      <c r="E202" s="49">
        <v>2</v>
      </c>
      <c r="F202" s="49">
        <v>100</v>
      </c>
      <c r="G202" s="49" t="s">
        <v>1708</v>
      </c>
      <c r="H202" s="62"/>
      <c r="I202" s="62"/>
      <c r="J202" s="62"/>
      <c r="K202" s="51"/>
      <c r="L202" s="52"/>
    </row>
    <row r="203" spans="1:12" ht="15.5">
      <c r="A203" s="79">
        <v>93</v>
      </c>
      <c r="B203" s="79">
        <v>3122130044</v>
      </c>
      <c r="C203" s="80" t="s">
        <v>857</v>
      </c>
      <c r="D203" s="79" t="s">
        <v>1758</v>
      </c>
      <c r="E203" s="49">
        <v>1</v>
      </c>
      <c r="F203" s="49">
        <v>100</v>
      </c>
      <c r="G203" s="49" t="s">
        <v>1708</v>
      </c>
      <c r="H203" s="79">
        <v>97</v>
      </c>
      <c r="I203" s="79" t="s">
        <v>1755</v>
      </c>
      <c r="J203" s="79"/>
      <c r="K203" s="51"/>
      <c r="L203" s="52"/>
    </row>
    <row r="204" spans="1:12" ht="15.5">
      <c r="A204" s="62"/>
      <c r="B204" s="62"/>
      <c r="C204" s="62"/>
      <c r="D204" s="62"/>
      <c r="E204" s="49">
        <v>2</v>
      </c>
      <c r="F204" s="49">
        <v>94</v>
      </c>
      <c r="G204" s="49" t="s">
        <v>1708</v>
      </c>
      <c r="H204" s="62"/>
      <c r="I204" s="62"/>
      <c r="J204" s="62"/>
      <c r="K204" s="51"/>
      <c r="L204" s="52"/>
    </row>
    <row r="205" spans="1:12" ht="15.5">
      <c r="A205" s="79">
        <v>94</v>
      </c>
      <c r="B205" s="79">
        <v>3122380297</v>
      </c>
      <c r="C205" s="80" t="s">
        <v>825</v>
      </c>
      <c r="D205" s="79" t="s">
        <v>1759</v>
      </c>
      <c r="E205" s="49">
        <v>1</v>
      </c>
      <c r="F205" s="49">
        <v>100</v>
      </c>
      <c r="G205" s="49" t="s">
        <v>1708</v>
      </c>
      <c r="H205" s="79">
        <v>93.5</v>
      </c>
      <c r="I205" s="79" t="s">
        <v>1755</v>
      </c>
      <c r="J205" s="79"/>
      <c r="K205" s="51"/>
      <c r="L205" s="52"/>
    </row>
    <row r="206" spans="1:12" ht="15.5">
      <c r="A206" s="62"/>
      <c r="B206" s="62"/>
      <c r="C206" s="62"/>
      <c r="D206" s="62"/>
      <c r="E206" s="49">
        <v>2</v>
      </c>
      <c r="F206" s="49">
        <v>87</v>
      </c>
      <c r="G206" s="49" t="s">
        <v>1711</v>
      </c>
      <c r="H206" s="62"/>
      <c r="I206" s="62"/>
      <c r="J206" s="62"/>
      <c r="K206" s="51"/>
      <c r="L206" s="52"/>
    </row>
    <row r="207" spans="1:12" ht="15.5">
      <c r="A207" s="79">
        <v>95</v>
      </c>
      <c r="B207" s="79">
        <v>3122380306</v>
      </c>
      <c r="C207" s="80" t="s">
        <v>838</v>
      </c>
      <c r="D207" s="79" t="s">
        <v>1760</v>
      </c>
      <c r="E207" s="49">
        <v>1</v>
      </c>
      <c r="F207" s="49">
        <v>100</v>
      </c>
      <c r="G207" s="49" t="s">
        <v>1708</v>
      </c>
      <c r="H207" s="79">
        <v>96.5</v>
      </c>
      <c r="I207" s="79" t="s">
        <v>1755</v>
      </c>
      <c r="J207" s="79"/>
      <c r="K207" s="51"/>
      <c r="L207" s="52"/>
    </row>
    <row r="208" spans="1:12" ht="15.5">
      <c r="A208" s="62"/>
      <c r="B208" s="62"/>
      <c r="C208" s="62"/>
      <c r="D208" s="62"/>
      <c r="E208" s="49">
        <v>2</v>
      </c>
      <c r="F208" s="49">
        <v>93</v>
      </c>
      <c r="G208" s="49" t="s">
        <v>1708</v>
      </c>
      <c r="H208" s="62"/>
      <c r="I208" s="62"/>
      <c r="J208" s="62"/>
      <c r="K208" s="51"/>
      <c r="L208" s="52"/>
    </row>
    <row r="209" spans="1:12" ht="15.5">
      <c r="A209" s="79">
        <v>96</v>
      </c>
      <c r="B209" s="79">
        <v>3123130052</v>
      </c>
      <c r="C209" s="80" t="s">
        <v>893</v>
      </c>
      <c r="D209" s="79" t="s">
        <v>1761</v>
      </c>
      <c r="E209" s="49">
        <v>1</v>
      </c>
      <c r="F209" s="49">
        <v>93</v>
      </c>
      <c r="G209" s="49" t="s">
        <v>1708</v>
      </c>
      <c r="H209" s="79">
        <v>96</v>
      </c>
      <c r="I209" s="79" t="s">
        <v>1755</v>
      </c>
      <c r="J209" s="79"/>
      <c r="K209" s="51"/>
      <c r="L209" s="52"/>
    </row>
    <row r="210" spans="1:12" ht="15.5">
      <c r="A210" s="62"/>
      <c r="B210" s="62"/>
      <c r="C210" s="62"/>
      <c r="D210" s="62"/>
      <c r="E210" s="49">
        <v>2</v>
      </c>
      <c r="F210" s="49">
        <v>99</v>
      </c>
      <c r="G210" s="49" t="s">
        <v>1708</v>
      </c>
      <c r="H210" s="62"/>
      <c r="I210" s="62"/>
      <c r="J210" s="62"/>
      <c r="K210" s="51"/>
      <c r="L210" s="52"/>
    </row>
    <row r="211" spans="1:12" ht="15.5">
      <c r="A211" s="79">
        <v>97</v>
      </c>
      <c r="B211" s="79">
        <v>3123130056</v>
      </c>
      <c r="C211" s="80" t="s">
        <v>831</v>
      </c>
      <c r="D211" s="79" t="s">
        <v>1762</v>
      </c>
      <c r="E211" s="49">
        <v>1</v>
      </c>
      <c r="F211" s="49">
        <v>88</v>
      </c>
      <c r="G211" s="49" t="s">
        <v>1711</v>
      </c>
      <c r="H211" s="79">
        <v>94</v>
      </c>
      <c r="I211" s="79" t="s">
        <v>1755</v>
      </c>
      <c r="J211" s="79"/>
      <c r="K211" s="51"/>
      <c r="L211" s="52"/>
    </row>
    <row r="212" spans="1:12" ht="15.5">
      <c r="A212" s="62"/>
      <c r="B212" s="62"/>
      <c r="C212" s="62"/>
      <c r="D212" s="62"/>
      <c r="E212" s="49">
        <v>2</v>
      </c>
      <c r="F212" s="49">
        <v>100</v>
      </c>
      <c r="G212" s="49" t="s">
        <v>1708</v>
      </c>
      <c r="H212" s="62"/>
      <c r="I212" s="62"/>
      <c r="J212" s="62"/>
      <c r="K212" s="51"/>
      <c r="L212" s="52"/>
    </row>
    <row r="213" spans="1:12" ht="15.5">
      <c r="A213" s="79">
        <v>98</v>
      </c>
      <c r="B213" s="79">
        <v>3123130104</v>
      </c>
      <c r="C213" s="80" t="s">
        <v>798</v>
      </c>
      <c r="D213" s="79" t="s">
        <v>1761</v>
      </c>
      <c r="E213" s="49">
        <v>1</v>
      </c>
      <c r="F213" s="49">
        <v>100</v>
      </c>
      <c r="G213" s="49" t="s">
        <v>1708</v>
      </c>
      <c r="H213" s="79">
        <v>100</v>
      </c>
      <c r="I213" s="79" t="s">
        <v>1755</v>
      </c>
      <c r="J213" s="79"/>
      <c r="K213" s="51"/>
      <c r="L213" s="52"/>
    </row>
    <row r="214" spans="1:12" ht="15.5">
      <c r="A214" s="62"/>
      <c r="B214" s="62"/>
      <c r="C214" s="62"/>
      <c r="D214" s="62"/>
      <c r="E214" s="49">
        <v>2</v>
      </c>
      <c r="F214" s="49">
        <v>100</v>
      </c>
      <c r="G214" s="49" t="s">
        <v>1708</v>
      </c>
      <c r="H214" s="62"/>
      <c r="I214" s="62"/>
      <c r="J214" s="62"/>
      <c r="K214" s="51"/>
      <c r="L214" s="52"/>
    </row>
    <row r="215" spans="1:12" ht="15.5">
      <c r="A215" s="79">
        <v>99</v>
      </c>
      <c r="B215" s="79">
        <v>3123130108</v>
      </c>
      <c r="C215" s="80" t="s">
        <v>874</v>
      </c>
      <c r="D215" s="79" t="s">
        <v>1762</v>
      </c>
      <c r="E215" s="49">
        <v>1</v>
      </c>
      <c r="F215" s="49">
        <v>100</v>
      </c>
      <c r="G215" s="49" t="s">
        <v>1708</v>
      </c>
      <c r="H215" s="79">
        <v>100</v>
      </c>
      <c r="I215" s="79" t="s">
        <v>1755</v>
      </c>
      <c r="J215" s="79"/>
      <c r="K215" s="51"/>
      <c r="L215" s="52"/>
    </row>
    <row r="216" spans="1:12" ht="15.5">
      <c r="A216" s="62"/>
      <c r="B216" s="62"/>
      <c r="C216" s="62"/>
      <c r="D216" s="62"/>
      <c r="E216" s="49">
        <v>2</v>
      </c>
      <c r="F216" s="49">
        <v>100</v>
      </c>
      <c r="G216" s="49" t="s">
        <v>1708</v>
      </c>
      <c r="H216" s="62"/>
      <c r="I216" s="62"/>
      <c r="J216" s="62"/>
      <c r="K216" s="51"/>
      <c r="L216" s="52"/>
    </row>
    <row r="217" spans="1:12" ht="15.5">
      <c r="A217" s="79">
        <v>100</v>
      </c>
      <c r="B217" s="79">
        <v>3123130140</v>
      </c>
      <c r="C217" s="80" t="s">
        <v>868</v>
      </c>
      <c r="D217" s="79" t="s">
        <v>1761</v>
      </c>
      <c r="E217" s="49">
        <v>1</v>
      </c>
      <c r="F217" s="49">
        <v>98</v>
      </c>
      <c r="G217" s="49" t="s">
        <v>1708</v>
      </c>
      <c r="H217" s="79">
        <v>99</v>
      </c>
      <c r="I217" s="79" t="s">
        <v>1755</v>
      </c>
      <c r="J217" s="79"/>
      <c r="K217" s="51"/>
      <c r="L217" s="52"/>
    </row>
    <row r="218" spans="1:12" ht="15.5">
      <c r="A218" s="62"/>
      <c r="B218" s="62"/>
      <c r="C218" s="62"/>
      <c r="D218" s="62"/>
      <c r="E218" s="49">
        <v>2</v>
      </c>
      <c r="F218" s="49">
        <v>100</v>
      </c>
      <c r="G218" s="49" t="s">
        <v>1708</v>
      </c>
      <c r="H218" s="62"/>
      <c r="I218" s="62"/>
      <c r="J218" s="62"/>
      <c r="K218" s="51"/>
      <c r="L218" s="52"/>
    </row>
    <row r="219" spans="1:12" ht="15.5">
      <c r="A219" s="79">
        <v>101</v>
      </c>
      <c r="B219" s="79">
        <v>3123130143</v>
      </c>
      <c r="C219" s="80" t="s">
        <v>785</v>
      </c>
      <c r="D219" s="79" t="s">
        <v>1761</v>
      </c>
      <c r="E219" s="49">
        <v>1</v>
      </c>
      <c r="F219" s="49">
        <v>100</v>
      </c>
      <c r="G219" s="49" t="s">
        <v>1708</v>
      </c>
      <c r="H219" s="79">
        <v>100</v>
      </c>
      <c r="I219" s="79" t="s">
        <v>1755</v>
      </c>
      <c r="J219" s="79"/>
      <c r="K219" s="51"/>
      <c r="L219" s="52"/>
    </row>
    <row r="220" spans="1:12" ht="15.5">
      <c r="A220" s="62"/>
      <c r="B220" s="62"/>
      <c r="C220" s="62"/>
      <c r="D220" s="62"/>
      <c r="E220" s="49">
        <v>2</v>
      </c>
      <c r="F220" s="49">
        <v>100</v>
      </c>
      <c r="G220" s="49" t="s">
        <v>1708</v>
      </c>
      <c r="H220" s="62"/>
      <c r="I220" s="62"/>
      <c r="J220" s="62"/>
      <c r="K220" s="51"/>
      <c r="L220" s="52"/>
    </row>
    <row r="221" spans="1:12" ht="15.5">
      <c r="A221" s="79">
        <v>102</v>
      </c>
      <c r="B221" s="79">
        <v>3123380105</v>
      </c>
      <c r="C221" s="80" t="s">
        <v>888</v>
      </c>
      <c r="D221" s="79" t="s">
        <v>1763</v>
      </c>
      <c r="E221" s="49">
        <v>1</v>
      </c>
      <c r="F221" s="49">
        <v>100</v>
      </c>
      <c r="G221" s="49" t="s">
        <v>1708</v>
      </c>
      <c r="H221" s="79">
        <v>100</v>
      </c>
      <c r="I221" s="79" t="s">
        <v>1755</v>
      </c>
      <c r="J221" s="79"/>
      <c r="K221" s="51"/>
      <c r="L221" s="52"/>
    </row>
    <row r="222" spans="1:12" ht="15.5">
      <c r="A222" s="62"/>
      <c r="B222" s="62"/>
      <c r="C222" s="62"/>
      <c r="D222" s="62"/>
      <c r="E222" s="49">
        <v>2</v>
      </c>
      <c r="F222" s="49">
        <v>100</v>
      </c>
      <c r="G222" s="49" t="s">
        <v>1708</v>
      </c>
      <c r="H222" s="62"/>
      <c r="I222" s="62"/>
      <c r="J222" s="62"/>
      <c r="K222" s="51"/>
      <c r="L222" s="52"/>
    </row>
    <row r="223" spans="1:12" ht="15.5">
      <c r="A223" s="79">
        <v>103</v>
      </c>
      <c r="B223" s="79">
        <v>3123380117</v>
      </c>
      <c r="C223" s="80" t="s">
        <v>881</v>
      </c>
      <c r="D223" s="79" t="s">
        <v>1764</v>
      </c>
      <c r="E223" s="49">
        <v>1</v>
      </c>
      <c r="F223" s="49">
        <v>100</v>
      </c>
      <c r="G223" s="49" t="s">
        <v>1708</v>
      </c>
      <c r="H223" s="79">
        <v>100</v>
      </c>
      <c r="I223" s="79" t="s">
        <v>1755</v>
      </c>
      <c r="J223" s="79"/>
      <c r="K223" s="51"/>
      <c r="L223" s="52"/>
    </row>
    <row r="224" spans="1:12" ht="15.5">
      <c r="A224" s="62"/>
      <c r="B224" s="62"/>
      <c r="C224" s="62"/>
      <c r="D224" s="62"/>
      <c r="E224" s="49">
        <v>2</v>
      </c>
      <c r="F224" s="49">
        <v>100</v>
      </c>
      <c r="G224" s="49" t="s">
        <v>1708</v>
      </c>
      <c r="H224" s="62"/>
      <c r="I224" s="62"/>
      <c r="J224" s="62"/>
      <c r="K224" s="51"/>
      <c r="L224" s="52"/>
    </row>
    <row r="225" spans="1:12" ht="15.5">
      <c r="A225" s="79">
        <v>104</v>
      </c>
      <c r="B225" s="79">
        <v>3123380133</v>
      </c>
      <c r="C225" s="80" t="s">
        <v>771</v>
      </c>
      <c r="D225" s="79" t="s">
        <v>1765</v>
      </c>
      <c r="E225" s="49">
        <v>1</v>
      </c>
      <c r="F225" s="49">
        <v>100</v>
      </c>
      <c r="G225" s="49" t="s">
        <v>1708</v>
      </c>
      <c r="H225" s="79">
        <v>100</v>
      </c>
      <c r="I225" s="79" t="s">
        <v>1755</v>
      </c>
      <c r="J225" s="79"/>
      <c r="K225" s="51"/>
      <c r="L225" s="52"/>
    </row>
    <row r="226" spans="1:12" ht="15.5">
      <c r="A226" s="62"/>
      <c r="B226" s="62"/>
      <c r="C226" s="62"/>
      <c r="D226" s="62"/>
      <c r="E226" s="49">
        <v>2</v>
      </c>
      <c r="F226" s="49">
        <v>100</v>
      </c>
      <c r="G226" s="49" t="s">
        <v>1708</v>
      </c>
      <c r="H226" s="62"/>
      <c r="I226" s="62"/>
      <c r="J226" s="62"/>
      <c r="K226" s="51"/>
      <c r="L226" s="52"/>
    </row>
    <row r="227" spans="1:12" ht="15.5">
      <c r="A227" s="79">
        <v>105</v>
      </c>
      <c r="B227" s="79">
        <v>3123380226</v>
      </c>
      <c r="C227" s="80" t="s">
        <v>812</v>
      </c>
      <c r="D227" s="79" t="s">
        <v>1765</v>
      </c>
      <c r="E227" s="49">
        <v>1</v>
      </c>
      <c r="F227" s="49">
        <v>100</v>
      </c>
      <c r="G227" s="49" t="s">
        <v>1708</v>
      </c>
      <c r="H227" s="79">
        <v>100</v>
      </c>
      <c r="I227" s="79" t="s">
        <v>1755</v>
      </c>
      <c r="J227" s="79"/>
      <c r="K227" s="51"/>
      <c r="L227" s="52"/>
    </row>
    <row r="228" spans="1:12" ht="15.5">
      <c r="A228" s="62"/>
      <c r="B228" s="62"/>
      <c r="C228" s="62"/>
      <c r="D228" s="62"/>
      <c r="E228" s="49">
        <v>2</v>
      </c>
      <c r="F228" s="49">
        <v>100</v>
      </c>
      <c r="G228" s="49" t="s">
        <v>1708</v>
      </c>
      <c r="H228" s="62"/>
      <c r="I228" s="62"/>
      <c r="J228" s="62"/>
      <c r="K228" s="51"/>
      <c r="L228" s="52"/>
    </row>
    <row r="229" spans="1:12" ht="15.5">
      <c r="A229" s="79">
        <v>106</v>
      </c>
      <c r="B229" s="79">
        <v>3124130009</v>
      </c>
      <c r="C229" s="80" t="s">
        <v>805</v>
      </c>
      <c r="D229" s="79" t="s">
        <v>1766</v>
      </c>
      <c r="E229" s="49">
        <v>1</v>
      </c>
      <c r="F229" s="49">
        <v>94</v>
      </c>
      <c r="G229" s="49" t="s">
        <v>1708</v>
      </c>
      <c r="H229" s="79">
        <v>97.3</v>
      </c>
      <c r="I229" s="79" t="s">
        <v>1755</v>
      </c>
      <c r="J229" s="79"/>
      <c r="K229" s="51"/>
      <c r="L229" s="52"/>
    </row>
    <row r="230" spans="1:12" ht="15.5">
      <c r="A230" s="61"/>
      <c r="B230" s="61"/>
      <c r="C230" s="61"/>
      <c r="D230" s="61"/>
      <c r="E230" s="49">
        <v>2</v>
      </c>
      <c r="F230" s="49">
        <v>100</v>
      </c>
      <c r="G230" s="49" t="s">
        <v>1708</v>
      </c>
      <c r="H230" s="61"/>
      <c r="I230" s="61"/>
      <c r="J230" s="61"/>
      <c r="K230" s="51"/>
      <c r="L230" s="52"/>
    </row>
    <row r="231" spans="1:12" ht="15.5">
      <c r="A231" s="62"/>
      <c r="B231" s="62"/>
      <c r="C231" s="62"/>
      <c r="D231" s="62"/>
      <c r="E231" s="49">
        <v>3</v>
      </c>
      <c r="F231" s="49">
        <v>98</v>
      </c>
      <c r="G231" s="49" t="s">
        <v>1708</v>
      </c>
      <c r="H231" s="62"/>
      <c r="I231" s="62"/>
      <c r="J231" s="62"/>
      <c r="K231" s="51"/>
      <c r="L231" s="52"/>
    </row>
    <row r="232" spans="1:12" ht="15.5">
      <c r="A232" s="79">
        <v>107</v>
      </c>
      <c r="B232" s="79">
        <v>3124130012</v>
      </c>
      <c r="C232" s="80" t="s">
        <v>861</v>
      </c>
      <c r="D232" s="79" t="s">
        <v>1767</v>
      </c>
      <c r="E232" s="49">
        <v>1</v>
      </c>
      <c r="F232" s="49">
        <v>90</v>
      </c>
      <c r="G232" s="49" t="s">
        <v>1708</v>
      </c>
      <c r="H232" s="79">
        <v>95.7</v>
      </c>
      <c r="I232" s="79" t="s">
        <v>1755</v>
      </c>
      <c r="J232" s="79"/>
      <c r="K232" s="51"/>
      <c r="L232" s="52"/>
    </row>
    <row r="233" spans="1:12" ht="15.5">
      <c r="A233" s="61"/>
      <c r="B233" s="61"/>
      <c r="C233" s="61"/>
      <c r="D233" s="61"/>
      <c r="E233" s="49">
        <v>2</v>
      </c>
      <c r="F233" s="49">
        <v>100</v>
      </c>
      <c r="G233" s="49" t="s">
        <v>1708</v>
      </c>
      <c r="H233" s="61"/>
      <c r="I233" s="61"/>
      <c r="J233" s="61"/>
      <c r="K233" s="51"/>
      <c r="L233" s="52"/>
    </row>
    <row r="234" spans="1:12" ht="15.5">
      <c r="A234" s="62"/>
      <c r="B234" s="62"/>
      <c r="C234" s="62"/>
      <c r="D234" s="62"/>
      <c r="E234" s="49">
        <v>3</v>
      </c>
      <c r="F234" s="49">
        <v>97</v>
      </c>
      <c r="G234" s="49" t="s">
        <v>1708</v>
      </c>
      <c r="H234" s="62"/>
      <c r="I234" s="62"/>
      <c r="J234" s="62"/>
      <c r="K234" s="51"/>
      <c r="L234" s="52"/>
    </row>
    <row r="235" spans="1:12" ht="15.5">
      <c r="A235" s="79">
        <v>108</v>
      </c>
      <c r="B235" s="79">
        <v>3124130015</v>
      </c>
      <c r="C235" s="80" t="s">
        <v>762</v>
      </c>
      <c r="D235" s="79" t="s">
        <v>1766</v>
      </c>
      <c r="E235" s="49">
        <v>1</v>
      </c>
      <c r="F235" s="49">
        <v>100</v>
      </c>
      <c r="G235" s="49" t="s">
        <v>1708</v>
      </c>
      <c r="H235" s="79">
        <v>98.3</v>
      </c>
      <c r="I235" s="79" t="s">
        <v>1755</v>
      </c>
      <c r="J235" s="79"/>
      <c r="K235" s="51"/>
      <c r="L235" s="52"/>
    </row>
    <row r="236" spans="1:12" ht="15.5">
      <c r="A236" s="61"/>
      <c r="B236" s="61"/>
      <c r="C236" s="61"/>
      <c r="D236" s="61"/>
      <c r="E236" s="49">
        <v>2</v>
      </c>
      <c r="F236" s="49">
        <v>100</v>
      </c>
      <c r="G236" s="49" t="s">
        <v>1708</v>
      </c>
      <c r="H236" s="61"/>
      <c r="I236" s="61"/>
      <c r="J236" s="61"/>
      <c r="K236" s="51"/>
      <c r="L236" s="52"/>
    </row>
    <row r="237" spans="1:12" ht="15.5">
      <c r="A237" s="62"/>
      <c r="B237" s="62"/>
      <c r="C237" s="62"/>
      <c r="D237" s="62"/>
      <c r="E237" s="49">
        <v>3</v>
      </c>
      <c r="F237" s="49">
        <v>95</v>
      </c>
      <c r="G237" s="49" t="s">
        <v>1708</v>
      </c>
      <c r="H237" s="62"/>
      <c r="I237" s="62"/>
      <c r="J237" s="62"/>
      <c r="K237" s="51"/>
      <c r="L237" s="52"/>
    </row>
    <row r="238" spans="1:12" ht="15.5">
      <c r="A238" s="79">
        <v>109</v>
      </c>
      <c r="B238" s="79">
        <v>3124130045</v>
      </c>
      <c r="C238" s="80" t="s">
        <v>778</v>
      </c>
      <c r="D238" s="79" t="s">
        <v>1766</v>
      </c>
      <c r="E238" s="49">
        <v>1</v>
      </c>
      <c r="F238" s="49">
        <v>100</v>
      </c>
      <c r="G238" s="49" t="s">
        <v>1708</v>
      </c>
      <c r="H238" s="79">
        <v>96</v>
      </c>
      <c r="I238" s="79" t="s">
        <v>1755</v>
      </c>
      <c r="J238" s="79"/>
      <c r="K238" s="51"/>
      <c r="L238" s="52"/>
    </row>
    <row r="239" spans="1:12" ht="15.5">
      <c r="A239" s="61"/>
      <c r="B239" s="61"/>
      <c r="C239" s="61"/>
      <c r="D239" s="61"/>
      <c r="E239" s="49">
        <v>2</v>
      </c>
      <c r="F239" s="49">
        <v>100</v>
      </c>
      <c r="G239" s="49" t="s">
        <v>1708</v>
      </c>
      <c r="H239" s="61"/>
      <c r="I239" s="61"/>
      <c r="J239" s="61"/>
      <c r="K239" s="51"/>
      <c r="L239" s="52"/>
    </row>
    <row r="240" spans="1:12" ht="15.5">
      <c r="A240" s="62"/>
      <c r="B240" s="62"/>
      <c r="C240" s="62"/>
      <c r="D240" s="62"/>
      <c r="E240" s="49">
        <v>3</v>
      </c>
      <c r="F240" s="49">
        <v>88</v>
      </c>
      <c r="G240" s="49" t="s">
        <v>1711</v>
      </c>
      <c r="H240" s="62"/>
      <c r="I240" s="62"/>
      <c r="J240" s="62"/>
      <c r="K240" s="51"/>
      <c r="L240" s="52"/>
    </row>
    <row r="241" spans="1:12" ht="15.5">
      <c r="A241" s="79">
        <v>110</v>
      </c>
      <c r="B241" s="79">
        <v>3122330281</v>
      </c>
      <c r="C241" s="80" t="s">
        <v>1525</v>
      </c>
      <c r="D241" s="79" t="s">
        <v>1768</v>
      </c>
      <c r="E241" s="49">
        <v>1</v>
      </c>
      <c r="F241" s="49">
        <v>81</v>
      </c>
      <c r="G241" s="49" t="s">
        <v>1711</v>
      </c>
      <c r="H241" s="79">
        <v>81.5</v>
      </c>
      <c r="I241" s="79" t="s">
        <v>1769</v>
      </c>
      <c r="J241" s="79"/>
      <c r="K241" s="51"/>
      <c r="L241" s="52"/>
    </row>
    <row r="242" spans="1:12" ht="15.5">
      <c r="A242" s="62"/>
      <c r="B242" s="62"/>
      <c r="C242" s="62"/>
      <c r="D242" s="62"/>
      <c r="E242" s="49">
        <v>2</v>
      </c>
      <c r="F242" s="49">
        <v>82</v>
      </c>
      <c r="G242" s="49" t="s">
        <v>1711</v>
      </c>
      <c r="H242" s="62"/>
      <c r="I242" s="62"/>
      <c r="J242" s="62"/>
      <c r="K242" s="51"/>
      <c r="L242" s="52"/>
    </row>
    <row r="243" spans="1:12" ht="15.5">
      <c r="A243" s="79">
        <v>111</v>
      </c>
      <c r="B243" s="79">
        <v>3122330360</v>
      </c>
      <c r="C243" s="80" t="s">
        <v>1514</v>
      </c>
      <c r="D243" s="79" t="s">
        <v>1770</v>
      </c>
      <c r="E243" s="49">
        <v>1</v>
      </c>
      <c r="F243" s="49">
        <v>100</v>
      </c>
      <c r="G243" s="49" t="s">
        <v>1708</v>
      </c>
      <c r="H243" s="79">
        <v>100</v>
      </c>
      <c r="I243" s="79" t="s">
        <v>1769</v>
      </c>
      <c r="J243" s="79"/>
      <c r="K243" s="51"/>
      <c r="L243" s="52"/>
    </row>
    <row r="244" spans="1:12" ht="15.5">
      <c r="A244" s="62"/>
      <c r="B244" s="62"/>
      <c r="C244" s="62"/>
      <c r="D244" s="62"/>
      <c r="E244" s="49">
        <v>2</v>
      </c>
      <c r="F244" s="49">
        <v>100</v>
      </c>
      <c r="G244" s="49" t="s">
        <v>1708</v>
      </c>
      <c r="H244" s="62"/>
      <c r="I244" s="62"/>
      <c r="J244" s="62"/>
      <c r="K244" s="51"/>
      <c r="L244" s="52"/>
    </row>
    <row r="245" spans="1:12" ht="15.5">
      <c r="A245" s="79">
        <v>112</v>
      </c>
      <c r="B245" s="79">
        <v>3122330422</v>
      </c>
      <c r="C245" s="80" t="s">
        <v>1512</v>
      </c>
      <c r="D245" s="79" t="s">
        <v>1770</v>
      </c>
      <c r="E245" s="49">
        <v>1</v>
      </c>
      <c r="F245" s="49">
        <v>100</v>
      </c>
      <c r="G245" s="49" t="s">
        <v>1708</v>
      </c>
      <c r="H245" s="79">
        <v>96.5</v>
      </c>
      <c r="I245" s="79" t="s">
        <v>1769</v>
      </c>
      <c r="J245" s="79"/>
      <c r="K245" s="51"/>
      <c r="L245" s="52"/>
    </row>
    <row r="246" spans="1:12" ht="15.5">
      <c r="A246" s="62"/>
      <c r="B246" s="62"/>
      <c r="C246" s="62"/>
      <c r="D246" s="62"/>
      <c r="E246" s="49">
        <v>2</v>
      </c>
      <c r="F246" s="49">
        <v>93</v>
      </c>
      <c r="G246" s="49" t="s">
        <v>1708</v>
      </c>
      <c r="H246" s="62"/>
      <c r="I246" s="62"/>
      <c r="J246" s="62"/>
      <c r="K246" s="51"/>
      <c r="L246" s="52"/>
    </row>
    <row r="247" spans="1:12" ht="15.5">
      <c r="A247" s="79">
        <v>113</v>
      </c>
      <c r="B247" s="79">
        <v>3123330144</v>
      </c>
      <c r="C247" s="80" t="s">
        <v>1529</v>
      </c>
      <c r="D247" s="79" t="s">
        <v>1771</v>
      </c>
      <c r="E247" s="49">
        <v>1</v>
      </c>
      <c r="F247" s="49">
        <v>100</v>
      </c>
      <c r="G247" s="49" t="s">
        <v>1708</v>
      </c>
      <c r="H247" s="79">
        <v>98</v>
      </c>
      <c r="I247" s="79" t="s">
        <v>1769</v>
      </c>
      <c r="J247" s="79"/>
      <c r="K247" s="51"/>
      <c r="L247" s="52"/>
    </row>
    <row r="248" spans="1:12" ht="15.5">
      <c r="A248" s="62"/>
      <c r="B248" s="62"/>
      <c r="C248" s="62"/>
      <c r="D248" s="62"/>
      <c r="E248" s="49">
        <v>2</v>
      </c>
      <c r="F248" s="49">
        <v>96</v>
      </c>
      <c r="G248" s="49" t="s">
        <v>1708</v>
      </c>
      <c r="H248" s="62"/>
      <c r="I248" s="62"/>
      <c r="J248" s="62"/>
      <c r="K248" s="51"/>
      <c r="L248" s="52"/>
    </row>
    <row r="249" spans="1:12" ht="15.5">
      <c r="A249" s="79">
        <v>114</v>
      </c>
      <c r="B249" s="79">
        <v>3123330380</v>
      </c>
      <c r="C249" s="80" t="s">
        <v>1772</v>
      </c>
      <c r="D249" s="79" t="s">
        <v>1773</v>
      </c>
      <c r="E249" s="49">
        <v>1</v>
      </c>
      <c r="F249" s="49">
        <v>100</v>
      </c>
      <c r="G249" s="49" t="s">
        <v>1708</v>
      </c>
      <c r="H249" s="79">
        <v>99.5</v>
      </c>
      <c r="I249" s="79" t="s">
        <v>1769</v>
      </c>
      <c r="J249" s="79"/>
      <c r="K249" s="51"/>
      <c r="L249" s="52"/>
    </row>
    <row r="250" spans="1:12" ht="15.5">
      <c r="A250" s="62"/>
      <c r="B250" s="62"/>
      <c r="C250" s="62"/>
      <c r="D250" s="62"/>
      <c r="E250" s="49">
        <v>2</v>
      </c>
      <c r="F250" s="49">
        <v>99</v>
      </c>
      <c r="G250" s="49" t="s">
        <v>1708</v>
      </c>
      <c r="H250" s="62"/>
      <c r="I250" s="62"/>
      <c r="J250" s="62"/>
      <c r="K250" s="51"/>
      <c r="L250" s="52"/>
    </row>
    <row r="251" spans="1:12" ht="15.5">
      <c r="A251" s="79">
        <v>115</v>
      </c>
      <c r="B251" s="79">
        <v>3123550024</v>
      </c>
      <c r="C251" s="80" t="s">
        <v>1537</v>
      </c>
      <c r="D251" s="79" t="s">
        <v>1774</v>
      </c>
      <c r="E251" s="49">
        <v>1</v>
      </c>
      <c r="F251" s="49">
        <v>94</v>
      </c>
      <c r="G251" s="49" t="s">
        <v>1708</v>
      </c>
      <c r="H251" s="79">
        <v>95</v>
      </c>
      <c r="I251" s="79" t="s">
        <v>1769</v>
      </c>
      <c r="J251" s="79"/>
      <c r="K251" s="51"/>
      <c r="L251" s="52"/>
    </row>
    <row r="252" spans="1:12" ht="15.5">
      <c r="A252" s="62"/>
      <c r="B252" s="62"/>
      <c r="C252" s="62"/>
      <c r="D252" s="62"/>
      <c r="E252" s="49">
        <v>2</v>
      </c>
      <c r="F252" s="49">
        <v>96</v>
      </c>
      <c r="G252" s="49" t="s">
        <v>1708</v>
      </c>
      <c r="H252" s="62"/>
      <c r="I252" s="62"/>
      <c r="J252" s="62"/>
      <c r="K252" s="51"/>
      <c r="L252" s="52"/>
    </row>
    <row r="253" spans="1:12" ht="15.5">
      <c r="A253" s="79">
        <v>116</v>
      </c>
      <c r="B253" s="79">
        <v>3123550192</v>
      </c>
      <c r="C253" s="80" t="s">
        <v>1504</v>
      </c>
      <c r="D253" s="79" t="s">
        <v>1775</v>
      </c>
      <c r="E253" s="49">
        <v>1</v>
      </c>
      <c r="F253" s="49">
        <v>95</v>
      </c>
      <c r="G253" s="49" t="s">
        <v>1708</v>
      </c>
      <c r="H253" s="79">
        <v>97.5</v>
      </c>
      <c r="I253" s="79" t="s">
        <v>1769</v>
      </c>
      <c r="J253" s="79"/>
      <c r="K253" s="51"/>
      <c r="L253" s="52"/>
    </row>
    <row r="254" spans="1:12" ht="15.5">
      <c r="A254" s="62"/>
      <c r="B254" s="62"/>
      <c r="C254" s="62"/>
      <c r="D254" s="62"/>
      <c r="E254" s="49">
        <v>2</v>
      </c>
      <c r="F254" s="49">
        <v>100</v>
      </c>
      <c r="G254" s="49" t="s">
        <v>1708</v>
      </c>
      <c r="H254" s="62"/>
      <c r="I254" s="62"/>
      <c r="J254" s="62"/>
      <c r="K254" s="51"/>
      <c r="L254" s="52"/>
    </row>
    <row r="255" spans="1:12" ht="15.5">
      <c r="A255" s="79">
        <v>117</v>
      </c>
      <c r="B255" s="79">
        <v>3123550193</v>
      </c>
      <c r="C255" s="80" t="s">
        <v>1497</v>
      </c>
      <c r="D255" s="79" t="s">
        <v>1775</v>
      </c>
      <c r="E255" s="49">
        <v>1</v>
      </c>
      <c r="F255" s="49">
        <v>100</v>
      </c>
      <c r="G255" s="49" t="s">
        <v>1708</v>
      </c>
      <c r="H255" s="79">
        <v>100</v>
      </c>
      <c r="I255" s="79" t="s">
        <v>1769</v>
      </c>
      <c r="J255" s="79"/>
      <c r="K255" s="51"/>
      <c r="L255" s="52"/>
    </row>
    <row r="256" spans="1:12" ht="15.5">
      <c r="A256" s="62"/>
      <c r="B256" s="62"/>
      <c r="C256" s="62"/>
      <c r="D256" s="62"/>
      <c r="E256" s="49">
        <v>2</v>
      </c>
      <c r="F256" s="49">
        <v>100</v>
      </c>
      <c r="G256" s="49" t="s">
        <v>1708</v>
      </c>
      <c r="H256" s="62"/>
      <c r="I256" s="62"/>
      <c r="J256" s="62"/>
      <c r="K256" s="51"/>
      <c r="L256" s="52"/>
    </row>
    <row r="257" spans="1:12" ht="15.5">
      <c r="A257" s="50"/>
      <c r="B257" s="50"/>
      <c r="C257" s="53"/>
      <c r="D257" s="50"/>
      <c r="E257" s="50"/>
      <c r="F257" s="50"/>
      <c r="G257" s="50"/>
      <c r="H257" s="50"/>
      <c r="I257" s="50"/>
      <c r="J257" s="50"/>
      <c r="K257" s="51"/>
      <c r="L257" s="52"/>
    </row>
    <row r="258" spans="1:12" ht="15.5">
      <c r="A258" s="54"/>
      <c r="B258" s="54"/>
      <c r="C258" s="55"/>
      <c r="D258" s="54"/>
      <c r="E258" s="54"/>
      <c r="F258" s="54"/>
      <c r="G258" s="54"/>
      <c r="H258" s="54"/>
      <c r="I258" s="54"/>
      <c r="J258" s="54"/>
      <c r="K258" s="51"/>
      <c r="L258" s="52"/>
    </row>
    <row r="259" spans="1:12" ht="15.5">
      <c r="A259" s="81">
        <v>118</v>
      </c>
      <c r="B259" s="81">
        <v>3124550080</v>
      </c>
      <c r="C259" s="82" t="s">
        <v>1493</v>
      </c>
      <c r="D259" s="81" t="s">
        <v>1776</v>
      </c>
      <c r="E259" s="56">
        <v>1</v>
      </c>
      <c r="F259" s="56">
        <v>82</v>
      </c>
      <c r="G259" s="56" t="s">
        <v>1711</v>
      </c>
      <c r="H259" s="81">
        <v>85.7</v>
      </c>
      <c r="I259" s="81" t="s">
        <v>1769</v>
      </c>
      <c r="J259" s="81"/>
      <c r="K259" s="51"/>
      <c r="L259" s="52"/>
    </row>
    <row r="260" spans="1:12" ht="15.5">
      <c r="A260" s="61"/>
      <c r="B260" s="61"/>
      <c r="C260" s="61"/>
      <c r="D260" s="61"/>
      <c r="E260" s="49">
        <v>2</v>
      </c>
      <c r="F260" s="49">
        <v>92</v>
      </c>
      <c r="G260" s="49" t="s">
        <v>1708</v>
      </c>
      <c r="H260" s="61"/>
      <c r="I260" s="61"/>
      <c r="J260" s="61"/>
      <c r="K260" s="51"/>
      <c r="L260" s="52"/>
    </row>
    <row r="261" spans="1:12" ht="15.5">
      <c r="A261" s="62"/>
      <c r="B261" s="62"/>
      <c r="C261" s="62"/>
      <c r="D261" s="62"/>
      <c r="E261" s="49">
        <v>3</v>
      </c>
      <c r="F261" s="49">
        <v>83</v>
      </c>
      <c r="G261" s="49" t="s">
        <v>1711</v>
      </c>
      <c r="H261" s="62"/>
      <c r="I261" s="62"/>
      <c r="J261" s="62"/>
      <c r="K261" s="51"/>
      <c r="L261" s="52"/>
    </row>
    <row r="262" spans="1:12" ht="15.5">
      <c r="A262" s="79">
        <v>119</v>
      </c>
      <c r="B262" s="79">
        <v>3124550143</v>
      </c>
      <c r="C262" s="80" t="s">
        <v>1522</v>
      </c>
      <c r="D262" s="79" t="s">
        <v>1776</v>
      </c>
      <c r="E262" s="49">
        <v>1</v>
      </c>
      <c r="F262" s="49">
        <v>88</v>
      </c>
      <c r="G262" s="49" t="s">
        <v>1711</v>
      </c>
      <c r="H262" s="79">
        <v>88.3</v>
      </c>
      <c r="I262" s="79" t="s">
        <v>1769</v>
      </c>
      <c r="J262" s="79"/>
      <c r="K262" s="51"/>
      <c r="L262" s="52"/>
    </row>
    <row r="263" spans="1:12" ht="15.5">
      <c r="A263" s="61"/>
      <c r="B263" s="61"/>
      <c r="C263" s="61"/>
      <c r="D263" s="61"/>
      <c r="E263" s="49">
        <v>2</v>
      </c>
      <c r="F263" s="49">
        <v>90</v>
      </c>
      <c r="G263" s="49" t="s">
        <v>1708</v>
      </c>
      <c r="H263" s="61"/>
      <c r="I263" s="61"/>
      <c r="J263" s="61"/>
      <c r="K263" s="51"/>
      <c r="L263" s="52"/>
    </row>
    <row r="264" spans="1:12" ht="15.5">
      <c r="A264" s="62"/>
      <c r="B264" s="62"/>
      <c r="C264" s="62"/>
      <c r="D264" s="62"/>
      <c r="E264" s="49">
        <v>3</v>
      </c>
      <c r="F264" s="49">
        <v>87</v>
      </c>
      <c r="G264" s="49" t="s">
        <v>1711</v>
      </c>
      <c r="H264" s="62"/>
      <c r="I264" s="62"/>
      <c r="J264" s="62"/>
      <c r="K264" s="51"/>
      <c r="L264" s="52"/>
    </row>
    <row r="265" spans="1:12" ht="15.5">
      <c r="A265" s="79">
        <v>120</v>
      </c>
      <c r="B265" s="79">
        <v>3121020023</v>
      </c>
      <c r="C265" s="80" t="s">
        <v>349</v>
      </c>
      <c r="D265" s="79" t="s">
        <v>1777</v>
      </c>
      <c r="E265" s="49">
        <v>1</v>
      </c>
      <c r="F265" s="49">
        <v>100</v>
      </c>
      <c r="G265" s="49" t="s">
        <v>1708</v>
      </c>
      <c r="H265" s="79">
        <v>99</v>
      </c>
      <c r="I265" s="79" t="s">
        <v>1778</v>
      </c>
      <c r="J265" s="79"/>
      <c r="K265" s="51"/>
      <c r="L265" s="52"/>
    </row>
    <row r="266" spans="1:12" ht="15.5">
      <c r="A266" s="62"/>
      <c r="B266" s="62"/>
      <c r="C266" s="62"/>
      <c r="D266" s="62"/>
      <c r="E266" s="49">
        <v>2</v>
      </c>
      <c r="F266" s="49">
        <v>98</v>
      </c>
      <c r="G266" s="49" t="s">
        <v>1708</v>
      </c>
      <c r="H266" s="62"/>
      <c r="I266" s="62"/>
      <c r="J266" s="62"/>
      <c r="K266" s="51"/>
      <c r="L266" s="52"/>
    </row>
    <row r="267" spans="1:12" ht="15.5">
      <c r="A267" s="79">
        <v>121</v>
      </c>
      <c r="B267" s="79">
        <v>3121060033</v>
      </c>
      <c r="C267" s="80" t="s">
        <v>365</v>
      </c>
      <c r="D267" s="79" t="s">
        <v>1779</v>
      </c>
      <c r="E267" s="49">
        <v>1</v>
      </c>
      <c r="F267" s="49">
        <v>100</v>
      </c>
      <c r="G267" s="49" t="s">
        <v>1708</v>
      </c>
      <c r="H267" s="79">
        <v>100</v>
      </c>
      <c r="I267" s="79" t="s">
        <v>1778</v>
      </c>
      <c r="J267" s="79"/>
      <c r="K267" s="51"/>
      <c r="L267" s="52"/>
    </row>
    <row r="268" spans="1:12" ht="15.5">
      <c r="A268" s="62"/>
      <c r="B268" s="62"/>
      <c r="C268" s="62"/>
      <c r="D268" s="62"/>
      <c r="E268" s="49">
        <v>2</v>
      </c>
      <c r="F268" s="49">
        <v>100</v>
      </c>
      <c r="G268" s="49" t="s">
        <v>1708</v>
      </c>
      <c r="H268" s="62"/>
      <c r="I268" s="62"/>
      <c r="J268" s="62"/>
      <c r="K268" s="51"/>
      <c r="L268" s="52"/>
    </row>
    <row r="269" spans="1:12" ht="15.5">
      <c r="A269" s="79">
        <v>122</v>
      </c>
      <c r="B269" s="79">
        <v>3122030009</v>
      </c>
      <c r="C269" s="80" t="s">
        <v>329</v>
      </c>
      <c r="D269" s="79" t="s">
        <v>1780</v>
      </c>
      <c r="E269" s="49">
        <v>1</v>
      </c>
      <c r="F269" s="49">
        <v>100</v>
      </c>
      <c r="G269" s="49" t="s">
        <v>1708</v>
      </c>
      <c r="H269" s="79">
        <v>99</v>
      </c>
      <c r="I269" s="79" t="s">
        <v>1778</v>
      </c>
      <c r="J269" s="79"/>
      <c r="K269" s="51"/>
      <c r="L269" s="52"/>
    </row>
    <row r="270" spans="1:12" ht="15.5">
      <c r="A270" s="62"/>
      <c r="B270" s="62"/>
      <c r="C270" s="62"/>
      <c r="D270" s="62"/>
      <c r="E270" s="49">
        <v>2</v>
      </c>
      <c r="F270" s="49">
        <v>98</v>
      </c>
      <c r="G270" s="49" t="s">
        <v>1708</v>
      </c>
      <c r="H270" s="62"/>
      <c r="I270" s="62"/>
      <c r="J270" s="62"/>
      <c r="K270" s="51"/>
      <c r="L270" s="52"/>
    </row>
    <row r="271" spans="1:12" ht="15.5">
      <c r="A271" s="79">
        <v>123</v>
      </c>
      <c r="B271" s="79">
        <v>3123020002</v>
      </c>
      <c r="C271" s="80" t="s">
        <v>321</v>
      </c>
      <c r="D271" s="79" t="s">
        <v>1781</v>
      </c>
      <c r="E271" s="49">
        <v>1</v>
      </c>
      <c r="F271" s="49">
        <v>100</v>
      </c>
      <c r="G271" s="49" t="s">
        <v>1708</v>
      </c>
      <c r="H271" s="79">
        <v>100</v>
      </c>
      <c r="I271" s="79" t="s">
        <v>1778</v>
      </c>
      <c r="J271" s="79"/>
      <c r="K271" s="51"/>
      <c r="L271" s="52"/>
    </row>
    <row r="272" spans="1:12" ht="15.5">
      <c r="A272" s="62"/>
      <c r="B272" s="62"/>
      <c r="C272" s="62"/>
      <c r="D272" s="62"/>
      <c r="E272" s="49">
        <v>2</v>
      </c>
      <c r="F272" s="49">
        <v>100</v>
      </c>
      <c r="G272" s="49" t="s">
        <v>1708</v>
      </c>
      <c r="H272" s="62"/>
      <c r="I272" s="62"/>
      <c r="J272" s="62"/>
      <c r="K272" s="51"/>
      <c r="L272" s="52"/>
    </row>
    <row r="273" spans="1:12" ht="15.5">
      <c r="A273" s="79">
        <v>124</v>
      </c>
      <c r="B273" s="79">
        <v>3123020013</v>
      </c>
      <c r="C273" s="80" t="s">
        <v>305</v>
      </c>
      <c r="D273" s="79" t="s">
        <v>1781</v>
      </c>
      <c r="E273" s="49">
        <v>1</v>
      </c>
      <c r="F273" s="49">
        <v>100</v>
      </c>
      <c r="G273" s="49" t="s">
        <v>1708</v>
      </c>
      <c r="H273" s="79">
        <v>100</v>
      </c>
      <c r="I273" s="79" t="s">
        <v>1778</v>
      </c>
      <c r="J273" s="79"/>
      <c r="K273" s="51"/>
      <c r="L273" s="52"/>
    </row>
    <row r="274" spans="1:12" ht="15.5">
      <c r="A274" s="62"/>
      <c r="B274" s="62"/>
      <c r="C274" s="62"/>
      <c r="D274" s="62"/>
      <c r="E274" s="49">
        <v>2</v>
      </c>
      <c r="F274" s="49">
        <v>100</v>
      </c>
      <c r="G274" s="49" t="s">
        <v>1708</v>
      </c>
      <c r="H274" s="62"/>
      <c r="I274" s="62"/>
      <c r="J274" s="62"/>
      <c r="K274" s="51"/>
      <c r="L274" s="52"/>
    </row>
    <row r="275" spans="1:12" ht="15.5">
      <c r="A275" s="79">
        <v>125</v>
      </c>
      <c r="B275" s="79">
        <v>3123020016</v>
      </c>
      <c r="C275" s="80" t="s">
        <v>297</v>
      </c>
      <c r="D275" s="79" t="s">
        <v>1781</v>
      </c>
      <c r="E275" s="49">
        <v>1</v>
      </c>
      <c r="F275" s="49">
        <v>93</v>
      </c>
      <c r="G275" s="49" t="s">
        <v>1708</v>
      </c>
      <c r="H275" s="79">
        <v>96.5</v>
      </c>
      <c r="I275" s="79" t="s">
        <v>1778</v>
      </c>
      <c r="J275" s="79"/>
      <c r="K275" s="51"/>
      <c r="L275" s="52"/>
    </row>
    <row r="276" spans="1:12" ht="15.5">
      <c r="A276" s="62"/>
      <c r="B276" s="62"/>
      <c r="C276" s="62"/>
      <c r="D276" s="62"/>
      <c r="E276" s="49">
        <v>2</v>
      </c>
      <c r="F276" s="49">
        <v>100</v>
      </c>
      <c r="G276" s="49" t="s">
        <v>1708</v>
      </c>
      <c r="H276" s="62"/>
      <c r="I276" s="62"/>
      <c r="J276" s="62"/>
      <c r="K276" s="51"/>
      <c r="L276" s="52"/>
    </row>
    <row r="277" spans="1:12" ht="15.5">
      <c r="A277" s="79">
        <v>126</v>
      </c>
      <c r="B277" s="79">
        <v>3123020019</v>
      </c>
      <c r="C277" s="80" t="s">
        <v>337</v>
      </c>
      <c r="D277" s="79" t="s">
        <v>1781</v>
      </c>
      <c r="E277" s="49">
        <v>1</v>
      </c>
      <c r="F277" s="49">
        <v>100</v>
      </c>
      <c r="G277" s="49" t="s">
        <v>1708</v>
      </c>
      <c r="H277" s="79">
        <v>100</v>
      </c>
      <c r="I277" s="79" t="s">
        <v>1778</v>
      </c>
      <c r="J277" s="79"/>
      <c r="K277" s="51"/>
      <c r="L277" s="52"/>
    </row>
    <row r="278" spans="1:12" ht="15.5">
      <c r="A278" s="62"/>
      <c r="B278" s="62"/>
      <c r="C278" s="62"/>
      <c r="D278" s="62"/>
      <c r="E278" s="49">
        <v>2</v>
      </c>
      <c r="F278" s="49">
        <v>100</v>
      </c>
      <c r="G278" s="49" t="s">
        <v>1708</v>
      </c>
      <c r="H278" s="62"/>
      <c r="I278" s="62"/>
      <c r="J278" s="62"/>
      <c r="K278" s="51"/>
      <c r="L278" s="52"/>
    </row>
    <row r="279" spans="1:12" ht="15.5">
      <c r="A279" s="79">
        <v>127</v>
      </c>
      <c r="B279" s="79">
        <v>3123020023</v>
      </c>
      <c r="C279" s="80" t="s">
        <v>287</v>
      </c>
      <c r="D279" s="79" t="s">
        <v>1781</v>
      </c>
      <c r="E279" s="49">
        <v>1</v>
      </c>
      <c r="F279" s="49">
        <v>100</v>
      </c>
      <c r="G279" s="49" t="s">
        <v>1708</v>
      </c>
      <c r="H279" s="79">
        <v>100</v>
      </c>
      <c r="I279" s="79" t="s">
        <v>1778</v>
      </c>
      <c r="J279" s="79"/>
      <c r="K279" s="51"/>
      <c r="L279" s="52"/>
    </row>
    <row r="280" spans="1:12" ht="15.5">
      <c r="A280" s="62"/>
      <c r="B280" s="62"/>
      <c r="C280" s="62"/>
      <c r="D280" s="62"/>
      <c r="E280" s="49">
        <v>2</v>
      </c>
      <c r="F280" s="49">
        <v>100</v>
      </c>
      <c r="G280" s="49" t="s">
        <v>1708</v>
      </c>
      <c r="H280" s="62"/>
      <c r="I280" s="62"/>
      <c r="J280" s="62"/>
      <c r="K280" s="51"/>
      <c r="L280" s="52"/>
    </row>
    <row r="281" spans="1:12" ht="15.5">
      <c r="A281" s="79">
        <v>128</v>
      </c>
      <c r="B281" s="79">
        <v>3123020031</v>
      </c>
      <c r="C281" s="80" t="s">
        <v>345</v>
      </c>
      <c r="D281" s="79" t="s">
        <v>1781</v>
      </c>
      <c r="E281" s="49">
        <v>1</v>
      </c>
      <c r="F281" s="49">
        <v>90</v>
      </c>
      <c r="G281" s="49" t="s">
        <v>1708</v>
      </c>
      <c r="H281" s="79">
        <v>94.5</v>
      </c>
      <c r="I281" s="79" t="s">
        <v>1778</v>
      </c>
      <c r="J281" s="79"/>
      <c r="K281" s="51"/>
      <c r="L281" s="52"/>
    </row>
    <row r="282" spans="1:12" ht="15.5">
      <c r="A282" s="62"/>
      <c r="B282" s="62"/>
      <c r="C282" s="62"/>
      <c r="D282" s="62"/>
      <c r="E282" s="49">
        <v>2</v>
      </c>
      <c r="F282" s="49">
        <v>99</v>
      </c>
      <c r="G282" s="49" t="s">
        <v>1708</v>
      </c>
      <c r="H282" s="62"/>
      <c r="I282" s="62"/>
      <c r="J282" s="62"/>
      <c r="K282" s="51"/>
      <c r="L282" s="52"/>
    </row>
    <row r="283" spans="1:12" ht="15.5">
      <c r="A283" s="79">
        <v>129</v>
      </c>
      <c r="B283" s="79">
        <v>3123020035</v>
      </c>
      <c r="C283" s="80" t="s">
        <v>373</v>
      </c>
      <c r="D283" s="79" t="s">
        <v>1781</v>
      </c>
      <c r="E283" s="49">
        <v>1</v>
      </c>
      <c r="F283" s="49">
        <v>90</v>
      </c>
      <c r="G283" s="49" t="s">
        <v>1708</v>
      </c>
      <c r="H283" s="79">
        <v>94</v>
      </c>
      <c r="I283" s="79" t="s">
        <v>1778</v>
      </c>
      <c r="J283" s="79"/>
      <c r="K283" s="51"/>
      <c r="L283" s="52"/>
    </row>
    <row r="284" spans="1:12" ht="15.5">
      <c r="A284" s="62"/>
      <c r="B284" s="62"/>
      <c r="C284" s="62"/>
      <c r="D284" s="62"/>
      <c r="E284" s="49">
        <v>2</v>
      </c>
      <c r="F284" s="49">
        <v>98</v>
      </c>
      <c r="G284" s="49" t="s">
        <v>1708</v>
      </c>
      <c r="H284" s="62"/>
      <c r="I284" s="62"/>
      <c r="J284" s="62"/>
      <c r="K284" s="51"/>
      <c r="L284" s="52"/>
    </row>
    <row r="285" spans="1:12" ht="15.5">
      <c r="A285" s="79">
        <v>130</v>
      </c>
      <c r="B285" s="79">
        <v>3123060014</v>
      </c>
      <c r="C285" s="80" t="s">
        <v>1782</v>
      </c>
      <c r="D285" s="79" t="s">
        <v>1783</v>
      </c>
      <c r="E285" s="49">
        <v>1</v>
      </c>
      <c r="F285" s="49">
        <v>93</v>
      </c>
      <c r="G285" s="49" t="s">
        <v>1708</v>
      </c>
      <c r="H285" s="79">
        <v>96.5</v>
      </c>
      <c r="I285" s="79" t="s">
        <v>1778</v>
      </c>
      <c r="J285" s="79"/>
      <c r="K285" s="51"/>
      <c r="L285" s="52"/>
    </row>
    <row r="286" spans="1:12" ht="15.5">
      <c r="A286" s="62"/>
      <c r="B286" s="62"/>
      <c r="C286" s="62"/>
      <c r="D286" s="62"/>
      <c r="E286" s="49">
        <v>2</v>
      </c>
      <c r="F286" s="49">
        <v>100</v>
      </c>
      <c r="G286" s="49" t="s">
        <v>1708</v>
      </c>
      <c r="H286" s="62"/>
      <c r="I286" s="62"/>
      <c r="J286" s="62"/>
      <c r="K286" s="51"/>
      <c r="L286" s="52"/>
    </row>
    <row r="287" spans="1:12" ht="15.5">
      <c r="A287" s="79">
        <v>131</v>
      </c>
      <c r="B287" s="79">
        <v>3123060018</v>
      </c>
      <c r="C287" s="80" t="s">
        <v>313</v>
      </c>
      <c r="D287" s="79" t="s">
        <v>1783</v>
      </c>
      <c r="E287" s="49">
        <v>1</v>
      </c>
      <c r="F287" s="49">
        <v>90</v>
      </c>
      <c r="G287" s="49" t="s">
        <v>1708</v>
      </c>
      <c r="H287" s="79">
        <v>95</v>
      </c>
      <c r="I287" s="79" t="s">
        <v>1778</v>
      </c>
      <c r="J287" s="79"/>
      <c r="K287" s="51"/>
      <c r="L287" s="52"/>
    </row>
    <row r="288" spans="1:12" ht="15.5">
      <c r="A288" s="62"/>
      <c r="B288" s="62"/>
      <c r="C288" s="62"/>
      <c r="D288" s="62"/>
      <c r="E288" s="49">
        <v>2</v>
      </c>
      <c r="F288" s="49">
        <v>100</v>
      </c>
      <c r="G288" s="49" t="s">
        <v>1708</v>
      </c>
      <c r="H288" s="62"/>
      <c r="I288" s="62"/>
      <c r="J288" s="62"/>
      <c r="K288" s="51"/>
      <c r="L288" s="52"/>
    </row>
    <row r="289" spans="1:12" ht="15.5">
      <c r="A289" s="79">
        <v>132</v>
      </c>
      <c r="B289" s="79">
        <v>3123060021</v>
      </c>
      <c r="C289" s="80" t="s">
        <v>357</v>
      </c>
      <c r="D289" s="79" t="s">
        <v>1783</v>
      </c>
      <c r="E289" s="49">
        <v>1</v>
      </c>
      <c r="F289" s="49">
        <v>97</v>
      </c>
      <c r="G289" s="49" t="s">
        <v>1708</v>
      </c>
      <c r="H289" s="79">
        <v>98.5</v>
      </c>
      <c r="I289" s="79" t="s">
        <v>1778</v>
      </c>
      <c r="J289" s="79"/>
      <c r="K289" s="51"/>
      <c r="L289" s="52"/>
    </row>
    <row r="290" spans="1:12" ht="15.5">
      <c r="A290" s="62"/>
      <c r="B290" s="62"/>
      <c r="C290" s="62"/>
      <c r="D290" s="62"/>
      <c r="E290" s="49">
        <v>2</v>
      </c>
      <c r="F290" s="49">
        <v>100</v>
      </c>
      <c r="G290" s="49" t="s">
        <v>1708</v>
      </c>
      <c r="H290" s="62"/>
      <c r="I290" s="62"/>
      <c r="J290" s="62"/>
      <c r="K290" s="51"/>
      <c r="L290" s="52"/>
    </row>
    <row r="291" spans="1:12" ht="15.5">
      <c r="A291" s="79">
        <v>133</v>
      </c>
      <c r="B291" s="79">
        <v>3121320307</v>
      </c>
      <c r="C291" s="80" t="s">
        <v>1194</v>
      </c>
      <c r="D291" s="79" t="s">
        <v>1784</v>
      </c>
      <c r="E291" s="49">
        <v>1</v>
      </c>
      <c r="F291" s="49">
        <v>100</v>
      </c>
      <c r="G291" s="49" t="s">
        <v>1708</v>
      </c>
      <c r="H291" s="79">
        <v>98.5</v>
      </c>
      <c r="I291" s="79" t="s">
        <v>1785</v>
      </c>
      <c r="J291" s="79"/>
      <c r="K291" s="51"/>
      <c r="L291" s="52"/>
    </row>
    <row r="292" spans="1:12" ht="15.5">
      <c r="A292" s="62"/>
      <c r="B292" s="62"/>
      <c r="C292" s="62"/>
      <c r="D292" s="62"/>
      <c r="E292" s="49">
        <v>2</v>
      </c>
      <c r="F292" s="49">
        <v>97</v>
      </c>
      <c r="G292" s="49" t="s">
        <v>1708</v>
      </c>
      <c r="H292" s="62"/>
      <c r="I292" s="62"/>
      <c r="J292" s="62"/>
      <c r="K292" s="51"/>
      <c r="L292" s="52"/>
    </row>
    <row r="293" spans="1:12" ht="15.5">
      <c r="A293" s="79">
        <v>134</v>
      </c>
      <c r="B293" s="79">
        <v>3121320360</v>
      </c>
      <c r="C293" s="80" t="s">
        <v>1122</v>
      </c>
      <c r="D293" s="79" t="s">
        <v>1786</v>
      </c>
      <c r="E293" s="49">
        <v>1</v>
      </c>
      <c r="F293" s="49">
        <v>100</v>
      </c>
      <c r="G293" s="49" t="s">
        <v>1708</v>
      </c>
      <c r="H293" s="79">
        <v>99.5</v>
      </c>
      <c r="I293" s="79" t="s">
        <v>1785</v>
      </c>
      <c r="J293" s="79"/>
      <c r="K293" s="51"/>
      <c r="L293" s="52"/>
    </row>
    <row r="294" spans="1:12" ht="15.5">
      <c r="A294" s="62"/>
      <c r="B294" s="62"/>
      <c r="C294" s="62"/>
      <c r="D294" s="62"/>
      <c r="E294" s="49">
        <v>2</v>
      </c>
      <c r="F294" s="49">
        <v>99</v>
      </c>
      <c r="G294" s="49" t="s">
        <v>1708</v>
      </c>
      <c r="H294" s="62"/>
      <c r="I294" s="62"/>
      <c r="J294" s="62"/>
      <c r="K294" s="51"/>
      <c r="L294" s="52"/>
    </row>
    <row r="295" spans="1:12" ht="15.5">
      <c r="A295" s="79">
        <v>135</v>
      </c>
      <c r="B295" s="79">
        <v>3121320436</v>
      </c>
      <c r="C295" s="80" t="s">
        <v>1787</v>
      </c>
      <c r="D295" s="79" t="s">
        <v>1788</v>
      </c>
      <c r="E295" s="49">
        <v>1</v>
      </c>
      <c r="F295" s="49">
        <v>100</v>
      </c>
      <c r="G295" s="49" t="s">
        <v>1708</v>
      </c>
      <c r="H295" s="79">
        <v>98</v>
      </c>
      <c r="I295" s="79" t="s">
        <v>1785</v>
      </c>
      <c r="J295" s="79"/>
      <c r="K295" s="51"/>
      <c r="L295" s="52"/>
    </row>
    <row r="296" spans="1:12" ht="15.5">
      <c r="A296" s="62"/>
      <c r="B296" s="62"/>
      <c r="C296" s="62"/>
      <c r="D296" s="62"/>
      <c r="E296" s="49">
        <v>2</v>
      </c>
      <c r="F296" s="49">
        <v>96</v>
      </c>
      <c r="G296" s="49" t="s">
        <v>1708</v>
      </c>
      <c r="H296" s="62"/>
      <c r="I296" s="62"/>
      <c r="J296" s="62"/>
      <c r="K296" s="51"/>
      <c r="L296" s="52"/>
    </row>
    <row r="297" spans="1:12" ht="15.5">
      <c r="A297" s="79">
        <v>136</v>
      </c>
      <c r="B297" s="79">
        <v>3121420311</v>
      </c>
      <c r="C297" s="80" t="s">
        <v>1284</v>
      </c>
      <c r="D297" s="79" t="s">
        <v>1789</v>
      </c>
      <c r="E297" s="49">
        <v>1</v>
      </c>
      <c r="F297" s="49">
        <v>90</v>
      </c>
      <c r="G297" s="49" t="s">
        <v>1708</v>
      </c>
      <c r="H297" s="79">
        <v>91.5</v>
      </c>
      <c r="I297" s="79" t="s">
        <v>1785</v>
      </c>
      <c r="J297" s="79"/>
      <c r="K297" s="51"/>
      <c r="L297" s="52"/>
    </row>
    <row r="298" spans="1:12" ht="15.5">
      <c r="A298" s="62"/>
      <c r="B298" s="62"/>
      <c r="C298" s="62"/>
      <c r="D298" s="62"/>
      <c r="E298" s="49">
        <v>2</v>
      </c>
      <c r="F298" s="49">
        <v>93</v>
      </c>
      <c r="G298" s="49" t="s">
        <v>1708</v>
      </c>
      <c r="H298" s="62"/>
      <c r="I298" s="62"/>
      <c r="J298" s="62"/>
      <c r="K298" s="51"/>
      <c r="L298" s="52"/>
    </row>
    <row r="299" spans="1:12" ht="15.5">
      <c r="A299" s="79">
        <v>137</v>
      </c>
      <c r="B299" s="79">
        <v>3122320069</v>
      </c>
      <c r="C299" s="80" t="s">
        <v>1276</v>
      </c>
      <c r="D299" s="79" t="s">
        <v>1790</v>
      </c>
      <c r="E299" s="49">
        <v>1</v>
      </c>
      <c r="F299" s="49">
        <v>99</v>
      </c>
      <c r="G299" s="49" t="s">
        <v>1708</v>
      </c>
      <c r="H299" s="79">
        <v>99</v>
      </c>
      <c r="I299" s="79" t="s">
        <v>1785</v>
      </c>
      <c r="J299" s="79"/>
      <c r="K299" s="51"/>
      <c r="L299" s="52"/>
    </row>
    <row r="300" spans="1:12" ht="15.5">
      <c r="A300" s="62"/>
      <c r="B300" s="62"/>
      <c r="C300" s="62"/>
      <c r="D300" s="62"/>
      <c r="E300" s="49">
        <v>2</v>
      </c>
      <c r="F300" s="49">
        <v>99</v>
      </c>
      <c r="G300" s="49" t="s">
        <v>1708</v>
      </c>
      <c r="H300" s="62"/>
      <c r="I300" s="62"/>
      <c r="J300" s="62"/>
      <c r="K300" s="51"/>
      <c r="L300" s="52"/>
    </row>
    <row r="301" spans="1:12" ht="15.5">
      <c r="A301" s="79">
        <v>138</v>
      </c>
      <c r="B301" s="79">
        <v>3122320138</v>
      </c>
      <c r="C301" s="80" t="s">
        <v>1098</v>
      </c>
      <c r="D301" s="79" t="s">
        <v>1791</v>
      </c>
      <c r="E301" s="49">
        <v>1</v>
      </c>
      <c r="F301" s="49">
        <v>100</v>
      </c>
      <c r="G301" s="49" t="s">
        <v>1708</v>
      </c>
      <c r="H301" s="79">
        <v>98.5</v>
      </c>
      <c r="I301" s="79" t="s">
        <v>1785</v>
      </c>
      <c r="J301" s="79"/>
      <c r="K301" s="51"/>
      <c r="L301" s="52"/>
    </row>
    <row r="302" spans="1:12" ht="15.5">
      <c r="A302" s="62"/>
      <c r="B302" s="62"/>
      <c r="C302" s="62"/>
      <c r="D302" s="62"/>
      <c r="E302" s="49">
        <v>2</v>
      </c>
      <c r="F302" s="49">
        <v>97</v>
      </c>
      <c r="G302" s="49" t="s">
        <v>1708</v>
      </c>
      <c r="H302" s="62"/>
      <c r="I302" s="62"/>
      <c r="J302" s="62"/>
      <c r="K302" s="51"/>
      <c r="L302" s="52"/>
    </row>
    <row r="303" spans="1:12" ht="15.5">
      <c r="A303" s="79">
        <v>139</v>
      </c>
      <c r="B303" s="79">
        <v>3122420074</v>
      </c>
      <c r="C303" s="80" t="s">
        <v>1792</v>
      </c>
      <c r="D303" s="79" t="s">
        <v>1793</v>
      </c>
      <c r="E303" s="49">
        <v>1</v>
      </c>
      <c r="F303" s="49">
        <v>97</v>
      </c>
      <c r="G303" s="49" t="s">
        <v>1708</v>
      </c>
      <c r="H303" s="79">
        <v>97.5</v>
      </c>
      <c r="I303" s="79" t="s">
        <v>1785</v>
      </c>
      <c r="J303" s="79"/>
      <c r="K303" s="51"/>
      <c r="L303" s="52"/>
    </row>
    <row r="304" spans="1:12" ht="15.5">
      <c r="A304" s="62"/>
      <c r="B304" s="62"/>
      <c r="C304" s="62"/>
      <c r="D304" s="62"/>
      <c r="E304" s="49">
        <v>2</v>
      </c>
      <c r="F304" s="49">
        <v>98</v>
      </c>
      <c r="G304" s="49" t="s">
        <v>1708</v>
      </c>
      <c r="H304" s="62"/>
      <c r="I304" s="62"/>
      <c r="J304" s="62"/>
      <c r="K304" s="51"/>
      <c r="L304" s="52"/>
    </row>
    <row r="305" spans="1:12" ht="15.5">
      <c r="A305" s="79">
        <v>140</v>
      </c>
      <c r="B305" s="79">
        <v>3122420079</v>
      </c>
      <c r="C305" s="80" t="s">
        <v>1268</v>
      </c>
      <c r="D305" s="79" t="s">
        <v>1794</v>
      </c>
      <c r="E305" s="49">
        <v>1</v>
      </c>
      <c r="F305" s="49">
        <v>100</v>
      </c>
      <c r="G305" s="49" t="s">
        <v>1708</v>
      </c>
      <c r="H305" s="79">
        <v>100</v>
      </c>
      <c r="I305" s="79" t="s">
        <v>1785</v>
      </c>
      <c r="J305" s="79"/>
      <c r="K305" s="51"/>
      <c r="L305" s="52"/>
    </row>
    <row r="306" spans="1:12" ht="15.5">
      <c r="A306" s="62"/>
      <c r="B306" s="62"/>
      <c r="C306" s="62"/>
      <c r="D306" s="62"/>
      <c r="E306" s="49">
        <v>2</v>
      </c>
      <c r="F306" s="49">
        <v>100</v>
      </c>
      <c r="G306" s="49" t="s">
        <v>1708</v>
      </c>
      <c r="H306" s="62"/>
      <c r="I306" s="62"/>
      <c r="J306" s="62"/>
      <c r="K306" s="51"/>
      <c r="L306" s="52"/>
    </row>
    <row r="307" spans="1:12" ht="15.5">
      <c r="A307" s="79">
        <v>141</v>
      </c>
      <c r="B307" s="79">
        <v>3122420300</v>
      </c>
      <c r="C307" s="80" t="s">
        <v>1156</v>
      </c>
      <c r="D307" s="79" t="s">
        <v>1795</v>
      </c>
      <c r="E307" s="49">
        <v>1</v>
      </c>
      <c r="F307" s="49">
        <v>97</v>
      </c>
      <c r="G307" s="49" t="s">
        <v>1708</v>
      </c>
      <c r="H307" s="79">
        <v>93.5</v>
      </c>
      <c r="I307" s="79" t="s">
        <v>1785</v>
      </c>
      <c r="J307" s="79"/>
      <c r="K307" s="51"/>
      <c r="L307" s="52"/>
    </row>
    <row r="308" spans="1:12" ht="15.5">
      <c r="A308" s="62"/>
      <c r="B308" s="62"/>
      <c r="C308" s="62"/>
      <c r="D308" s="62"/>
      <c r="E308" s="49">
        <v>2</v>
      </c>
      <c r="F308" s="49">
        <v>90</v>
      </c>
      <c r="G308" s="49" t="s">
        <v>1708</v>
      </c>
      <c r="H308" s="62"/>
      <c r="I308" s="62"/>
      <c r="J308" s="62"/>
      <c r="K308" s="51"/>
      <c r="L308" s="52"/>
    </row>
    <row r="309" spans="1:12" ht="15.5">
      <c r="A309" s="79">
        <v>142</v>
      </c>
      <c r="B309" s="79">
        <v>3123320154</v>
      </c>
      <c r="C309" s="80" t="s">
        <v>313</v>
      </c>
      <c r="D309" s="79" t="s">
        <v>1796</v>
      </c>
      <c r="E309" s="49">
        <v>1</v>
      </c>
      <c r="F309" s="49">
        <v>86</v>
      </c>
      <c r="G309" s="49" t="s">
        <v>1711</v>
      </c>
      <c r="H309" s="79">
        <v>93</v>
      </c>
      <c r="I309" s="79" t="s">
        <v>1785</v>
      </c>
      <c r="J309" s="79"/>
      <c r="K309" s="51"/>
      <c r="L309" s="52"/>
    </row>
    <row r="310" spans="1:12" ht="15.5">
      <c r="A310" s="62"/>
      <c r="B310" s="62"/>
      <c r="C310" s="62"/>
      <c r="D310" s="62"/>
      <c r="E310" s="49">
        <v>2</v>
      </c>
      <c r="F310" s="49">
        <v>100</v>
      </c>
      <c r="G310" s="49" t="s">
        <v>1708</v>
      </c>
      <c r="H310" s="62"/>
      <c r="I310" s="62"/>
      <c r="J310" s="62"/>
      <c r="K310" s="51"/>
      <c r="L310" s="52"/>
    </row>
    <row r="311" spans="1:12" ht="15.5">
      <c r="A311" s="79">
        <v>143</v>
      </c>
      <c r="B311" s="79">
        <v>3123420295</v>
      </c>
      <c r="C311" s="80" t="s">
        <v>1181</v>
      </c>
      <c r="D311" s="79" t="s">
        <v>1797</v>
      </c>
      <c r="E311" s="49">
        <v>1</v>
      </c>
      <c r="F311" s="49">
        <v>100</v>
      </c>
      <c r="G311" s="49" t="s">
        <v>1708</v>
      </c>
      <c r="H311" s="79">
        <v>96.5</v>
      </c>
      <c r="I311" s="79" t="s">
        <v>1785</v>
      </c>
      <c r="J311" s="79"/>
      <c r="K311" s="51"/>
      <c r="L311" s="52"/>
    </row>
    <row r="312" spans="1:12" ht="15.5">
      <c r="A312" s="62"/>
      <c r="B312" s="62"/>
      <c r="C312" s="62"/>
      <c r="D312" s="62"/>
      <c r="E312" s="49">
        <v>2</v>
      </c>
      <c r="F312" s="49">
        <v>93</v>
      </c>
      <c r="G312" s="49" t="s">
        <v>1708</v>
      </c>
      <c r="H312" s="62"/>
      <c r="I312" s="62"/>
      <c r="J312" s="62"/>
      <c r="K312" s="51"/>
      <c r="L312" s="52"/>
    </row>
    <row r="313" spans="1:12" ht="15.5">
      <c r="A313" s="79">
        <v>144</v>
      </c>
      <c r="B313" s="79">
        <v>3123420299</v>
      </c>
      <c r="C313" s="80" t="s">
        <v>1212</v>
      </c>
      <c r="D313" s="79" t="s">
        <v>1798</v>
      </c>
      <c r="E313" s="49">
        <v>1</v>
      </c>
      <c r="F313" s="49">
        <v>93</v>
      </c>
      <c r="G313" s="49" t="s">
        <v>1708</v>
      </c>
      <c r="H313" s="79">
        <v>89.5</v>
      </c>
      <c r="I313" s="79" t="s">
        <v>1785</v>
      </c>
      <c r="J313" s="79"/>
      <c r="K313" s="51"/>
      <c r="L313" s="52"/>
    </row>
    <row r="314" spans="1:12" ht="15.5">
      <c r="A314" s="62"/>
      <c r="B314" s="62"/>
      <c r="C314" s="62"/>
      <c r="D314" s="62"/>
      <c r="E314" s="49">
        <v>2</v>
      </c>
      <c r="F314" s="49">
        <v>86</v>
      </c>
      <c r="G314" s="49" t="s">
        <v>1711</v>
      </c>
      <c r="H314" s="62"/>
      <c r="I314" s="62"/>
      <c r="J314" s="62"/>
      <c r="K314" s="51"/>
      <c r="L314" s="52"/>
    </row>
    <row r="315" spans="1:12" ht="15.5">
      <c r="A315" s="79">
        <v>145</v>
      </c>
      <c r="B315" s="79">
        <v>3124320324</v>
      </c>
      <c r="C315" s="80" t="s">
        <v>1243</v>
      </c>
      <c r="D315" s="79" t="s">
        <v>1799</v>
      </c>
      <c r="E315" s="49">
        <v>1</v>
      </c>
      <c r="F315" s="49">
        <v>88</v>
      </c>
      <c r="G315" s="49" t="s">
        <v>1711</v>
      </c>
      <c r="H315" s="79">
        <v>86.3</v>
      </c>
      <c r="I315" s="79" t="s">
        <v>1785</v>
      </c>
      <c r="J315" s="79"/>
      <c r="K315" s="51"/>
      <c r="L315" s="52"/>
    </row>
    <row r="316" spans="1:12" ht="15.5">
      <c r="A316" s="61"/>
      <c r="B316" s="61"/>
      <c r="C316" s="61"/>
      <c r="D316" s="61"/>
      <c r="E316" s="49">
        <v>2</v>
      </c>
      <c r="F316" s="49">
        <v>80</v>
      </c>
      <c r="G316" s="49" t="s">
        <v>1711</v>
      </c>
      <c r="H316" s="61"/>
      <c r="I316" s="61"/>
      <c r="J316" s="61"/>
      <c r="K316" s="51"/>
      <c r="L316" s="52"/>
    </row>
    <row r="317" spans="1:12" ht="15.5">
      <c r="A317" s="62"/>
      <c r="B317" s="62"/>
      <c r="C317" s="62"/>
      <c r="D317" s="62"/>
      <c r="E317" s="49">
        <v>3</v>
      </c>
      <c r="F317" s="49">
        <v>91</v>
      </c>
      <c r="G317" s="49" t="s">
        <v>1708</v>
      </c>
      <c r="H317" s="62"/>
      <c r="I317" s="62"/>
      <c r="J317" s="62"/>
      <c r="K317" s="51"/>
      <c r="L317" s="52"/>
    </row>
    <row r="318" spans="1:12" ht="15.5">
      <c r="A318" s="79">
        <v>146</v>
      </c>
      <c r="B318" s="79">
        <v>3121010002</v>
      </c>
      <c r="C318" s="80" t="s">
        <v>1065</v>
      </c>
      <c r="D318" s="79" t="s">
        <v>1800</v>
      </c>
      <c r="E318" s="49">
        <v>1</v>
      </c>
      <c r="F318" s="49">
        <v>100</v>
      </c>
      <c r="G318" s="49" t="s">
        <v>1708</v>
      </c>
      <c r="H318" s="79">
        <v>100</v>
      </c>
      <c r="I318" s="79" t="s">
        <v>1801</v>
      </c>
      <c r="J318" s="79"/>
      <c r="K318" s="51"/>
      <c r="L318" s="52"/>
    </row>
    <row r="319" spans="1:12" ht="15.5">
      <c r="A319" s="62"/>
      <c r="B319" s="62"/>
      <c r="C319" s="62"/>
      <c r="D319" s="62"/>
      <c r="E319" s="49">
        <v>2</v>
      </c>
      <c r="F319" s="49">
        <v>100</v>
      </c>
      <c r="G319" s="49" t="s">
        <v>1708</v>
      </c>
      <c r="H319" s="62"/>
      <c r="I319" s="62"/>
      <c r="J319" s="62"/>
      <c r="K319" s="51"/>
      <c r="L319" s="52"/>
    </row>
    <row r="320" spans="1:12" ht="15.5">
      <c r="A320" s="79">
        <v>147</v>
      </c>
      <c r="B320" s="79">
        <v>3121480038</v>
      </c>
      <c r="C320" s="80" t="s">
        <v>1031</v>
      </c>
      <c r="D320" s="79" t="s">
        <v>1802</v>
      </c>
      <c r="E320" s="49">
        <v>1</v>
      </c>
      <c r="F320" s="49">
        <v>100</v>
      </c>
      <c r="G320" s="49" t="s">
        <v>1708</v>
      </c>
      <c r="H320" s="79">
        <v>98.5</v>
      </c>
      <c r="I320" s="79" t="s">
        <v>1801</v>
      </c>
      <c r="J320" s="79"/>
      <c r="K320" s="51"/>
      <c r="L320" s="52"/>
    </row>
    <row r="321" spans="1:12" ht="15.5">
      <c r="A321" s="62"/>
      <c r="B321" s="62"/>
      <c r="C321" s="62"/>
      <c r="D321" s="62"/>
      <c r="E321" s="49">
        <v>2</v>
      </c>
      <c r="F321" s="49">
        <v>97</v>
      </c>
      <c r="G321" s="49" t="s">
        <v>1708</v>
      </c>
      <c r="H321" s="62"/>
      <c r="I321" s="62"/>
      <c r="J321" s="62"/>
      <c r="K321" s="51"/>
      <c r="L321" s="52"/>
    </row>
    <row r="322" spans="1:12" ht="15.5">
      <c r="A322" s="79">
        <v>148</v>
      </c>
      <c r="B322" s="79">
        <v>3121480061</v>
      </c>
      <c r="C322" s="80" t="s">
        <v>1008</v>
      </c>
      <c r="D322" s="79" t="s">
        <v>1802</v>
      </c>
      <c r="E322" s="49">
        <v>1</v>
      </c>
      <c r="F322" s="49">
        <v>95</v>
      </c>
      <c r="G322" s="49" t="s">
        <v>1708</v>
      </c>
      <c r="H322" s="79">
        <v>97.5</v>
      </c>
      <c r="I322" s="79" t="s">
        <v>1801</v>
      </c>
      <c r="J322" s="79"/>
      <c r="K322" s="51"/>
      <c r="L322" s="52"/>
    </row>
    <row r="323" spans="1:12" ht="15.5">
      <c r="A323" s="62"/>
      <c r="B323" s="62"/>
      <c r="C323" s="62"/>
      <c r="D323" s="62"/>
      <c r="E323" s="49">
        <v>2</v>
      </c>
      <c r="F323" s="49">
        <v>100</v>
      </c>
      <c r="G323" s="49" t="s">
        <v>1708</v>
      </c>
      <c r="H323" s="62"/>
      <c r="I323" s="62"/>
      <c r="J323" s="62"/>
      <c r="K323" s="51"/>
      <c r="L323" s="52"/>
    </row>
    <row r="324" spans="1:12" ht="15.5">
      <c r="A324" s="79">
        <v>149</v>
      </c>
      <c r="B324" s="79">
        <v>3121480068</v>
      </c>
      <c r="C324" s="80" t="s">
        <v>1047</v>
      </c>
      <c r="D324" s="79" t="s">
        <v>1802</v>
      </c>
      <c r="E324" s="49">
        <v>1</v>
      </c>
      <c r="F324" s="49">
        <v>100</v>
      </c>
      <c r="G324" s="49" t="s">
        <v>1708</v>
      </c>
      <c r="H324" s="79">
        <v>95.5</v>
      </c>
      <c r="I324" s="79" t="s">
        <v>1801</v>
      </c>
      <c r="J324" s="79"/>
      <c r="K324" s="51"/>
      <c r="L324" s="52"/>
    </row>
    <row r="325" spans="1:12" ht="15.5">
      <c r="A325" s="62"/>
      <c r="B325" s="62"/>
      <c r="C325" s="62"/>
      <c r="D325" s="62"/>
      <c r="E325" s="49">
        <v>2</v>
      </c>
      <c r="F325" s="49">
        <v>91</v>
      </c>
      <c r="G325" s="49" t="s">
        <v>1708</v>
      </c>
      <c r="H325" s="62"/>
      <c r="I325" s="62"/>
      <c r="J325" s="62"/>
      <c r="K325" s="51"/>
      <c r="L325" s="52"/>
    </row>
    <row r="326" spans="1:12" ht="15.5">
      <c r="A326" s="79">
        <v>150</v>
      </c>
      <c r="B326" s="79">
        <v>3122010005</v>
      </c>
      <c r="C326" s="80" t="s">
        <v>1037</v>
      </c>
      <c r="D326" s="79" t="s">
        <v>1803</v>
      </c>
      <c r="E326" s="49">
        <v>1</v>
      </c>
      <c r="F326" s="49">
        <v>99</v>
      </c>
      <c r="G326" s="49" t="s">
        <v>1708</v>
      </c>
      <c r="H326" s="79">
        <v>97</v>
      </c>
      <c r="I326" s="79" t="s">
        <v>1801</v>
      </c>
      <c r="J326" s="79"/>
      <c r="K326" s="51"/>
      <c r="L326" s="52"/>
    </row>
    <row r="327" spans="1:12" ht="15.5">
      <c r="A327" s="62"/>
      <c r="B327" s="62"/>
      <c r="C327" s="62"/>
      <c r="D327" s="62"/>
      <c r="E327" s="49">
        <v>2</v>
      </c>
      <c r="F327" s="49">
        <v>95</v>
      </c>
      <c r="G327" s="49" t="s">
        <v>1708</v>
      </c>
      <c r="H327" s="62"/>
      <c r="I327" s="62"/>
      <c r="J327" s="62"/>
      <c r="K327" s="51"/>
      <c r="L327" s="52"/>
    </row>
    <row r="328" spans="1:12" ht="15.5">
      <c r="A328" s="79">
        <v>151</v>
      </c>
      <c r="B328" s="79">
        <v>3123010004</v>
      </c>
      <c r="C328" s="80" t="s">
        <v>974</v>
      </c>
      <c r="D328" s="79" t="s">
        <v>1804</v>
      </c>
      <c r="E328" s="49">
        <v>1</v>
      </c>
      <c r="F328" s="49">
        <v>100</v>
      </c>
      <c r="G328" s="49" t="s">
        <v>1708</v>
      </c>
      <c r="H328" s="79">
        <v>96</v>
      </c>
      <c r="I328" s="79" t="s">
        <v>1801</v>
      </c>
      <c r="J328" s="79"/>
      <c r="K328" s="51"/>
      <c r="L328" s="52"/>
    </row>
    <row r="329" spans="1:12" ht="15.5">
      <c r="A329" s="62"/>
      <c r="B329" s="62"/>
      <c r="C329" s="62"/>
      <c r="D329" s="62"/>
      <c r="E329" s="49">
        <v>2</v>
      </c>
      <c r="F329" s="49">
        <v>92</v>
      </c>
      <c r="G329" s="49" t="s">
        <v>1708</v>
      </c>
      <c r="H329" s="62"/>
      <c r="I329" s="62"/>
      <c r="J329" s="62"/>
      <c r="K329" s="51"/>
      <c r="L329" s="52"/>
    </row>
    <row r="330" spans="1:12" ht="15.5">
      <c r="A330" s="79">
        <v>152</v>
      </c>
      <c r="B330" s="79">
        <v>3123010031</v>
      </c>
      <c r="C330" s="80" t="s">
        <v>964</v>
      </c>
      <c r="D330" s="79" t="s">
        <v>1804</v>
      </c>
      <c r="E330" s="49">
        <v>1</v>
      </c>
      <c r="F330" s="49">
        <v>100</v>
      </c>
      <c r="G330" s="49" t="s">
        <v>1708</v>
      </c>
      <c r="H330" s="79">
        <v>100</v>
      </c>
      <c r="I330" s="79" t="s">
        <v>1801</v>
      </c>
      <c r="J330" s="79"/>
      <c r="K330" s="51"/>
      <c r="L330" s="52"/>
    </row>
    <row r="331" spans="1:12" ht="15.5">
      <c r="A331" s="62"/>
      <c r="B331" s="62"/>
      <c r="C331" s="62"/>
      <c r="D331" s="62"/>
      <c r="E331" s="49">
        <v>2</v>
      </c>
      <c r="F331" s="49">
        <v>100</v>
      </c>
      <c r="G331" s="49" t="s">
        <v>1708</v>
      </c>
      <c r="H331" s="62"/>
      <c r="I331" s="62"/>
      <c r="J331" s="62"/>
      <c r="K331" s="51"/>
      <c r="L331" s="52"/>
    </row>
    <row r="332" spans="1:12" ht="15.5">
      <c r="A332" s="79">
        <v>153</v>
      </c>
      <c r="B332" s="79">
        <v>3123010033</v>
      </c>
      <c r="C332" s="80" t="s">
        <v>980</v>
      </c>
      <c r="D332" s="79" t="s">
        <v>1804</v>
      </c>
      <c r="E332" s="49">
        <v>1</v>
      </c>
      <c r="F332" s="49">
        <v>97</v>
      </c>
      <c r="G332" s="49" t="s">
        <v>1708</v>
      </c>
      <c r="H332" s="79">
        <v>98.5</v>
      </c>
      <c r="I332" s="79" t="s">
        <v>1801</v>
      </c>
      <c r="J332" s="79"/>
      <c r="K332" s="51"/>
      <c r="L332" s="52"/>
    </row>
    <row r="333" spans="1:12" ht="15.5">
      <c r="A333" s="62"/>
      <c r="B333" s="62"/>
      <c r="C333" s="62"/>
      <c r="D333" s="62"/>
      <c r="E333" s="49">
        <v>2</v>
      </c>
      <c r="F333" s="49">
        <v>100</v>
      </c>
      <c r="G333" s="49" t="s">
        <v>1708</v>
      </c>
      <c r="H333" s="62"/>
      <c r="I333" s="62"/>
      <c r="J333" s="62"/>
      <c r="K333" s="51"/>
      <c r="L333" s="52"/>
    </row>
    <row r="334" spans="1:12" ht="15.5">
      <c r="A334" s="79">
        <v>154</v>
      </c>
      <c r="B334" s="79">
        <v>3123480002</v>
      </c>
      <c r="C334" s="80" t="s">
        <v>996</v>
      </c>
      <c r="D334" s="79" t="s">
        <v>1805</v>
      </c>
      <c r="E334" s="49">
        <v>1</v>
      </c>
      <c r="F334" s="49">
        <v>95</v>
      </c>
      <c r="G334" s="49" t="s">
        <v>1708</v>
      </c>
      <c r="H334" s="79">
        <v>96</v>
      </c>
      <c r="I334" s="79" t="s">
        <v>1801</v>
      </c>
      <c r="J334" s="79"/>
      <c r="K334" s="51"/>
      <c r="L334" s="52"/>
    </row>
    <row r="335" spans="1:12" ht="15.5">
      <c r="A335" s="62"/>
      <c r="B335" s="62"/>
      <c r="C335" s="62"/>
      <c r="D335" s="62"/>
      <c r="E335" s="49">
        <v>2</v>
      </c>
      <c r="F335" s="49">
        <v>97</v>
      </c>
      <c r="G335" s="49" t="s">
        <v>1708</v>
      </c>
      <c r="H335" s="62"/>
      <c r="I335" s="62"/>
      <c r="J335" s="62"/>
      <c r="K335" s="51"/>
      <c r="L335" s="52"/>
    </row>
    <row r="336" spans="1:12" ht="15.5">
      <c r="A336" s="79">
        <v>155</v>
      </c>
      <c r="B336" s="79">
        <v>3124480032</v>
      </c>
      <c r="C336" s="80" t="s">
        <v>984</v>
      </c>
      <c r="D336" s="79" t="s">
        <v>1806</v>
      </c>
      <c r="E336" s="49">
        <v>1</v>
      </c>
      <c r="F336" s="49">
        <v>100</v>
      </c>
      <c r="G336" s="49" t="s">
        <v>1708</v>
      </c>
      <c r="H336" s="79">
        <v>98.7</v>
      </c>
      <c r="I336" s="79" t="s">
        <v>1801</v>
      </c>
      <c r="J336" s="79"/>
      <c r="K336" s="51"/>
      <c r="L336" s="52"/>
    </row>
    <row r="337" spans="1:12" ht="15.5">
      <c r="A337" s="61"/>
      <c r="B337" s="61"/>
      <c r="C337" s="61"/>
      <c r="D337" s="61"/>
      <c r="E337" s="49">
        <v>2</v>
      </c>
      <c r="F337" s="49">
        <v>100</v>
      </c>
      <c r="G337" s="49" t="s">
        <v>1708</v>
      </c>
      <c r="H337" s="61"/>
      <c r="I337" s="61"/>
      <c r="J337" s="61"/>
      <c r="K337" s="51"/>
      <c r="L337" s="52"/>
    </row>
    <row r="338" spans="1:12" ht="15.5">
      <c r="A338" s="62"/>
      <c r="B338" s="62"/>
      <c r="C338" s="62"/>
      <c r="D338" s="62"/>
      <c r="E338" s="49">
        <v>3</v>
      </c>
      <c r="F338" s="49">
        <v>96</v>
      </c>
      <c r="G338" s="49" t="s">
        <v>1708</v>
      </c>
      <c r="H338" s="62"/>
      <c r="I338" s="62"/>
      <c r="J338" s="62"/>
      <c r="K338" s="51"/>
      <c r="L338" s="52"/>
    </row>
    <row r="339" spans="1:12" ht="15.5">
      <c r="A339" s="79">
        <v>156</v>
      </c>
      <c r="B339" s="79">
        <v>3124480033</v>
      </c>
      <c r="C339" s="80" t="s">
        <v>1020</v>
      </c>
      <c r="D339" s="79" t="s">
        <v>1807</v>
      </c>
      <c r="E339" s="49">
        <v>1</v>
      </c>
      <c r="F339" s="49">
        <v>91</v>
      </c>
      <c r="G339" s="49" t="s">
        <v>1708</v>
      </c>
      <c r="H339" s="79">
        <v>91.7</v>
      </c>
      <c r="I339" s="79" t="s">
        <v>1801</v>
      </c>
      <c r="J339" s="79"/>
      <c r="K339" s="51"/>
      <c r="L339" s="52"/>
    </row>
    <row r="340" spans="1:12" ht="15.5">
      <c r="A340" s="61"/>
      <c r="B340" s="61"/>
      <c r="C340" s="61"/>
      <c r="D340" s="61"/>
      <c r="E340" s="49">
        <v>2</v>
      </c>
      <c r="F340" s="49">
        <v>92</v>
      </c>
      <c r="G340" s="49" t="s">
        <v>1708</v>
      </c>
      <c r="H340" s="61"/>
      <c r="I340" s="61"/>
      <c r="J340" s="61"/>
      <c r="K340" s="51"/>
      <c r="L340" s="52"/>
    </row>
    <row r="341" spans="1:12" ht="15.5">
      <c r="A341" s="62"/>
      <c r="B341" s="62"/>
      <c r="C341" s="62"/>
      <c r="D341" s="62"/>
      <c r="E341" s="49">
        <v>3</v>
      </c>
      <c r="F341" s="49">
        <v>92</v>
      </c>
      <c r="G341" s="49" t="s">
        <v>1708</v>
      </c>
      <c r="H341" s="62"/>
      <c r="I341" s="62"/>
      <c r="J341" s="62"/>
      <c r="K341" s="51"/>
      <c r="L341" s="52"/>
    </row>
    <row r="342" spans="1:12" ht="15.5">
      <c r="A342" s="79">
        <v>157</v>
      </c>
      <c r="B342" s="79">
        <v>3124480061</v>
      </c>
      <c r="C342" s="80" t="s">
        <v>1026</v>
      </c>
      <c r="D342" s="79" t="s">
        <v>1807</v>
      </c>
      <c r="E342" s="49">
        <v>1</v>
      </c>
      <c r="F342" s="49">
        <v>86</v>
      </c>
      <c r="G342" s="49" t="s">
        <v>1711</v>
      </c>
      <c r="H342" s="79">
        <v>91.3</v>
      </c>
      <c r="I342" s="79" t="s">
        <v>1801</v>
      </c>
      <c r="J342" s="79"/>
      <c r="K342" s="51"/>
      <c r="L342" s="52"/>
    </row>
    <row r="343" spans="1:12" ht="15.5">
      <c r="A343" s="61"/>
      <c r="B343" s="61"/>
      <c r="C343" s="61"/>
      <c r="D343" s="61"/>
      <c r="E343" s="49">
        <v>2</v>
      </c>
      <c r="F343" s="49">
        <v>95</v>
      </c>
      <c r="G343" s="49" t="s">
        <v>1708</v>
      </c>
      <c r="H343" s="61"/>
      <c r="I343" s="61"/>
      <c r="J343" s="61"/>
      <c r="K343" s="51"/>
      <c r="L343" s="52"/>
    </row>
    <row r="344" spans="1:12" ht="15.5">
      <c r="A344" s="62"/>
      <c r="B344" s="62"/>
      <c r="C344" s="62"/>
      <c r="D344" s="62"/>
      <c r="E344" s="49">
        <v>3</v>
      </c>
      <c r="F344" s="49">
        <v>93</v>
      </c>
      <c r="G344" s="49" t="s">
        <v>1708</v>
      </c>
      <c r="H344" s="62"/>
      <c r="I344" s="62"/>
      <c r="J344" s="62"/>
      <c r="K344" s="51"/>
      <c r="L344" s="52"/>
    </row>
    <row r="345" spans="1:12" ht="15.5">
      <c r="A345" s="79">
        <v>158</v>
      </c>
      <c r="B345" s="79">
        <v>3124480067</v>
      </c>
      <c r="C345" s="80" t="s">
        <v>1045</v>
      </c>
      <c r="D345" s="79" t="s">
        <v>1807</v>
      </c>
      <c r="E345" s="49">
        <v>1</v>
      </c>
      <c r="F345" s="49">
        <v>96</v>
      </c>
      <c r="G345" s="49" t="s">
        <v>1708</v>
      </c>
      <c r="H345" s="79">
        <v>97.7</v>
      </c>
      <c r="I345" s="79" t="s">
        <v>1801</v>
      </c>
      <c r="J345" s="79"/>
      <c r="K345" s="51"/>
      <c r="L345" s="52"/>
    </row>
    <row r="346" spans="1:12" ht="15.5">
      <c r="A346" s="61"/>
      <c r="B346" s="61"/>
      <c r="C346" s="61"/>
      <c r="D346" s="61"/>
      <c r="E346" s="49">
        <v>2</v>
      </c>
      <c r="F346" s="49">
        <v>97</v>
      </c>
      <c r="G346" s="49" t="s">
        <v>1708</v>
      </c>
      <c r="H346" s="61"/>
      <c r="I346" s="61"/>
      <c r="J346" s="61"/>
      <c r="K346" s="51"/>
      <c r="L346" s="52"/>
    </row>
    <row r="347" spans="1:12" ht="15.5">
      <c r="A347" s="62"/>
      <c r="B347" s="62"/>
      <c r="C347" s="62"/>
      <c r="D347" s="62"/>
      <c r="E347" s="49">
        <v>3</v>
      </c>
      <c r="F347" s="49">
        <v>100</v>
      </c>
      <c r="G347" s="49" t="s">
        <v>1708</v>
      </c>
      <c r="H347" s="62"/>
      <c r="I347" s="62"/>
      <c r="J347" s="62"/>
      <c r="K347" s="51"/>
      <c r="L347" s="52"/>
    </row>
    <row r="348" spans="1:12" ht="15.5">
      <c r="A348" s="79">
        <v>159</v>
      </c>
      <c r="B348" s="79">
        <v>3124580011</v>
      </c>
      <c r="C348" s="80" t="s">
        <v>1002</v>
      </c>
      <c r="D348" s="79" t="s">
        <v>1808</v>
      </c>
      <c r="E348" s="49">
        <v>1</v>
      </c>
      <c r="F348" s="49">
        <v>100</v>
      </c>
      <c r="G348" s="49" t="s">
        <v>1708</v>
      </c>
      <c r="H348" s="79">
        <v>95.3</v>
      </c>
      <c r="I348" s="79" t="s">
        <v>1801</v>
      </c>
      <c r="J348" s="79"/>
      <c r="K348" s="51"/>
      <c r="L348" s="52"/>
    </row>
    <row r="349" spans="1:12" ht="15.5">
      <c r="A349" s="61"/>
      <c r="B349" s="61"/>
      <c r="C349" s="61"/>
      <c r="D349" s="61"/>
      <c r="E349" s="49">
        <v>2</v>
      </c>
      <c r="F349" s="49">
        <v>100</v>
      </c>
      <c r="G349" s="49" t="s">
        <v>1708</v>
      </c>
      <c r="H349" s="61"/>
      <c r="I349" s="61"/>
      <c r="J349" s="61"/>
      <c r="K349" s="51"/>
      <c r="L349" s="52"/>
    </row>
    <row r="350" spans="1:12" ht="15.5">
      <c r="A350" s="62"/>
      <c r="B350" s="62"/>
      <c r="C350" s="62"/>
      <c r="D350" s="62"/>
      <c r="E350" s="49">
        <v>3</v>
      </c>
      <c r="F350" s="49">
        <v>86</v>
      </c>
      <c r="G350" s="49" t="s">
        <v>1711</v>
      </c>
      <c r="H350" s="62"/>
      <c r="I350" s="62"/>
      <c r="J350" s="62"/>
      <c r="K350" s="51"/>
      <c r="L350" s="52"/>
    </row>
    <row r="351" spans="1:12" ht="15.5">
      <c r="A351" s="79">
        <v>160</v>
      </c>
      <c r="B351" s="79">
        <v>3124580016</v>
      </c>
      <c r="C351" s="80" t="s">
        <v>990</v>
      </c>
      <c r="D351" s="79" t="s">
        <v>1809</v>
      </c>
      <c r="E351" s="49">
        <v>1</v>
      </c>
      <c r="F351" s="49">
        <v>100</v>
      </c>
      <c r="G351" s="49" t="s">
        <v>1708</v>
      </c>
      <c r="H351" s="79">
        <v>95.7</v>
      </c>
      <c r="I351" s="79" t="s">
        <v>1801</v>
      </c>
      <c r="J351" s="79"/>
      <c r="K351" s="51"/>
      <c r="L351" s="52"/>
    </row>
    <row r="352" spans="1:12" ht="15.5">
      <c r="A352" s="61"/>
      <c r="B352" s="61"/>
      <c r="C352" s="61"/>
      <c r="D352" s="61"/>
      <c r="E352" s="49">
        <v>2</v>
      </c>
      <c r="F352" s="49">
        <v>94</v>
      </c>
      <c r="G352" s="49" t="s">
        <v>1708</v>
      </c>
      <c r="H352" s="61"/>
      <c r="I352" s="61"/>
      <c r="J352" s="61"/>
      <c r="K352" s="51"/>
      <c r="L352" s="52"/>
    </row>
    <row r="353" spans="1:12" ht="15.5">
      <c r="A353" s="62"/>
      <c r="B353" s="62"/>
      <c r="C353" s="62"/>
      <c r="D353" s="62"/>
      <c r="E353" s="49">
        <v>3</v>
      </c>
      <c r="F353" s="49">
        <v>93</v>
      </c>
      <c r="G353" s="49" t="s">
        <v>1708</v>
      </c>
      <c r="H353" s="62"/>
      <c r="I353" s="62"/>
      <c r="J353" s="62"/>
      <c r="K353" s="51"/>
      <c r="L353" s="52"/>
    </row>
    <row r="354" spans="1:12" ht="15.5">
      <c r="A354" s="79">
        <v>161</v>
      </c>
      <c r="B354" s="79">
        <v>3121540074</v>
      </c>
      <c r="C354" s="80" t="s">
        <v>239</v>
      </c>
      <c r="D354" s="79" t="s">
        <v>1810</v>
      </c>
      <c r="E354" s="49">
        <v>1</v>
      </c>
      <c r="F354" s="49">
        <v>65</v>
      </c>
      <c r="G354" s="49" t="s">
        <v>1753</v>
      </c>
      <c r="H354" s="79">
        <v>82</v>
      </c>
      <c r="I354" s="79" t="s">
        <v>1811</v>
      </c>
      <c r="J354" s="79"/>
      <c r="K354" s="51"/>
      <c r="L354" s="52"/>
    </row>
    <row r="355" spans="1:12" ht="15.5">
      <c r="A355" s="62"/>
      <c r="B355" s="62"/>
      <c r="C355" s="62"/>
      <c r="D355" s="62"/>
      <c r="E355" s="49">
        <v>2</v>
      </c>
      <c r="F355" s="49">
        <v>99</v>
      </c>
      <c r="G355" s="49" t="s">
        <v>1708</v>
      </c>
      <c r="H355" s="62"/>
      <c r="I355" s="62"/>
      <c r="J355" s="62"/>
      <c r="K355" s="51"/>
      <c r="L355" s="52"/>
    </row>
    <row r="356" spans="1:12" ht="15.5">
      <c r="A356" s="79">
        <v>162</v>
      </c>
      <c r="B356" s="79">
        <v>3122350030</v>
      </c>
      <c r="C356" s="80" t="s">
        <v>203</v>
      </c>
      <c r="D356" s="79" t="s">
        <v>1812</v>
      </c>
      <c r="E356" s="49">
        <v>1</v>
      </c>
      <c r="F356" s="49">
        <v>100</v>
      </c>
      <c r="G356" s="49" t="s">
        <v>1708</v>
      </c>
      <c r="H356" s="79">
        <v>98.5</v>
      </c>
      <c r="I356" s="79" t="s">
        <v>1811</v>
      </c>
      <c r="J356" s="79"/>
      <c r="K356" s="51"/>
      <c r="L356" s="52"/>
    </row>
    <row r="357" spans="1:12" ht="15.5">
      <c r="A357" s="62"/>
      <c r="B357" s="62"/>
      <c r="C357" s="62"/>
      <c r="D357" s="62"/>
      <c r="E357" s="49">
        <v>2</v>
      </c>
      <c r="F357" s="49">
        <v>97</v>
      </c>
      <c r="G357" s="49" t="s">
        <v>1708</v>
      </c>
      <c r="H357" s="62"/>
      <c r="I357" s="62"/>
      <c r="J357" s="62"/>
      <c r="K357" s="51"/>
      <c r="L357" s="52"/>
    </row>
    <row r="358" spans="1:12" ht="15.5">
      <c r="A358" s="79">
        <v>163</v>
      </c>
      <c r="B358" s="79">
        <v>3122350184</v>
      </c>
      <c r="C358" s="80" t="s">
        <v>235</v>
      </c>
      <c r="D358" s="79" t="s">
        <v>1813</v>
      </c>
      <c r="E358" s="49">
        <v>1</v>
      </c>
      <c r="F358" s="49">
        <v>100</v>
      </c>
      <c r="G358" s="49" t="s">
        <v>1708</v>
      </c>
      <c r="H358" s="79">
        <v>99</v>
      </c>
      <c r="I358" s="79" t="s">
        <v>1811</v>
      </c>
      <c r="J358" s="79"/>
      <c r="K358" s="51"/>
      <c r="L358" s="52"/>
    </row>
    <row r="359" spans="1:12" ht="15.5">
      <c r="A359" s="62"/>
      <c r="B359" s="62"/>
      <c r="C359" s="62"/>
      <c r="D359" s="62"/>
      <c r="E359" s="49">
        <v>2</v>
      </c>
      <c r="F359" s="49">
        <v>98</v>
      </c>
      <c r="G359" s="49" t="s">
        <v>1708</v>
      </c>
      <c r="H359" s="62"/>
      <c r="I359" s="62"/>
      <c r="J359" s="62"/>
      <c r="K359" s="51"/>
      <c r="L359" s="52"/>
    </row>
    <row r="360" spans="1:12" ht="15.5">
      <c r="A360" s="79">
        <v>164</v>
      </c>
      <c r="B360" s="79">
        <v>3122540036</v>
      </c>
      <c r="C360" s="80" t="s">
        <v>217</v>
      </c>
      <c r="D360" s="79" t="s">
        <v>1814</v>
      </c>
      <c r="E360" s="49">
        <v>1</v>
      </c>
      <c r="F360" s="49">
        <v>99</v>
      </c>
      <c r="G360" s="49" t="s">
        <v>1708</v>
      </c>
      <c r="H360" s="79">
        <v>96.5</v>
      </c>
      <c r="I360" s="79" t="s">
        <v>1811</v>
      </c>
      <c r="J360" s="79"/>
      <c r="K360" s="51"/>
      <c r="L360" s="52"/>
    </row>
    <row r="361" spans="1:12" ht="15.5">
      <c r="A361" s="62"/>
      <c r="B361" s="62"/>
      <c r="C361" s="62"/>
      <c r="D361" s="62"/>
      <c r="E361" s="49">
        <v>2</v>
      </c>
      <c r="F361" s="49">
        <v>94</v>
      </c>
      <c r="G361" s="49" t="s">
        <v>1708</v>
      </c>
      <c r="H361" s="62"/>
      <c r="I361" s="62"/>
      <c r="J361" s="62"/>
      <c r="K361" s="51"/>
      <c r="L361" s="52"/>
    </row>
    <row r="362" spans="1:12" ht="15.5">
      <c r="A362" s="79">
        <v>165</v>
      </c>
      <c r="B362" s="79">
        <v>3122540040</v>
      </c>
      <c r="C362" s="80" t="s">
        <v>258</v>
      </c>
      <c r="D362" s="79" t="s">
        <v>1814</v>
      </c>
      <c r="E362" s="49">
        <v>1</v>
      </c>
      <c r="F362" s="49">
        <v>100</v>
      </c>
      <c r="G362" s="49" t="s">
        <v>1708</v>
      </c>
      <c r="H362" s="79">
        <v>100</v>
      </c>
      <c r="I362" s="81" t="s">
        <v>1811</v>
      </c>
      <c r="J362" s="79"/>
      <c r="K362" s="51"/>
      <c r="L362" s="52"/>
    </row>
    <row r="363" spans="1:12" ht="15.5">
      <c r="A363" s="62"/>
      <c r="B363" s="62"/>
      <c r="C363" s="62"/>
      <c r="D363" s="62"/>
      <c r="E363" s="49">
        <v>2</v>
      </c>
      <c r="F363" s="49">
        <v>100</v>
      </c>
      <c r="G363" s="49" t="s">
        <v>1708</v>
      </c>
      <c r="H363" s="62"/>
      <c r="I363" s="62"/>
      <c r="J363" s="62"/>
      <c r="K363" s="51"/>
      <c r="L363" s="52"/>
    </row>
    <row r="364" spans="1:12" ht="15.5">
      <c r="A364" s="79">
        <v>166</v>
      </c>
      <c r="B364" s="79">
        <v>3122570045</v>
      </c>
      <c r="C364" s="80" t="s">
        <v>222</v>
      </c>
      <c r="D364" s="79" t="s">
        <v>1815</v>
      </c>
      <c r="E364" s="49">
        <v>1</v>
      </c>
      <c r="F364" s="49">
        <v>100</v>
      </c>
      <c r="G364" s="49" t="s">
        <v>1708</v>
      </c>
      <c r="H364" s="79">
        <v>99</v>
      </c>
      <c r="I364" s="79" t="s">
        <v>1811</v>
      </c>
      <c r="J364" s="79"/>
      <c r="K364" s="51"/>
      <c r="L364" s="52"/>
    </row>
    <row r="365" spans="1:12" ht="15.5">
      <c r="A365" s="62"/>
      <c r="B365" s="62"/>
      <c r="C365" s="62"/>
      <c r="D365" s="62"/>
      <c r="E365" s="49">
        <v>2</v>
      </c>
      <c r="F365" s="49">
        <v>98</v>
      </c>
      <c r="G365" s="49" t="s">
        <v>1708</v>
      </c>
      <c r="H365" s="62"/>
      <c r="I365" s="62"/>
      <c r="J365" s="62"/>
      <c r="K365" s="51"/>
      <c r="L365" s="52"/>
    </row>
    <row r="366" spans="1:12" ht="15.5">
      <c r="A366" s="79">
        <v>167</v>
      </c>
      <c r="B366" s="79">
        <v>3122570086</v>
      </c>
      <c r="C366" s="80" t="s">
        <v>255</v>
      </c>
      <c r="D366" s="79" t="s">
        <v>1815</v>
      </c>
      <c r="E366" s="49">
        <v>1</v>
      </c>
      <c r="F366" s="49">
        <v>100</v>
      </c>
      <c r="G366" s="49" t="s">
        <v>1708</v>
      </c>
      <c r="H366" s="79">
        <v>100</v>
      </c>
      <c r="I366" s="79" t="s">
        <v>1811</v>
      </c>
      <c r="J366" s="79"/>
      <c r="K366" s="51"/>
      <c r="L366" s="52"/>
    </row>
    <row r="367" spans="1:12" ht="15.5">
      <c r="A367" s="62"/>
      <c r="B367" s="62"/>
      <c r="C367" s="62"/>
      <c r="D367" s="62"/>
      <c r="E367" s="49">
        <v>2</v>
      </c>
      <c r="F367" s="49">
        <v>100</v>
      </c>
      <c r="G367" s="49" t="s">
        <v>1708</v>
      </c>
      <c r="H367" s="62"/>
      <c r="I367" s="62"/>
      <c r="J367" s="62"/>
      <c r="K367" s="51"/>
      <c r="L367" s="52"/>
    </row>
    <row r="368" spans="1:12" ht="15.5">
      <c r="A368" s="79">
        <v>168</v>
      </c>
      <c r="B368" s="79">
        <v>3122570149</v>
      </c>
      <c r="C368" s="80" t="s">
        <v>230</v>
      </c>
      <c r="D368" s="79" t="s">
        <v>1816</v>
      </c>
      <c r="E368" s="49">
        <v>1</v>
      </c>
      <c r="F368" s="49">
        <v>100</v>
      </c>
      <c r="G368" s="49" t="s">
        <v>1708</v>
      </c>
      <c r="H368" s="79">
        <v>100</v>
      </c>
      <c r="I368" s="79" t="s">
        <v>1811</v>
      </c>
      <c r="J368" s="79"/>
      <c r="K368" s="51"/>
      <c r="L368" s="52"/>
    </row>
    <row r="369" spans="1:12" ht="15.5">
      <c r="A369" s="62"/>
      <c r="B369" s="62"/>
      <c r="C369" s="62"/>
      <c r="D369" s="62"/>
      <c r="E369" s="49">
        <v>2</v>
      </c>
      <c r="F369" s="49">
        <v>100</v>
      </c>
      <c r="G369" s="49" t="s">
        <v>1708</v>
      </c>
      <c r="H369" s="62"/>
      <c r="I369" s="62"/>
      <c r="J369" s="62"/>
      <c r="K369" s="51"/>
      <c r="L369" s="52"/>
    </row>
    <row r="370" spans="1:12" ht="15.5">
      <c r="A370" s="79">
        <v>169</v>
      </c>
      <c r="B370" s="79">
        <v>3123350177</v>
      </c>
      <c r="C370" s="80" t="s">
        <v>213</v>
      </c>
      <c r="D370" s="79" t="s">
        <v>1817</v>
      </c>
      <c r="E370" s="49">
        <v>1</v>
      </c>
      <c r="F370" s="49">
        <v>100</v>
      </c>
      <c r="G370" s="49" t="s">
        <v>1708</v>
      </c>
      <c r="H370" s="79">
        <v>100</v>
      </c>
      <c r="I370" s="79" t="s">
        <v>1811</v>
      </c>
      <c r="J370" s="79"/>
      <c r="K370" s="51"/>
      <c r="L370" s="52"/>
    </row>
    <row r="371" spans="1:12" ht="15.5">
      <c r="A371" s="62"/>
      <c r="B371" s="62"/>
      <c r="C371" s="62"/>
      <c r="D371" s="62"/>
      <c r="E371" s="49">
        <v>2</v>
      </c>
      <c r="F371" s="49">
        <v>100</v>
      </c>
      <c r="G371" s="49" t="s">
        <v>1708</v>
      </c>
      <c r="H371" s="62"/>
      <c r="I371" s="62"/>
      <c r="J371" s="62"/>
      <c r="K371" s="51"/>
      <c r="L371" s="52"/>
    </row>
    <row r="372" spans="1:12" ht="15.5">
      <c r="A372" s="79">
        <v>170</v>
      </c>
      <c r="B372" s="79">
        <v>3123540014</v>
      </c>
      <c r="C372" s="80" t="s">
        <v>262</v>
      </c>
      <c r="D372" s="79" t="s">
        <v>1818</v>
      </c>
      <c r="E372" s="49">
        <v>1</v>
      </c>
      <c r="F372" s="49">
        <v>91</v>
      </c>
      <c r="G372" s="49" t="s">
        <v>1708</v>
      </c>
      <c r="H372" s="79">
        <v>95.5</v>
      </c>
      <c r="I372" s="79" t="s">
        <v>1811</v>
      </c>
      <c r="J372" s="79"/>
      <c r="K372" s="51"/>
      <c r="L372" s="52"/>
    </row>
    <row r="373" spans="1:12" ht="15.5">
      <c r="A373" s="62"/>
      <c r="B373" s="62"/>
      <c r="C373" s="62"/>
      <c r="D373" s="62"/>
      <c r="E373" s="49">
        <v>2</v>
      </c>
      <c r="F373" s="49">
        <v>100</v>
      </c>
      <c r="G373" s="49" t="s">
        <v>1708</v>
      </c>
      <c r="H373" s="62"/>
      <c r="I373" s="62"/>
      <c r="J373" s="62"/>
      <c r="K373" s="51"/>
      <c r="L373" s="52"/>
    </row>
    <row r="374" spans="1:12" ht="15.5">
      <c r="A374" s="79">
        <v>171</v>
      </c>
      <c r="B374" s="79">
        <v>3123570037</v>
      </c>
      <c r="C374" s="80" t="s">
        <v>247</v>
      </c>
      <c r="D374" s="79" t="s">
        <v>1819</v>
      </c>
      <c r="E374" s="49">
        <v>1</v>
      </c>
      <c r="F374" s="49">
        <v>99</v>
      </c>
      <c r="G374" s="49" t="s">
        <v>1708</v>
      </c>
      <c r="H374" s="79">
        <v>99</v>
      </c>
      <c r="I374" s="79" t="s">
        <v>1811</v>
      </c>
      <c r="J374" s="79"/>
      <c r="K374" s="51"/>
      <c r="L374" s="52"/>
    </row>
    <row r="375" spans="1:12" ht="15.5">
      <c r="A375" s="62"/>
      <c r="B375" s="62"/>
      <c r="C375" s="62"/>
      <c r="D375" s="62"/>
      <c r="E375" s="49">
        <v>2</v>
      </c>
      <c r="F375" s="49">
        <v>99</v>
      </c>
      <c r="G375" s="49" t="s">
        <v>1708</v>
      </c>
      <c r="H375" s="62"/>
      <c r="I375" s="62"/>
      <c r="J375" s="62"/>
      <c r="K375" s="51"/>
      <c r="L375" s="52"/>
    </row>
    <row r="376" spans="1:12" ht="15.5">
      <c r="A376" s="79">
        <v>172</v>
      </c>
      <c r="B376" s="79">
        <v>3123570142</v>
      </c>
      <c r="C376" s="80" t="s">
        <v>279</v>
      </c>
      <c r="D376" s="79" t="s">
        <v>1820</v>
      </c>
      <c r="E376" s="49">
        <v>1</v>
      </c>
      <c r="F376" s="49">
        <v>100</v>
      </c>
      <c r="G376" s="49" t="s">
        <v>1708</v>
      </c>
      <c r="H376" s="79">
        <v>100</v>
      </c>
      <c r="I376" s="79" t="s">
        <v>1811</v>
      </c>
      <c r="J376" s="79"/>
      <c r="K376" s="51"/>
      <c r="L376" s="52"/>
    </row>
    <row r="377" spans="1:12" ht="15.5">
      <c r="A377" s="62"/>
      <c r="B377" s="62"/>
      <c r="C377" s="62"/>
      <c r="D377" s="62"/>
      <c r="E377" s="49">
        <v>2</v>
      </c>
      <c r="F377" s="49">
        <v>100</v>
      </c>
      <c r="G377" s="49" t="s">
        <v>1708</v>
      </c>
      <c r="H377" s="62"/>
      <c r="I377" s="62"/>
      <c r="J377" s="62"/>
      <c r="K377" s="51"/>
      <c r="L377" s="52"/>
    </row>
    <row r="378" spans="1:12" ht="15.5">
      <c r="A378" s="50"/>
      <c r="B378" s="88" t="s">
        <v>1821</v>
      </c>
      <c r="C378" s="89"/>
      <c r="D378" s="50"/>
      <c r="E378" s="50"/>
      <c r="F378" s="50"/>
      <c r="G378" s="50"/>
      <c r="H378" s="50"/>
      <c r="I378" s="50"/>
      <c r="J378" s="50"/>
      <c r="K378" s="51"/>
      <c r="L378" s="57"/>
    </row>
    <row r="379" spans="1:12" ht="15.5">
      <c r="A379" s="50"/>
      <c r="B379" s="50"/>
      <c r="C379" s="53"/>
      <c r="D379" s="50"/>
      <c r="E379" s="50"/>
      <c r="F379" s="83" t="s">
        <v>1822</v>
      </c>
      <c r="G379" s="74"/>
      <c r="H379" s="74"/>
      <c r="I379" s="74"/>
      <c r="J379" s="50"/>
      <c r="K379" s="51"/>
      <c r="L379" s="57"/>
    </row>
    <row r="380" spans="1:12" ht="15.5">
      <c r="A380" s="50"/>
      <c r="B380" s="50"/>
      <c r="C380" s="53"/>
      <c r="D380" s="50"/>
      <c r="E380" s="84" t="s">
        <v>1823</v>
      </c>
      <c r="F380" s="74"/>
      <c r="G380" s="74"/>
      <c r="H380" s="74"/>
      <c r="I380" s="74"/>
      <c r="J380" s="50"/>
      <c r="K380" s="51"/>
      <c r="L380" s="57"/>
    </row>
    <row r="381" spans="1:12" ht="15.5">
      <c r="A381" s="50"/>
      <c r="B381" s="50"/>
      <c r="C381" s="53"/>
      <c r="D381" s="50"/>
      <c r="E381" s="84" t="s">
        <v>1824</v>
      </c>
      <c r="F381" s="74"/>
      <c r="G381" s="74"/>
      <c r="H381" s="74"/>
      <c r="I381" s="74"/>
      <c r="J381" s="50"/>
      <c r="K381" s="51"/>
      <c r="L381" s="57"/>
    </row>
    <row r="382" spans="1:12" ht="15.5">
      <c r="A382" s="50"/>
      <c r="B382" s="50"/>
      <c r="C382" s="53"/>
      <c r="D382" s="50"/>
      <c r="E382" s="50"/>
      <c r="F382" s="50"/>
      <c r="G382" s="50"/>
      <c r="H382" s="50"/>
      <c r="I382" s="50"/>
      <c r="J382" s="50"/>
      <c r="K382" s="51"/>
      <c r="L382" s="57"/>
    </row>
    <row r="383" spans="1:12" ht="15.5">
      <c r="A383" s="50"/>
      <c r="B383" s="50"/>
      <c r="C383" s="53"/>
      <c r="D383" s="50"/>
      <c r="E383" s="50"/>
      <c r="F383" s="50"/>
      <c r="G383" s="50"/>
      <c r="H383" s="50"/>
      <c r="I383" s="50"/>
      <c r="J383" s="50"/>
      <c r="K383" s="51"/>
      <c r="L383" s="57"/>
    </row>
    <row r="384" spans="1:12" ht="15.5">
      <c r="A384" s="50"/>
      <c r="B384" s="50"/>
      <c r="C384" s="53"/>
      <c r="D384" s="50"/>
      <c r="E384" s="50"/>
      <c r="F384" s="50"/>
      <c r="G384" s="50"/>
      <c r="H384" s="50"/>
      <c r="I384" s="50"/>
      <c r="J384" s="50"/>
      <c r="K384" s="51"/>
      <c r="L384" s="57"/>
    </row>
    <row r="385" spans="1:12" ht="15.5">
      <c r="A385" s="50"/>
      <c r="B385" s="50"/>
      <c r="C385" s="53"/>
      <c r="D385" s="50"/>
      <c r="E385" s="84" t="s">
        <v>1825</v>
      </c>
      <c r="F385" s="74"/>
      <c r="G385" s="74"/>
      <c r="H385" s="74"/>
      <c r="I385" s="74"/>
      <c r="J385" s="50"/>
      <c r="K385" s="51"/>
      <c r="L385" s="57"/>
    </row>
  </sheetData>
  <mergeCells count="1212">
    <mergeCell ref="A138:A139"/>
    <mergeCell ref="A140:A141"/>
    <mergeCell ref="B140:B141"/>
    <mergeCell ref="C140:C141"/>
    <mergeCell ref="B142:B143"/>
    <mergeCell ref="C142:C143"/>
    <mergeCell ref="D142:D143"/>
    <mergeCell ref="A142:A143"/>
    <mergeCell ref="A144:A145"/>
    <mergeCell ref="B144:B145"/>
    <mergeCell ref="C144:C145"/>
    <mergeCell ref="D144:D145"/>
    <mergeCell ref="A146:A147"/>
    <mergeCell ref="B146:B147"/>
    <mergeCell ref="B18:B19"/>
    <mergeCell ref="C18:C19"/>
    <mergeCell ref="A20:A21"/>
    <mergeCell ref="B20:B21"/>
    <mergeCell ref="C20:C21"/>
    <mergeCell ref="D20:D21"/>
    <mergeCell ref="D22:D23"/>
    <mergeCell ref="B28:B29"/>
    <mergeCell ref="C28:C29"/>
    <mergeCell ref="B22:B23"/>
    <mergeCell ref="C22:C23"/>
    <mergeCell ref="A26:A27"/>
    <mergeCell ref="B26:B27"/>
    <mergeCell ref="C26:C27"/>
    <mergeCell ref="D26:D27"/>
    <mergeCell ref="D28:D29"/>
    <mergeCell ref="C32:C33"/>
    <mergeCell ref="D32:D33"/>
    <mergeCell ref="A28:A29"/>
    <mergeCell ref="A30:A31"/>
    <mergeCell ref="B30:B31"/>
    <mergeCell ref="C30:C31"/>
    <mergeCell ref="D30:D31"/>
    <mergeCell ref="A32:A33"/>
    <mergeCell ref="B32:B33"/>
    <mergeCell ref="C40:C41"/>
    <mergeCell ref="D40:D41"/>
    <mergeCell ref="C178:C179"/>
    <mergeCell ref="D178:D179"/>
    <mergeCell ref="A127:A129"/>
    <mergeCell ref="B127:B129"/>
    <mergeCell ref="C127:C129"/>
    <mergeCell ref="D127:D129"/>
    <mergeCell ref="B130:B131"/>
    <mergeCell ref="C130:C131"/>
    <mergeCell ref="D130:D131"/>
    <mergeCell ref="A130:A131"/>
    <mergeCell ref="A132:A133"/>
    <mergeCell ref="B132:B133"/>
    <mergeCell ref="C132:C133"/>
    <mergeCell ref="D132:D133"/>
    <mergeCell ref="A134:A135"/>
    <mergeCell ref="B134:B135"/>
    <mergeCell ref="B150:B151"/>
    <mergeCell ref="C150:C151"/>
    <mergeCell ref="C146:C147"/>
    <mergeCell ref="D146:D147"/>
    <mergeCell ref="A148:A149"/>
    <mergeCell ref="B148:B149"/>
    <mergeCell ref="C148:C149"/>
    <mergeCell ref="D148:D149"/>
    <mergeCell ref="D150:D151"/>
    <mergeCell ref="C154:C155"/>
    <mergeCell ref="D154:D155"/>
    <mergeCell ref="A150:A151"/>
    <mergeCell ref="A152:A153"/>
    <mergeCell ref="B152:B153"/>
    <mergeCell ref="C152:C153"/>
    <mergeCell ref="D152:D153"/>
    <mergeCell ref="A154:A155"/>
    <mergeCell ref="B154:B155"/>
    <mergeCell ref="A156:A157"/>
    <mergeCell ref="B156:B157"/>
    <mergeCell ref="C156:C157"/>
    <mergeCell ref="D156:D157"/>
    <mergeCell ref="B158:B159"/>
    <mergeCell ref="C158:C159"/>
    <mergeCell ref="D158:D159"/>
    <mergeCell ref="A158:A159"/>
    <mergeCell ref="A160:A161"/>
    <mergeCell ref="B160:B161"/>
    <mergeCell ref="C160:C161"/>
    <mergeCell ref="D160:D161"/>
    <mergeCell ref="A162:A163"/>
    <mergeCell ref="B162:B163"/>
    <mergeCell ref="B166:B167"/>
    <mergeCell ref="C166:C167"/>
    <mergeCell ref="C162:C163"/>
    <mergeCell ref="D162:D163"/>
    <mergeCell ref="A164:A165"/>
    <mergeCell ref="B164:B165"/>
    <mergeCell ref="C164:C165"/>
    <mergeCell ref="D164:D165"/>
    <mergeCell ref="D166:D167"/>
    <mergeCell ref="C170:C171"/>
    <mergeCell ref="D170:D171"/>
    <mergeCell ref="A166:A167"/>
    <mergeCell ref="A168:A169"/>
    <mergeCell ref="B168:B169"/>
    <mergeCell ref="C168:C169"/>
    <mergeCell ref="D168:D169"/>
    <mergeCell ref="A170:A171"/>
    <mergeCell ref="B170:B171"/>
    <mergeCell ref="A215:A216"/>
    <mergeCell ref="B215:B216"/>
    <mergeCell ref="C215:C216"/>
    <mergeCell ref="D215:D216"/>
    <mergeCell ref="B217:B218"/>
    <mergeCell ref="C217:C218"/>
    <mergeCell ref="D217:D218"/>
    <mergeCell ref="A217:A218"/>
    <mergeCell ref="A219:A220"/>
    <mergeCell ref="B219:B220"/>
    <mergeCell ref="C219:C220"/>
    <mergeCell ref="D219:D220"/>
    <mergeCell ref="A221:A222"/>
    <mergeCell ref="B221:B222"/>
    <mergeCell ref="A223:A224"/>
    <mergeCell ref="B223:B224"/>
    <mergeCell ref="C223:C224"/>
    <mergeCell ref="D223:D224"/>
    <mergeCell ref="B225:B226"/>
    <mergeCell ref="C225:C226"/>
    <mergeCell ref="D225:D226"/>
    <mergeCell ref="A225:A226"/>
    <mergeCell ref="A227:A228"/>
    <mergeCell ref="B227:B228"/>
    <mergeCell ref="C227:C228"/>
    <mergeCell ref="D227:D228"/>
    <mergeCell ref="A229:A231"/>
    <mergeCell ref="B229:B231"/>
    <mergeCell ref="B235:B237"/>
    <mergeCell ref="C235:C237"/>
    <mergeCell ref="C229:C231"/>
    <mergeCell ref="D229:D231"/>
    <mergeCell ref="A232:A234"/>
    <mergeCell ref="B232:B234"/>
    <mergeCell ref="C232:C234"/>
    <mergeCell ref="D232:D234"/>
    <mergeCell ref="D235:D237"/>
    <mergeCell ref="C241:C242"/>
    <mergeCell ref="D241:D242"/>
    <mergeCell ref="A235:A237"/>
    <mergeCell ref="A238:A240"/>
    <mergeCell ref="B238:B240"/>
    <mergeCell ref="C238:C240"/>
    <mergeCell ref="D238:D240"/>
    <mergeCell ref="A241:A242"/>
    <mergeCell ref="B241:B242"/>
    <mergeCell ref="A243:A244"/>
    <mergeCell ref="B243:B244"/>
    <mergeCell ref="C243:C244"/>
    <mergeCell ref="D243:D244"/>
    <mergeCell ref="B245:B246"/>
    <mergeCell ref="C245:C246"/>
    <mergeCell ref="D245:D246"/>
    <mergeCell ref="A245:A246"/>
    <mergeCell ref="A247:A248"/>
    <mergeCell ref="B247:B248"/>
    <mergeCell ref="C247:C248"/>
    <mergeCell ref="D247:D248"/>
    <mergeCell ref="A249:A250"/>
    <mergeCell ref="B249:B250"/>
    <mergeCell ref="B253:B254"/>
    <mergeCell ref="C253:C254"/>
    <mergeCell ref="C249:C250"/>
    <mergeCell ref="D249:D250"/>
    <mergeCell ref="A251:A252"/>
    <mergeCell ref="B251:B252"/>
    <mergeCell ref="C251:C252"/>
    <mergeCell ref="D251:D252"/>
    <mergeCell ref="D253:D254"/>
    <mergeCell ref="C259:C261"/>
    <mergeCell ref="D259:D261"/>
    <mergeCell ref="A253:A254"/>
    <mergeCell ref="A255:A256"/>
    <mergeCell ref="B255:B256"/>
    <mergeCell ref="C255:C256"/>
    <mergeCell ref="D255:D256"/>
    <mergeCell ref="A259:A261"/>
    <mergeCell ref="B259:B261"/>
    <mergeCell ref="B273:B274"/>
    <mergeCell ref="C273:C274"/>
    <mergeCell ref="C269:C270"/>
    <mergeCell ref="D269:D270"/>
    <mergeCell ref="A271:A272"/>
    <mergeCell ref="B271:B272"/>
    <mergeCell ref="C271:C272"/>
    <mergeCell ref="D271:D272"/>
    <mergeCell ref="D273:D274"/>
    <mergeCell ref="C277:C278"/>
    <mergeCell ref="D277:D278"/>
    <mergeCell ref="A273:A274"/>
    <mergeCell ref="A275:A276"/>
    <mergeCell ref="B275:B276"/>
    <mergeCell ref="C275:C276"/>
    <mergeCell ref="D275:D276"/>
    <mergeCell ref="A277:A278"/>
    <mergeCell ref="B277:B278"/>
    <mergeCell ref="A279:A280"/>
    <mergeCell ref="B279:B280"/>
    <mergeCell ref="C279:C280"/>
    <mergeCell ref="D279:D280"/>
    <mergeCell ref="B281:B282"/>
    <mergeCell ref="C281:C282"/>
    <mergeCell ref="D281:D282"/>
    <mergeCell ref="A281:A282"/>
    <mergeCell ref="A283:A284"/>
    <mergeCell ref="B283:B284"/>
    <mergeCell ref="C283:C284"/>
    <mergeCell ref="D283:D284"/>
    <mergeCell ref="A285:A286"/>
    <mergeCell ref="B285:B286"/>
    <mergeCell ref="B289:B290"/>
    <mergeCell ref="C289:C290"/>
    <mergeCell ref="C285:C286"/>
    <mergeCell ref="D285:D286"/>
    <mergeCell ref="A287:A288"/>
    <mergeCell ref="B287:B288"/>
    <mergeCell ref="C287:C288"/>
    <mergeCell ref="D287:D288"/>
    <mergeCell ref="D289:D290"/>
    <mergeCell ref="C293:C294"/>
    <mergeCell ref="D293:D294"/>
    <mergeCell ref="A289:A290"/>
    <mergeCell ref="A291:A292"/>
    <mergeCell ref="B291:B292"/>
    <mergeCell ref="C291:C292"/>
    <mergeCell ref="D291:D292"/>
    <mergeCell ref="A293:A294"/>
    <mergeCell ref="B293:B294"/>
    <mergeCell ref="A295:A296"/>
    <mergeCell ref="B295:B296"/>
    <mergeCell ref="C295:C296"/>
    <mergeCell ref="D295:D296"/>
    <mergeCell ref="B297:B298"/>
    <mergeCell ref="C297:C298"/>
    <mergeCell ref="D297:D298"/>
    <mergeCell ref="A297:A298"/>
    <mergeCell ref="A299:A300"/>
    <mergeCell ref="B299:B300"/>
    <mergeCell ref="C299:C300"/>
    <mergeCell ref="D299:D300"/>
    <mergeCell ref="A301:A302"/>
    <mergeCell ref="B301:B302"/>
    <mergeCell ref="B305:B306"/>
    <mergeCell ref="C305:C306"/>
    <mergeCell ref="C301:C302"/>
    <mergeCell ref="D301:D302"/>
    <mergeCell ref="A303:A304"/>
    <mergeCell ref="B303:B304"/>
    <mergeCell ref="C303:C304"/>
    <mergeCell ref="D303:D304"/>
    <mergeCell ref="D305:D306"/>
    <mergeCell ref="C309:C310"/>
    <mergeCell ref="D309:D310"/>
    <mergeCell ref="A305:A306"/>
    <mergeCell ref="A307:A308"/>
    <mergeCell ref="B307:B308"/>
    <mergeCell ref="C307:C308"/>
    <mergeCell ref="D307:D308"/>
    <mergeCell ref="A309:A310"/>
    <mergeCell ref="B309:B310"/>
    <mergeCell ref="A348:A350"/>
    <mergeCell ref="B348:B350"/>
    <mergeCell ref="C348:C350"/>
    <mergeCell ref="D348:D350"/>
    <mergeCell ref="B351:B353"/>
    <mergeCell ref="C351:C353"/>
    <mergeCell ref="D351:D353"/>
    <mergeCell ref="A351:A353"/>
    <mergeCell ref="A354:A355"/>
    <mergeCell ref="B354:B355"/>
    <mergeCell ref="C354:C355"/>
    <mergeCell ref="D354:D355"/>
    <mergeCell ref="A356:A357"/>
    <mergeCell ref="B356:B357"/>
    <mergeCell ref="B360:B361"/>
    <mergeCell ref="C360:C361"/>
    <mergeCell ref="C356:C357"/>
    <mergeCell ref="D356:D357"/>
    <mergeCell ref="A358:A359"/>
    <mergeCell ref="B358:B359"/>
    <mergeCell ref="C358:C359"/>
    <mergeCell ref="D358:D359"/>
    <mergeCell ref="D360:D361"/>
    <mergeCell ref="C364:C365"/>
    <mergeCell ref="D364:D365"/>
    <mergeCell ref="A360:A361"/>
    <mergeCell ref="A362:A363"/>
    <mergeCell ref="B362:B363"/>
    <mergeCell ref="C362:C363"/>
    <mergeCell ref="D362:D363"/>
    <mergeCell ref="A364:A365"/>
    <mergeCell ref="B364:B365"/>
    <mergeCell ref="A366:A367"/>
    <mergeCell ref="B366:B367"/>
    <mergeCell ref="C366:C367"/>
    <mergeCell ref="D366:D367"/>
    <mergeCell ref="B368:B369"/>
    <mergeCell ref="C368:C369"/>
    <mergeCell ref="D368:D369"/>
    <mergeCell ref="A368:A369"/>
    <mergeCell ref="A370:A371"/>
    <mergeCell ref="B370:B371"/>
    <mergeCell ref="C370:C371"/>
    <mergeCell ref="D370:D371"/>
    <mergeCell ref="A372:A373"/>
    <mergeCell ref="B372:B373"/>
    <mergeCell ref="A199:A200"/>
    <mergeCell ref="B199:B200"/>
    <mergeCell ref="C199:C200"/>
    <mergeCell ref="D199:D200"/>
    <mergeCell ref="B201:B202"/>
    <mergeCell ref="C201:C202"/>
    <mergeCell ref="D201:D202"/>
    <mergeCell ref="A201:A202"/>
    <mergeCell ref="A203:A204"/>
    <mergeCell ref="B203:B204"/>
    <mergeCell ref="C203:C204"/>
    <mergeCell ref="D203:D204"/>
    <mergeCell ref="A205:A206"/>
    <mergeCell ref="B205:B206"/>
    <mergeCell ref="A207:A208"/>
    <mergeCell ref="B207:B208"/>
    <mergeCell ref="C207:C208"/>
    <mergeCell ref="D207:D208"/>
    <mergeCell ref="B209:B210"/>
    <mergeCell ref="C209:C210"/>
    <mergeCell ref="D209:D210"/>
    <mergeCell ref="C213:C214"/>
    <mergeCell ref="D213:D214"/>
    <mergeCell ref="A209:A210"/>
    <mergeCell ref="A211:A212"/>
    <mergeCell ref="B211:B212"/>
    <mergeCell ref="C211:C212"/>
    <mergeCell ref="D211:D212"/>
    <mergeCell ref="A213:A214"/>
    <mergeCell ref="B213:B214"/>
    <mergeCell ref="C221:C222"/>
    <mergeCell ref="D221:D222"/>
    <mergeCell ref="B376:B377"/>
    <mergeCell ref="C376:C377"/>
    <mergeCell ref="B378:C378"/>
    <mergeCell ref="C372:C373"/>
    <mergeCell ref="D372:D373"/>
    <mergeCell ref="A374:A375"/>
    <mergeCell ref="B374:B375"/>
    <mergeCell ref="C374:C375"/>
    <mergeCell ref="D374:D375"/>
    <mergeCell ref="A376:A377"/>
    <mergeCell ref="D376:D377"/>
    <mergeCell ref="A262:A264"/>
    <mergeCell ref="B262:B264"/>
    <mergeCell ref="C262:C264"/>
    <mergeCell ref="D262:D264"/>
    <mergeCell ref="B265:B266"/>
    <mergeCell ref="C265:C266"/>
    <mergeCell ref="D265:D266"/>
    <mergeCell ref="A265:A266"/>
    <mergeCell ref="A267:A268"/>
    <mergeCell ref="B267:B268"/>
    <mergeCell ref="C267:C268"/>
    <mergeCell ref="D267:D268"/>
    <mergeCell ref="A269:A270"/>
    <mergeCell ref="B269:B270"/>
    <mergeCell ref="A311:A312"/>
    <mergeCell ref="D328:D329"/>
    <mergeCell ref="B330:B331"/>
    <mergeCell ref="C330:C331"/>
    <mergeCell ref="D330:D331"/>
    <mergeCell ref="A330:A331"/>
    <mergeCell ref="B311:B312"/>
    <mergeCell ref="C311:C312"/>
    <mergeCell ref="D311:D312"/>
    <mergeCell ref="B313:B314"/>
    <mergeCell ref="C313:C314"/>
    <mergeCell ref="D313:D314"/>
    <mergeCell ref="A313:A314"/>
    <mergeCell ref="A315:A317"/>
    <mergeCell ref="B315:B317"/>
    <mergeCell ref="C315:C317"/>
    <mergeCell ref="D315:D317"/>
    <mergeCell ref="A318:A319"/>
    <mergeCell ref="B318:B319"/>
    <mergeCell ref="B322:B323"/>
    <mergeCell ref="C322:C323"/>
    <mergeCell ref="C318:C319"/>
    <mergeCell ref="D318:D319"/>
    <mergeCell ref="A320:A321"/>
    <mergeCell ref="B320:B321"/>
    <mergeCell ref="C320:C321"/>
    <mergeCell ref="D320:D321"/>
    <mergeCell ref="D322:D323"/>
    <mergeCell ref="A334:A335"/>
    <mergeCell ref="B334:B335"/>
    <mergeCell ref="B339:B341"/>
    <mergeCell ref="C339:C341"/>
    <mergeCell ref="C334:C335"/>
    <mergeCell ref="D334:D335"/>
    <mergeCell ref="A336:A338"/>
    <mergeCell ref="B336:B338"/>
    <mergeCell ref="C336:C338"/>
    <mergeCell ref="D336:D338"/>
    <mergeCell ref="D339:D341"/>
    <mergeCell ref="C345:C347"/>
    <mergeCell ref="D345:D347"/>
    <mergeCell ref="A339:A341"/>
    <mergeCell ref="A342:A344"/>
    <mergeCell ref="B342:B344"/>
    <mergeCell ref="C342:C344"/>
    <mergeCell ref="D342:D344"/>
    <mergeCell ref="A345:A347"/>
    <mergeCell ref="B345:B347"/>
    <mergeCell ref="H205:H206"/>
    <mergeCell ref="I205:I206"/>
    <mergeCell ref="J205:J206"/>
    <mergeCell ref="H207:H208"/>
    <mergeCell ref="I207:I208"/>
    <mergeCell ref="J207:J208"/>
    <mergeCell ref="H209:H210"/>
    <mergeCell ref="I215:I216"/>
    <mergeCell ref="J215:J216"/>
    <mergeCell ref="H211:H212"/>
    <mergeCell ref="I211:I212"/>
    <mergeCell ref="J211:J212"/>
    <mergeCell ref="H213:H214"/>
    <mergeCell ref="I213:I214"/>
    <mergeCell ref="J213:J214"/>
    <mergeCell ref="H215:H216"/>
    <mergeCell ref="A332:A333"/>
    <mergeCell ref="B332:B333"/>
    <mergeCell ref="C332:C333"/>
    <mergeCell ref="D332:D333"/>
    <mergeCell ref="C326:C327"/>
    <mergeCell ref="D326:D327"/>
    <mergeCell ref="A322:A323"/>
    <mergeCell ref="A324:A325"/>
    <mergeCell ref="B324:B325"/>
    <mergeCell ref="C324:C325"/>
    <mergeCell ref="D324:D325"/>
    <mergeCell ref="A326:A327"/>
    <mergeCell ref="B326:B327"/>
    <mergeCell ref="A328:A329"/>
    <mergeCell ref="B328:B329"/>
    <mergeCell ref="C328:C329"/>
    <mergeCell ref="H217:H218"/>
    <mergeCell ref="I217:I218"/>
    <mergeCell ref="J217:J218"/>
    <mergeCell ref="H219:H220"/>
    <mergeCell ref="I219:I220"/>
    <mergeCell ref="J219:J220"/>
    <mergeCell ref="H221:H222"/>
    <mergeCell ref="I227:I228"/>
    <mergeCell ref="J227:J228"/>
    <mergeCell ref="H223:H224"/>
    <mergeCell ref="I223:I224"/>
    <mergeCell ref="J223:J224"/>
    <mergeCell ref="H225:H226"/>
    <mergeCell ref="I225:I226"/>
    <mergeCell ref="J225:J226"/>
    <mergeCell ref="H227:H228"/>
    <mergeCell ref="I209:I210"/>
    <mergeCell ref="J209:J210"/>
    <mergeCell ref="H229:H231"/>
    <mergeCell ref="I229:I231"/>
    <mergeCell ref="J229:J231"/>
    <mergeCell ref="H232:H234"/>
    <mergeCell ref="I232:I234"/>
    <mergeCell ref="J232:J234"/>
    <mergeCell ref="H235:H237"/>
    <mergeCell ref="I243:I244"/>
    <mergeCell ref="J243:J244"/>
    <mergeCell ref="H238:H240"/>
    <mergeCell ref="I238:I240"/>
    <mergeCell ref="J238:J240"/>
    <mergeCell ref="H241:H242"/>
    <mergeCell ref="I241:I242"/>
    <mergeCell ref="J241:J242"/>
    <mergeCell ref="H243:H244"/>
    <mergeCell ref="I221:I222"/>
    <mergeCell ref="J221:J222"/>
    <mergeCell ref="H245:H246"/>
    <mergeCell ref="I245:I246"/>
    <mergeCell ref="J245:J246"/>
    <mergeCell ref="H247:H248"/>
    <mergeCell ref="I247:I248"/>
    <mergeCell ref="J247:J248"/>
    <mergeCell ref="H249:H250"/>
    <mergeCell ref="I255:I256"/>
    <mergeCell ref="J255:J256"/>
    <mergeCell ref="H251:H252"/>
    <mergeCell ref="I251:I252"/>
    <mergeCell ref="J251:J252"/>
    <mergeCell ref="H253:H254"/>
    <mergeCell ref="I253:I254"/>
    <mergeCell ref="J253:J254"/>
    <mergeCell ref="H255:H256"/>
    <mergeCell ref="I235:I237"/>
    <mergeCell ref="J235:J237"/>
    <mergeCell ref="H259:H261"/>
    <mergeCell ref="I259:I261"/>
    <mergeCell ref="J259:J261"/>
    <mergeCell ref="H262:H264"/>
    <mergeCell ref="I262:I264"/>
    <mergeCell ref="J262:J264"/>
    <mergeCell ref="H265:H266"/>
    <mergeCell ref="I271:I272"/>
    <mergeCell ref="J271:J272"/>
    <mergeCell ref="H267:H268"/>
    <mergeCell ref="I267:I268"/>
    <mergeCell ref="J267:J268"/>
    <mergeCell ref="H269:H270"/>
    <mergeCell ref="I269:I270"/>
    <mergeCell ref="J269:J270"/>
    <mergeCell ref="H271:H272"/>
    <mergeCell ref="I249:I250"/>
    <mergeCell ref="J249:J250"/>
    <mergeCell ref="H273:H274"/>
    <mergeCell ref="I273:I274"/>
    <mergeCell ref="J273:J274"/>
    <mergeCell ref="H275:H276"/>
    <mergeCell ref="I275:I276"/>
    <mergeCell ref="J275:J276"/>
    <mergeCell ref="H277:H278"/>
    <mergeCell ref="I283:I284"/>
    <mergeCell ref="J283:J284"/>
    <mergeCell ref="H279:H280"/>
    <mergeCell ref="I279:I280"/>
    <mergeCell ref="J279:J280"/>
    <mergeCell ref="H281:H282"/>
    <mergeCell ref="I281:I282"/>
    <mergeCell ref="J281:J282"/>
    <mergeCell ref="H283:H284"/>
    <mergeCell ref="I265:I266"/>
    <mergeCell ref="J265:J266"/>
    <mergeCell ref="H285:H286"/>
    <mergeCell ref="I285:I286"/>
    <mergeCell ref="J285:J286"/>
    <mergeCell ref="H287:H288"/>
    <mergeCell ref="I287:I288"/>
    <mergeCell ref="J287:J288"/>
    <mergeCell ref="H289:H290"/>
    <mergeCell ref="I295:I296"/>
    <mergeCell ref="J295:J296"/>
    <mergeCell ref="H291:H292"/>
    <mergeCell ref="I291:I292"/>
    <mergeCell ref="J291:J292"/>
    <mergeCell ref="H293:H294"/>
    <mergeCell ref="I293:I294"/>
    <mergeCell ref="J293:J294"/>
    <mergeCell ref="H295:H296"/>
    <mergeCell ref="I277:I278"/>
    <mergeCell ref="J277:J278"/>
    <mergeCell ref="H342:H344"/>
    <mergeCell ref="I342:I344"/>
    <mergeCell ref="J342:J344"/>
    <mergeCell ref="H345:H347"/>
    <mergeCell ref="I345:I347"/>
    <mergeCell ref="J345:J347"/>
    <mergeCell ref="H348:H350"/>
    <mergeCell ref="H309:H310"/>
    <mergeCell ref="I309:I310"/>
    <mergeCell ref="J309:J310"/>
    <mergeCell ref="H311:H312"/>
    <mergeCell ref="I311:I312"/>
    <mergeCell ref="J311:J312"/>
    <mergeCell ref="H313:H314"/>
    <mergeCell ref="I320:I321"/>
    <mergeCell ref="J320:J321"/>
    <mergeCell ref="I289:I290"/>
    <mergeCell ref="J289:J290"/>
    <mergeCell ref="H351:H353"/>
    <mergeCell ref="I351:I353"/>
    <mergeCell ref="J351:J353"/>
    <mergeCell ref="H354:H355"/>
    <mergeCell ref="I354:I355"/>
    <mergeCell ref="J354:J355"/>
    <mergeCell ref="H356:H357"/>
    <mergeCell ref="I362:I363"/>
    <mergeCell ref="J362:J363"/>
    <mergeCell ref="H358:H359"/>
    <mergeCell ref="I358:I359"/>
    <mergeCell ref="J358:J359"/>
    <mergeCell ref="H360:H361"/>
    <mergeCell ref="I360:I361"/>
    <mergeCell ref="J360:J361"/>
    <mergeCell ref="H362:H363"/>
    <mergeCell ref="H115:H117"/>
    <mergeCell ref="I115:I117"/>
    <mergeCell ref="H118:H120"/>
    <mergeCell ref="I118:I120"/>
    <mergeCell ref="J118:J120"/>
    <mergeCell ref="I121:I123"/>
    <mergeCell ref="J121:J123"/>
    <mergeCell ref="H121:H123"/>
    <mergeCell ref="H124:H126"/>
    <mergeCell ref="I124:I126"/>
    <mergeCell ref="J124:J126"/>
    <mergeCell ref="H127:H129"/>
    <mergeCell ref="I127:I129"/>
    <mergeCell ref="J127:J129"/>
    <mergeCell ref="I348:I350"/>
    <mergeCell ref="J348:J350"/>
    <mergeCell ref="I364:I365"/>
    <mergeCell ref="J364:J365"/>
    <mergeCell ref="H366:H367"/>
    <mergeCell ref="I366:I367"/>
    <mergeCell ref="J366:J367"/>
    <mergeCell ref="H368:H369"/>
    <mergeCell ref="I374:I375"/>
    <mergeCell ref="J374:J375"/>
    <mergeCell ref="H370:H371"/>
    <mergeCell ref="I370:I371"/>
    <mergeCell ref="J370:J371"/>
    <mergeCell ref="H372:H373"/>
    <mergeCell ref="I372:I373"/>
    <mergeCell ref="J372:J373"/>
    <mergeCell ref="H374:H375"/>
    <mergeCell ref="I356:I357"/>
    <mergeCell ref="J356:J357"/>
    <mergeCell ref="H20:H21"/>
    <mergeCell ref="I20:I21"/>
    <mergeCell ref="J20:J21"/>
    <mergeCell ref="I22:I23"/>
    <mergeCell ref="J22:J23"/>
    <mergeCell ref="H22:H23"/>
    <mergeCell ref="H24:H25"/>
    <mergeCell ref="I24:I25"/>
    <mergeCell ref="J24:J25"/>
    <mergeCell ref="H26:H27"/>
    <mergeCell ref="I26:I27"/>
    <mergeCell ref="J26:J27"/>
    <mergeCell ref="I34:I35"/>
    <mergeCell ref="J34:J35"/>
    <mergeCell ref="H30:H31"/>
    <mergeCell ref="I30:I31"/>
    <mergeCell ref="J30:J31"/>
    <mergeCell ref="H32:H33"/>
    <mergeCell ref="I32:I33"/>
    <mergeCell ref="J32:J33"/>
    <mergeCell ref="H34:H35"/>
    <mergeCell ref="I36:I37"/>
    <mergeCell ref="J36:J37"/>
    <mergeCell ref="H38:H39"/>
    <mergeCell ref="I38:I39"/>
    <mergeCell ref="J38:J39"/>
    <mergeCell ref="H40:H41"/>
    <mergeCell ref="H376:H377"/>
    <mergeCell ref="I376:I377"/>
    <mergeCell ref="J376:J377"/>
    <mergeCell ref="I301:I302"/>
    <mergeCell ref="J301:J302"/>
    <mergeCell ref="H297:H298"/>
    <mergeCell ref="I297:I298"/>
    <mergeCell ref="J297:J298"/>
    <mergeCell ref="H299:H300"/>
    <mergeCell ref="I299:I300"/>
    <mergeCell ref="J299:J300"/>
    <mergeCell ref="H301:H302"/>
    <mergeCell ref="I307:I308"/>
    <mergeCell ref="J307:J308"/>
    <mergeCell ref="H303:H304"/>
    <mergeCell ref="I303:I304"/>
    <mergeCell ref="J303:J304"/>
    <mergeCell ref="H305:H306"/>
    <mergeCell ref="I305:I306"/>
    <mergeCell ref="J305:J306"/>
    <mergeCell ref="H307:H308"/>
    <mergeCell ref="I313:I314"/>
    <mergeCell ref="J313:J314"/>
    <mergeCell ref="I368:I369"/>
    <mergeCell ref="J368:J369"/>
    <mergeCell ref="H364:H365"/>
    <mergeCell ref="H315:H317"/>
    <mergeCell ref="I315:I317"/>
    <mergeCell ref="J315:J317"/>
    <mergeCell ref="H318:H319"/>
    <mergeCell ref="I318:I319"/>
    <mergeCell ref="J318:J319"/>
    <mergeCell ref="H320:H321"/>
    <mergeCell ref="I326:I327"/>
    <mergeCell ref="J326:J327"/>
    <mergeCell ref="H322:H323"/>
    <mergeCell ref="I322:I323"/>
    <mergeCell ref="J322:J323"/>
    <mergeCell ref="H324:H325"/>
    <mergeCell ref="I324:I325"/>
    <mergeCell ref="J324:J325"/>
    <mergeCell ref="H326:H327"/>
    <mergeCell ref="I332:I333"/>
    <mergeCell ref="J332:J333"/>
    <mergeCell ref="H328:H329"/>
    <mergeCell ref="I328:I329"/>
    <mergeCell ref="J328:J329"/>
    <mergeCell ref="H330:H331"/>
    <mergeCell ref="I330:I331"/>
    <mergeCell ref="J330:J331"/>
    <mergeCell ref="H332:H333"/>
    <mergeCell ref="I339:I341"/>
    <mergeCell ref="J339:J341"/>
    <mergeCell ref="F379:I379"/>
    <mergeCell ref="E380:I380"/>
    <mergeCell ref="E381:I381"/>
    <mergeCell ref="E385:I385"/>
    <mergeCell ref="H334:H335"/>
    <mergeCell ref="I334:I335"/>
    <mergeCell ref="J334:J335"/>
    <mergeCell ref="H336:H338"/>
    <mergeCell ref="I336:I338"/>
    <mergeCell ref="J336:J338"/>
    <mergeCell ref="H339:H341"/>
    <mergeCell ref="A1:C1"/>
    <mergeCell ref="G1:J1"/>
    <mergeCell ref="A2:C2"/>
    <mergeCell ref="G2:J2"/>
    <mergeCell ref="A3:C3"/>
    <mergeCell ref="A6:J6"/>
    <mergeCell ref="A7:J7"/>
    <mergeCell ref="A10:A11"/>
    <mergeCell ref="B10:B11"/>
    <mergeCell ref="C10:C11"/>
    <mergeCell ref="D10:D11"/>
    <mergeCell ref="H10:H11"/>
    <mergeCell ref="I10:I11"/>
    <mergeCell ref="J10:J11"/>
    <mergeCell ref="A12:A13"/>
    <mergeCell ref="B12:B13"/>
    <mergeCell ref="C12:C13"/>
    <mergeCell ref="D12:D13"/>
    <mergeCell ref="H12:H13"/>
    <mergeCell ref="I12:I13"/>
    <mergeCell ref="J12:J13"/>
    <mergeCell ref="A14:A15"/>
    <mergeCell ref="B14:B15"/>
    <mergeCell ref="C14:C15"/>
    <mergeCell ref="D14:D15"/>
    <mergeCell ref="H14:H15"/>
    <mergeCell ref="I14:I15"/>
    <mergeCell ref="J14:J15"/>
    <mergeCell ref="A16:A17"/>
    <mergeCell ref="B16:B17"/>
    <mergeCell ref="C16:C17"/>
    <mergeCell ref="H16:H17"/>
    <mergeCell ref="I16:I17"/>
    <mergeCell ref="J16:J17"/>
    <mergeCell ref="A18:A19"/>
    <mergeCell ref="J18:J19"/>
    <mergeCell ref="H18:H19"/>
    <mergeCell ref="I18:I19"/>
    <mergeCell ref="I48:I49"/>
    <mergeCell ref="J48:J49"/>
    <mergeCell ref="H50:H51"/>
    <mergeCell ref="I50:I51"/>
    <mergeCell ref="J50:J51"/>
    <mergeCell ref="H52:H53"/>
    <mergeCell ref="A42:A43"/>
    <mergeCell ref="B42:B43"/>
    <mergeCell ref="C42:C43"/>
    <mergeCell ref="A22:A23"/>
    <mergeCell ref="A24:A25"/>
    <mergeCell ref="B24:B25"/>
    <mergeCell ref="C24:C25"/>
    <mergeCell ref="D24:D25"/>
    <mergeCell ref="H28:H29"/>
    <mergeCell ref="I28:I29"/>
    <mergeCell ref="J28:J29"/>
    <mergeCell ref="A34:A35"/>
    <mergeCell ref="B34:B35"/>
    <mergeCell ref="C34:C35"/>
    <mergeCell ref="D34:D35"/>
    <mergeCell ref="B36:B37"/>
    <mergeCell ref="C36:C37"/>
    <mergeCell ref="D36:D37"/>
    <mergeCell ref="A36:A37"/>
    <mergeCell ref="A38:A39"/>
    <mergeCell ref="B38:B39"/>
    <mergeCell ref="C38:C39"/>
    <mergeCell ref="D38:D39"/>
    <mergeCell ref="I40:I41"/>
    <mergeCell ref="J40:J41"/>
    <mergeCell ref="H36:H37"/>
    <mergeCell ref="I58:I59"/>
    <mergeCell ref="J58:J59"/>
    <mergeCell ref="H54:H55"/>
    <mergeCell ref="I54:I55"/>
    <mergeCell ref="J54:J55"/>
    <mergeCell ref="H56:H57"/>
    <mergeCell ref="I56:I57"/>
    <mergeCell ref="J56:J57"/>
    <mergeCell ref="H58:H59"/>
    <mergeCell ref="A40:A41"/>
    <mergeCell ref="B40:B41"/>
    <mergeCell ref="I46:I47"/>
    <mergeCell ref="J46:J47"/>
    <mergeCell ref="H42:H43"/>
    <mergeCell ref="I42:I43"/>
    <mergeCell ref="J42:J43"/>
    <mergeCell ref="H44:H45"/>
    <mergeCell ref="I44:I45"/>
    <mergeCell ref="J44:J45"/>
    <mergeCell ref="H46:H47"/>
    <mergeCell ref="B52:B53"/>
    <mergeCell ref="C52:C53"/>
    <mergeCell ref="C48:C49"/>
    <mergeCell ref="D48:D49"/>
    <mergeCell ref="A50:A51"/>
    <mergeCell ref="B50:B51"/>
    <mergeCell ref="C50:C51"/>
    <mergeCell ref="D50:D51"/>
    <mergeCell ref="D52:D53"/>
    <mergeCell ref="I52:I53"/>
    <mergeCell ref="J52:J53"/>
    <mergeCell ref="H48:H49"/>
    <mergeCell ref="D42:D43"/>
    <mergeCell ref="B44:B45"/>
    <mergeCell ref="C44:C45"/>
    <mergeCell ref="D44:D45"/>
    <mergeCell ref="A44:A45"/>
    <mergeCell ref="A46:A47"/>
    <mergeCell ref="B46:B47"/>
    <mergeCell ref="C46:C47"/>
    <mergeCell ref="D46:D47"/>
    <mergeCell ref="A48:A49"/>
    <mergeCell ref="B48:B49"/>
    <mergeCell ref="A58:A59"/>
    <mergeCell ref="B58:B59"/>
    <mergeCell ref="C58:C59"/>
    <mergeCell ref="D58:D59"/>
    <mergeCell ref="B60:B61"/>
    <mergeCell ref="C60:C61"/>
    <mergeCell ref="D60:D61"/>
    <mergeCell ref="A60:A61"/>
    <mergeCell ref="C56:C57"/>
    <mergeCell ref="D56:D57"/>
    <mergeCell ref="A52:A53"/>
    <mergeCell ref="A54:A55"/>
    <mergeCell ref="B54:B55"/>
    <mergeCell ref="C54:C55"/>
    <mergeCell ref="D54:D55"/>
    <mergeCell ref="A56:A57"/>
    <mergeCell ref="B56:B57"/>
    <mergeCell ref="A62:A63"/>
    <mergeCell ref="B62:B63"/>
    <mergeCell ref="C62:C63"/>
    <mergeCell ref="D62:D63"/>
    <mergeCell ref="A64:A65"/>
    <mergeCell ref="B64:B65"/>
    <mergeCell ref="B68:B69"/>
    <mergeCell ref="C68:C69"/>
    <mergeCell ref="C64:C65"/>
    <mergeCell ref="D64:D65"/>
    <mergeCell ref="A66:A67"/>
    <mergeCell ref="B66:B67"/>
    <mergeCell ref="C66:C67"/>
    <mergeCell ref="D66:D67"/>
    <mergeCell ref="D68:D69"/>
    <mergeCell ref="C72:C73"/>
    <mergeCell ref="D72:D73"/>
    <mergeCell ref="A68:A69"/>
    <mergeCell ref="A70:A71"/>
    <mergeCell ref="B70:B71"/>
    <mergeCell ref="C70:C71"/>
    <mergeCell ref="D70:D71"/>
    <mergeCell ref="A72:A73"/>
    <mergeCell ref="B72:B73"/>
    <mergeCell ref="A74:A75"/>
    <mergeCell ref="B74:B75"/>
    <mergeCell ref="C74:C75"/>
    <mergeCell ref="D74:D75"/>
    <mergeCell ref="B76:B77"/>
    <mergeCell ref="C76:C77"/>
    <mergeCell ref="D76:D77"/>
    <mergeCell ref="A76:A77"/>
    <mergeCell ref="A78:A79"/>
    <mergeCell ref="B78:B79"/>
    <mergeCell ref="C78:C79"/>
    <mergeCell ref="D78:D79"/>
    <mergeCell ref="A80:A81"/>
    <mergeCell ref="B80:B81"/>
    <mergeCell ref="B84:B85"/>
    <mergeCell ref="C84:C85"/>
    <mergeCell ref="C80:C81"/>
    <mergeCell ref="D80:D81"/>
    <mergeCell ref="A82:A83"/>
    <mergeCell ref="B82:B83"/>
    <mergeCell ref="C82:C83"/>
    <mergeCell ref="D82:D83"/>
    <mergeCell ref="D84:D85"/>
    <mergeCell ref="C88:C89"/>
    <mergeCell ref="D88:D89"/>
    <mergeCell ref="A84:A85"/>
    <mergeCell ref="A86:A87"/>
    <mergeCell ref="B86:B87"/>
    <mergeCell ref="C86:C87"/>
    <mergeCell ref="D86:D87"/>
    <mergeCell ref="A88:A89"/>
    <mergeCell ref="B88:B89"/>
    <mergeCell ref="I64:I65"/>
    <mergeCell ref="J64:J65"/>
    <mergeCell ref="H60:H61"/>
    <mergeCell ref="I60:I61"/>
    <mergeCell ref="J60:J61"/>
    <mergeCell ref="H62:H63"/>
    <mergeCell ref="I62:I63"/>
    <mergeCell ref="J62:J63"/>
    <mergeCell ref="H64:H65"/>
    <mergeCell ref="I70:I71"/>
    <mergeCell ref="J70:J71"/>
    <mergeCell ref="H66:H67"/>
    <mergeCell ref="I66:I67"/>
    <mergeCell ref="J66:J67"/>
    <mergeCell ref="H68:H69"/>
    <mergeCell ref="I68:I69"/>
    <mergeCell ref="J68:J69"/>
    <mergeCell ref="H70:H71"/>
    <mergeCell ref="I76:I77"/>
    <mergeCell ref="J76:J77"/>
    <mergeCell ref="H72:H73"/>
    <mergeCell ref="I72:I73"/>
    <mergeCell ref="J72:J73"/>
    <mergeCell ref="H74:H75"/>
    <mergeCell ref="I74:I75"/>
    <mergeCell ref="J74:J75"/>
    <mergeCell ref="H76:H77"/>
    <mergeCell ref="I82:I83"/>
    <mergeCell ref="J82:J83"/>
    <mergeCell ref="H78:H79"/>
    <mergeCell ref="I78:I79"/>
    <mergeCell ref="J78:J79"/>
    <mergeCell ref="H80:H81"/>
    <mergeCell ref="I80:I81"/>
    <mergeCell ref="J80:J81"/>
    <mergeCell ref="H82:H83"/>
    <mergeCell ref="I88:I89"/>
    <mergeCell ref="J88:J89"/>
    <mergeCell ref="H84:H85"/>
    <mergeCell ref="I84:I85"/>
    <mergeCell ref="J84:J85"/>
    <mergeCell ref="H86:H87"/>
    <mergeCell ref="I86:I87"/>
    <mergeCell ref="J86:J87"/>
    <mergeCell ref="H88:H89"/>
    <mergeCell ref="I94:I95"/>
    <mergeCell ref="J94:J95"/>
    <mergeCell ref="H90:H91"/>
    <mergeCell ref="I90:I91"/>
    <mergeCell ref="J90:J91"/>
    <mergeCell ref="H92:H93"/>
    <mergeCell ref="I92:I93"/>
    <mergeCell ref="J92:J93"/>
    <mergeCell ref="H94:H95"/>
    <mergeCell ref="I100:I101"/>
    <mergeCell ref="J100:J101"/>
    <mergeCell ref="H96:H97"/>
    <mergeCell ref="I96:I97"/>
    <mergeCell ref="J96:J97"/>
    <mergeCell ref="H98:H99"/>
    <mergeCell ref="I98:I99"/>
    <mergeCell ref="J98:J99"/>
    <mergeCell ref="H100:H101"/>
    <mergeCell ref="A90:A91"/>
    <mergeCell ref="B90:B91"/>
    <mergeCell ref="C90:C91"/>
    <mergeCell ref="D90:D91"/>
    <mergeCell ref="B92:B93"/>
    <mergeCell ref="C92:C93"/>
    <mergeCell ref="D92:D93"/>
    <mergeCell ref="A92:A93"/>
    <mergeCell ref="A94:A95"/>
    <mergeCell ref="B94:B95"/>
    <mergeCell ref="C94:C95"/>
    <mergeCell ref="D94:D95"/>
    <mergeCell ref="A96:A97"/>
    <mergeCell ref="B96:B97"/>
    <mergeCell ref="B100:B101"/>
    <mergeCell ref="C100:C101"/>
    <mergeCell ref="C96:C97"/>
    <mergeCell ref="D96:D97"/>
    <mergeCell ref="A98:A99"/>
    <mergeCell ref="B98:B99"/>
    <mergeCell ref="C98:C99"/>
    <mergeCell ref="D98:D99"/>
    <mergeCell ref="D100:D101"/>
    <mergeCell ref="C104:C105"/>
    <mergeCell ref="D104:D105"/>
    <mergeCell ref="A100:A101"/>
    <mergeCell ref="A102:A103"/>
    <mergeCell ref="B102:B103"/>
    <mergeCell ref="C102:C103"/>
    <mergeCell ref="D102:D103"/>
    <mergeCell ref="A104:A105"/>
    <mergeCell ref="B104:B105"/>
    <mergeCell ref="A106:A107"/>
    <mergeCell ref="B106:B107"/>
    <mergeCell ref="C106:C107"/>
    <mergeCell ref="D106:D107"/>
    <mergeCell ref="B108:B109"/>
    <mergeCell ref="C108:C109"/>
    <mergeCell ref="D108:D109"/>
    <mergeCell ref="A108:A109"/>
    <mergeCell ref="A110:A111"/>
    <mergeCell ref="B110:B111"/>
    <mergeCell ref="C110:C111"/>
    <mergeCell ref="D110:D111"/>
    <mergeCell ref="A112:A114"/>
    <mergeCell ref="B112:B114"/>
    <mergeCell ref="B118:B120"/>
    <mergeCell ref="C118:C120"/>
    <mergeCell ref="C112:C114"/>
    <mergeCell ref="D112:D114"/>
    <mergeCell ref="A115:A117"/>
    <mergeCell ref="B115:B117"/>
    <mergeCell ref="C115:C117"/>
    <mergeCell ref="D115:D117"/>
    <mergeCell ref="D118:D120"/>
    <mergeCell ref="C124:C126"/>
    <mergeCell ref="D124:D126"/>
    <mergeCell ref="A118:A120"/>
    <mergeCell ref="A121:A123"/>
    <mergeCell ref="B121:B123"/>
    <mergeCell ref="C121:C123"/>
    <mergeCell ref="D121:D123"/>
    <mergeCell ref="A124:A126"/>
    <mergeCell ref="B124:B126"/>
    <mergeCell ref="B138:B139"/>
    <mergeCell ref="C138:C139"/>
    <mergeCell ref="C134:C135"/>
    <mergeCell ref="D134:D135"/>
    <mergeCell ref="A136:A137"/>
    <mergeCell ref="B136:B137"/>
    <mergeCell ref="C136:C137"/>
    <mergeCell ref="D136:D137"/>
    <mergeCell ref="D138:D139"/>
    <mergeCell ref="I106:I107"/>
    <mergeCell ref="J106:J107"/>
    <mergeCell ref="H102:H103"/>
    <mergeCell ref="I102:I103"/>
    <mergeCell ref="J102:J103"/>
    <mergeCell ref="H104:H105"/>
    <mergeCell ref="I104:I105"/>
    <mergeCell ref="J104:J105"/>
    <mergeCell ref="H106:H107"/>
    <mergeCell ref="I112:I114"/>
    <mergeCell ref="J112:J114"/>
    <mergeCell ref="H108:H109"/>
    <mergeCell ref="I108:I109"/>
    <mergeCell ref="J108:J109"/>
    <mergeCell ref="H110:H111"/>
    <mergeCell ref="I110:I111"/>
    <mergeCell ref="J110:J111"/>
    <mergeCell ref="H112:H114"/>
    <mergeCell ref="I134:I135"/>
    <mergeCell ref="J134:J135"/>
    <mergeCell ref="H130:H131"/>
    <mergeCell ref="I130:I131"/>
    <mergeCell ref="J130:J131"/>
    <mergeCell ref="H132:H133"/>
    <mergeCell ref="I132:I133"/>
    <mergeCell ref="J132:J133"/>
    <mergeCell ref="H134:H135"/>
    <mergeCell ref="I140:I141"/>
    <mergeCell ref="J140:J141"/>
    <mergeCell ref="H136:H137"/>
    <mergeCell ref="I136:I137"/>
    <mergeCell ref="J136:J137"/>
    <mergeCell ref="H138:H139"/>
    <mergeCell ref="I138:I139"/>
    <mergeCell ref="J138:J139"/>
    <mergeCell ref="H140:H141"/>
    <mergeCell ref="I146:I147"/>
    <mergeCell ref="J146:J147"/>
    <mergeCell ref="H142:H143"/>
    <mergeCell ref="I142:I143"/>
    <mergeCell ref="J142:J143"/>
    <mergeCell ref="H144:H145"/>
    <mergeCell ref="I144:I145"/>
    <mergeCell ref="J144:J145"/>
    <mergeCell ref="H146:H147"/>
    <mergeCell ref="I152:I153"/>
    <mergeCell ref="J152:J153"/>
    <mergeCell ref="H148:H149"/>
    <mergeCell ref="I148:I149"/>
    <mergeCell ref="J148:J149"/>
    <mergeCell ref="H150:H151"/>
    <mergeCell ref="I150:I151"/>
    <mergeCell ref="J150:J151"/>
    <mergeCell ref="H152:H153"/>
    <mergeCell ref="I158:I159"/>
    <mergeCell ref="J158:J159"/>
    <mergeCell ref="H154:H155"/>
    <mergeCell ref="I154:I155"/>
    <mergeCell ref="J154:J155"/>
    <mergeCell ref="H156:H157"/>
    <mergeCell ref="I156:I157"/>
    <mergeCell ref="J156:J157"/>
    <mergeCell ref="H158:H159"/>
    <mergeCell ref="A197:A198"/>
    <mergeCell ref="B197:B198"/>
    <mergeCell ref="A172:A173"/>
    <mergeCell ref="B172:B173"/>
    <mergeCell ref="C172:C173"/>
    <mergeCell ref="D172:D173"/>
    <mergeCell ref="B174:B175"/>
    <mergeCell ref="C174:C175"/>
    <mergeCell ref="D174:D175"/>
    <mergeCell ref="A174:A175"/>
    <mergeCell ref="A176:A177"/>
    <mergeCell ref="B176:B177"/>
    <mergeCell ref="C176:C177"/>
    <mergeCell ref="D176:D177"/>
    <mergeCell ref="A178:A179"/>
    <mergeCell ref="B178:B179"/>
    <mergeCell ref="A180:A181"/>
    <mergeCell ref="B180:B181"/>
    <mergeCell ref="C180:C181"/>
    <mergeCell ref="D180:D181"/>
    <mergeCell ref="B182:B183"/>
    <mergeCell ref="C182:C183"/>
    <mergeCell ref="D182:D183"/>
    <mergeCell ref="C186:C187"/>
    <mergeCell ref="D186:D187"/>
    <mergeCell ref="A182:A183"/>
    <mergeCell ref="A184:A185"/>
    <mergeCell ref="B184:B185"/>
    <mergeCell ref="C184:C185"/>
    <mergeCell ref="D184:D185"/>
    <mergeCell ref="A186:A187"/>
    <mergeCell ref="B186:B187"/>
    <mergeCell ref="C197:C198"/>
    <mergeCell ref="D197:D198"/>
    <mergeCell ref="C205:C206"/>
    <mergeCell ref="D205:D206"/>
    <mergeCell ref="I164:I165"/>
    <mergeCell ref="I176:I177"/>
    <mergeCell ref="I188:I190"/>
    <mergeCell ref="I203:I204"/>
    <mergeCell ref="A188:A190"/>
    <mergeCell ref="B188:B190"/>
    <mergeCell ref="C188:C190"/>
    <mergeCell ref="D188:D190"/>
    <mergeCell ref="B191:B193"/>
    <mergeCell ref="C191:C193"/>
    <mergeCell ref="D191:D193"/>
    <mergeCell ref="A191:A193"/>
    <mergeCell ref="A194:A196"/>
    <mergeCell ref="B194:B196"/>
    <mergeCell ref="C194:C196"/>
    <mergeCell ref="D194:D196"/>
    <mergeCell ref="J164:J165"/>
    <mergeCell ref="H160:H161"/>
    <mergeCell ref="I160:I161"/>
    <mergeCell ref="J160:J161"/>
    <mergeCell ref="H162:H163"/>
    <mergeCell ref="I162:I163"/>
    <mergeCell ref="J162:J163"/>
    <mergeCell ref="H164:H165"/>
    <mergeCell ref="I170:I171"/>
    <mergeCell ref="J170:J171"/>
    <mergeCell ref="H166:H167"/>
    <mergeCell ref="I166:I167"/>
    <mergeCell ref="J166:J167"/>
    <mergeCell ref="H168:H169"/>
    <mergeCell ref="I168:I169"/>
    <mergeCell ref="J168:J169"/>
    <mergeCell ref="H170:H171"/>
    <mergeCell ref="J176:J177"/>
    <mergeCell ref="H172:H173"/>
    <mergeCell ref="I172:I173"/>
    <mergeCell ref="J172:J173"/>
    <mergeCell ref="H174:H175"/>
    <mergeCell ref="I174:I175"/>
    <mergeCell ref="J174:J175"/>
    <mergeCell ref="H176:H177"/>
    <mergeCell ref="I182:I183"/>
    <mergeCell ref="J182:J183"/>
    <mergeCell ref="H178:H179"/>
    <mergeCell ref="I178:I179"/>
    <mergeCell ref="J178:J179"/>
    <mergeCell ref="H180:H181"/>
    <mergeCell ref="I180:I181"/>
    <mergeCell ref="J180:J181"/>
    <mergeCell ref="H182:H183"/>
    <mergeCell ref="J203:J204"/>
    <mergeCell ref="H199:H200"/>
    <mergeCell ref="I199:I200"/>
    <mergeCell ref="J199:J200"/>
    <mergeCell ref="H201:H202"/>
    <mergeCell ref="I201:I202"/>
    <mergeCell ref="J201:J202"/>
    <mergeCell ref="H203:H204"/>
    <mergeCell ref="J188:J190"/>
    <mergeCell ref="H184:H185"/>
    <mergeCell ref="I184:I185"/>
    <mergeCell ref="J184:J185"/>
    <mergeCell ref="H186:H187"/>
    <mergeCell ref="I186:I187"/>
    <mergeCell ref="J186:J187"/>
    <mergeCell ref="H188:H190"/>
    <mergeCell ref="I197:I198"/>
    <mergeCell ref="J197:J198"/>
    <mergeCell ref="H191:H193"/>
    <mergeCell ref="I191:I193"/>
    <mergeCell ref="J191:J193"/>
    <mergeCell ref="H194:H196"/>
    <mergeCell ref="I194:I196"/>
    <mergeCell ref="J194:J196"/>
    <mergeCell ref="H197:H19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E175"/>
  <sheetViews>
    <sheetView workbookViewId="0"/>
  </sheetViews>
  <sheetFormatPr defaultColWidth="12.6328125" defaultRowHeight="15.75" customHeight="1"/>
  <cols>
    <col min="3" max="3" width="26.36328125" customWidth="1"/>
    <col min="5" max="5" width="23.26953125" customWidth="1"/>
  </cols>
  <sheetData>
    <row r="1" spans="2:5" ht="15.75" customHeight="1">
      <c r="B1" s="50">
        <v>3122410001</v>
      </c>
      <c r="C1" s="50" t="s">
        <v>1717</v>
      </c>
      <c r="D1" s="58" t="s">
        <v>940</v>
      </c>
      <c r="E1" s="52" t="s">
        <v>1334</v>
      </c>
    </row>
    <row r="2" spans="2:5" ht="15.75" customHeight="1">
      <c r="B2" s="50">
        <v>3122411020</v>
      </c>
      <c r="C2" s="50" t="s">
        <v>1717</v>
      </c>
      <c r="D2" s="58" t="s">
        <v>1826</v>
      </c>
      <c r="E2" s="52" t="s">
        <v>1344</v>
      </c>
    </row>
    <row r="3" spans="2:5" ht="15.75" customHeight="1">
      <c r="B3" s="50">
        <v>3121200013</v>
      </c>
      <c r="C3" s="50" t="s">
        <v>1827</v>
      </c>
      <c r="D3" s="58" t="s">
        <v>1828</v>
      </c>
      <c r="E3" s="52" t="s">
        <v>54</v>
      </c>
    </row>
    <row r="4" spans="2:5" ht="15.75" customHeight="1">
      <c r="B4" s="50">
        <v>3121200023</v>
      </c>
      <c r="C4" s="50" t="s">
        <v>1827</v>
      </c>
      <c r="D4" s="58" t="s">
        <v>1829</v>
      </c>
      <c r="E4" s="52" t="s">
        <v>21</v>
      </c>
    </row>
    <row r="5" spans="2:5" ht="15.75" customHeight="1">
      <c r="B5" s="50">
        <v>3122200003</v>
      </c>
      <c r="C5" s="50" t="s">
        <v>1827</v>
      </c>
      <c r="D5" s="58" t="s">
        <v>1828</v>
      </c>
      <c r="E5" s="52" t="s">
        <v>39</v>
      </c>
    </row>
    <row r="6" spans="2:5" ht="15.75" customHeight="1">
      <c r="B6" s="50">
        <v>3122200005</v>
      </c>
      <c r="C6" s="50" t="s">
        <v>1827</v>
      </c>
      <c r="D6" s="58" t="s">
        <v>1830</v>
      </c>
      <c r="E6" s="52" t="s">
        <v>62</v>
      </c>
    </row>
    <row r="7" spans="2:5" ht="15.75" customHeight="1">
      <c r="B7" s="50">
        <v>3122200009</v>
      </c>
      <c r="C7" s="50" t="s">
        <v>1827</v>
      </c>
      <c r="D7" s="58" t="s">
        <v>940</v>
      </c>
      <c r="E7" s="52" t="s">
        <v>1712</v>
      </c>
    </row>
    <row r="8" spans="2:5" ht="15.75" customHeight="1">
      <c r="B8" s="50">
        <v>3122200012</v>
      </c>
      <c r="C8" s="50" t="s">
        <v>1827</v>
      </c>
      <c r="D8" s="58" t="s">
        <v>1115</v>
      </c>
      <c r="E8" s="52" t="s">
        <v>32</v>
      </c>
    </row>
    <row r="9" spans="2:5" ht="15.75" customHeight="1">
      <c r="B9" s="50">
        <v>3121150147</v>
      </c>
      <c r="C9" s="50" t="s">
        <v>1720</v>
      </c>
      <c r="D9" s="58" t="s">
        <v>1261</v>
      </c>
      <c r="E9" s="52" t="s">
        <v>442</v>
      </c>
    </row>
    <row r="10" spans="2:5" ht="15.75" customHeight="1">
      <c r="B10" s="50">
        <v>3121150036</v>
      </c>
      <c r="C10" s="50" t="s">
        <v>1720</v>
      </c>
      <c r="D10" s="58" t="s">
        <v>1831</v>
      </c>
      <c r="E10" s="52" t="s">
        <v>452</v>
      </c>
    </row>
    <row r="11" spans="2:5" ht="15.75" customHeight="1">
      <c r="B11" s="50">
        <v>3121150004</v>
      </c>
      <c r="C11" s="50" t="s">
        <v>1720</v>
      </c>
      <c r="D11" s="58" t="s">
        <v>1832</v>
      </c>
      <c r="E11" s="52" t="s">
        <v>456</v>
      </c>
    </row>
    <row r="12" spans="2:5" ht="15.75" customHeight="1">
      <c r="B12" s="50">
        <v>3122150011</v>
      </c>
      <c r="C12" s="50" t="s">
        <v>1720</v>
      </c>
      <c r="D12" s="58" t="s">
        <v>416</v>
      </c>
      <c r="E12" s="52" t="s">
        <v>463</v>
      </c>
    </row>
    <row r="13" spans="2:5" ht="15.75" customHeight="1">
      <c r="B13" s="50">
        <v>3122150033</v>
      </c>
      <c r="C13" s="50" t="s">
        <v>1720</v>
      </c>
      <c r="D13" s="58" t="s">
        <v>1833</v>
      </c>
      <c r="E13" s="52" t="s">
        <v>471</v>
      </c>
    </row>
    <row r="14" spans="2:5" ht="15.75" customHeight="1">
      <c r="B14" s="50">
        <v>3122150042</v>
      </c>
      <c r="C14" s="50" t="s">
        <v>1720</v>
      </c>
      <c r="D14" s="58">
        <v>3.11</v>
      </c>
      <c r="E14" s="52" t="s">
        <v>476</v>
      </c>
    </row>
    <row r="15" spans="2:5" ht="15.75" customHeight="1">
      <c r="B15" s="50">
        <v>3122150070</v>
      </c>
      <c r="C15" s="50" t="s">
        <v>1720</v>
      </c>
      <c r="D15" s="58" t="s">
        <v>1834</v>
      </c>
      <c r="E15" s="52" t="s">
        <v>484</v>
      </c>
    </row>
    <row r="16" spans="2:5" ht="15.75" customHeight="1">
      <c r="B16" s="50">
        <v>3122150143</v>
      </c>
      <c r="C16" s="50" t="s">
        <v>1720</v>
      </c>
      <c r="D16" s="58" t="s">
        <v>1835</v>
      </c>
      <c r="E16" s="52" t="s">
        <v>492</v>
      </c>
    </row>
    <row r="17" spans="2:5" ht="15.75" customHeight="1">
      <c r="B17" s="50">
        <v>3122150146</v>
      </c>
      <c r="C17" s="50" t="s">
        <v>1720</v>
      </c>
      <c r="D17" s="58" t="s">
        <v>1836</v>
      </c>
      <c r="E17" s="52" t="s">
        <v>500</v>
      </c>
    </row>
    <row r="18" spans="2:5" ht="15.75" customHeight="1">
      <c r="B18" s="50">
        <v>3122150155</v>
      </c>
      <c r="C18" s="50" t="s">
        <v>1720</v>
      </c>
      <c r="D18" s="58" t="s">
        <v>1835</v>
      </c>
      <c r="E18" s="52" t="s">
        <v>508</v>
      </c>
    </row>
    <row r="19" spans="2:5" ht="15.75" customHeight="1">
      <c r="B19" s="50">
        <v>3122150158</v>
      </c>
      <c r="C19" s="50" t="s">
        <v>1720</v>
      </c>
      <c r="D19" s="58" t="s">
        <v>196</v>
      </c>
      <c r="E19" s="52" t="s">
        <v>509</v>
      </c>
    </row>
    <row r="20" spans="2:5" ht="15.75" customHeight="1">
      <c r="B20" s="50">
        <v>3122150161</v>
      </c>
      <c r="C20" s="50" t="s">
        <v>1720</v>
      </c>
      <c r="D20" s="58" t="s">
        <v>1831</v>
      </c>
      <c r="E20" s="52" t="s">
        <v>517</v>
      </c>
    </row>
    <row r="21" spans="2:5" ht="15.75" customHeight="1">
      <c r="B21" s="50">
        <v>3122150005</v>
      </c>
      <c r="C21" s="50" t="s">
        <v>1720</v>
      </c>
      <c r="D21" s="58" t="s">
        <v>904</v>
      </c>
      <c r="E21" s="52" t="s">
        <v>518</v>
      </c>
    </row>
    <row r="22" spans="2:5" ht="15.5">
      <c r="B22" s="50">
        <v>3122150055</v>
      </c>
      <c r="C22" s="50" t="s">
        <v>1720</v>
      </c>
      <c r="D22" s="58" t="s">
        <v>1837</v>
      </c>
      <c r="E22" s="52" t="s">
        <v>526</v>
      </c>
    </row>
    <row r="23" spans="2:5" ht="15.5">
      <c r="B23" s="50">
        <v>3122150061</v>
      </c>
      <c r="C23" s="50" t="s">
        <v>1720</v>
      </c>
      <c r="D23" s="58" t="s">
        <v>1832</v>
      </c>
      <c r="E23" s="52" t="s">
        <v>532</v>
      </c>
    </row>
    <row r="24" spans="2:5" ht="15.5">
      <c r="B24" s="50">
        <v>3122150122</v>
      </c>
      <c r="C24" s="50" t="s">
        <v>1720</v>
      </c>
      <c r="D24" s="58" t="s">
        <v>1838</v>
      </c>
      <c r="E24" s="52" t="s">
        <v>533</v>
      </c>
    </row>
    <row r="25" spans="2:5" ht="15.5">
      <c r="B25" s="50">
        <v>3122150128</v>
      </c>
      <c r="C25" s="50" t="s">
        <v>1720</v>
      </c>
      <c r="D25" s="58" t="s">
        <v>1261</v>
      </c>
      <c r="E25" s="52" t="s">
        <v>539</v>
      </c>
    </row>
    <row r="26" spans="2:5" ht="15.5">
      <c r="B26" s="50">
        <v>3122150147</v>
      </c>
      <c r="C26" s="50" t="s">
        <v>1720</v>
      </c>
      <c r="D26" s="58" t="s">
        <v>1838</v>
      </c>
      <c r="E26" s="52" t="s">
        <v>545</v>
      </c>
    </row>
    <row r="27" spans="2:5" ht="15.5">
      <c r="B27" s="50">
        <v>3122150162</v>
      </c>
      <c r="C27" s="50" t="s">
        <v>1720</v>
      </c>
      <c r="D27" s="58" t="s">
        <v>1833</v>
      </c>
      <c r="E27" s="52" t="s">
        <v>551</v>
      </c>
    </row>
    <row r="28" spans="2:5" ht="15.5">
      <c r="B28" s="50">
        <v>3122150169</v>
      </c>
      <c r="C28" s="50" t="s">
        <v>1720</v>
      </c>
      <c r="D28" s="58" t="s">
        <v>1839</v>
      </c>
      <c r="E28" s="52" t="s">
        <v>552</v>
      </c>
    </row>
    <row r="29" spans="2:5" ht="15.5">
      <c r="B29" s="50">
        <v>3122150044</v>
      </c>
      <c r="C29" s="50" t="s">
        <v>1720</v>
      </c>
      <c r="D29" s="58" t="s">
        <v>1840</v>
      </c>
      <c r="E29" s="52" t="s">
        <v>553</v>
      </c>
    </row>
    <row r="30" spans="2:5" ht="15.5">
      <c r="B30" s="50">
        <v>3122150072</v>
      </c>
      <c r="C30" s="50" t="s">
        <v>1720</v>
      </c>
      <c r="D30" s="58" t="s">
        <v>1841</v>
      </c>
      <c r="E30" s="52" t="s">
        <v>559</v>
      </c>
    </row>
    <row r="31" spans="2:5" ht="15.5">
      <c r="B31" s="50">
        <v>3122150092</v>
      </c>
      <c r="C31" s="50" t="s">
        <v>1720</v>
      </c>
      <c r="D31" s="58" t="s">
        <v>1842</v>
      </c>
      <c r="E31" s="52" t="s">
        <v>565</v>
      </c>
    </row>
    <row r="32" spans="2:5" ht="15.5">
      <c r="B32" s="50">
        <v>3122150096</v>
      </c>
      <c r="C32" s="50" t="s">
        <v>1720</v>
      </c>
      <c r="D32" s="58" t="s">
        <v>1828</v>
      </c>
      <c r="E32" s="52" t="s">
        <v>571</v>
      </c>
    </row>
    <row r="33" spans="2:5" ht="15.5">
      <c r="B33" s="50">
        <v>3122150160</v>
      </c>
      <c r="C33" s="50" t="s">
        <v>1720</v>
      </c>
      <c r="D33" s="58" t="s">
        <v>940</v>
      </c>
      <c r="E33" s="52" t="s">
        <v>577</v>
      </c>
    </row>
    <row r="34" spans="2:5" ht="15.5">
      <c r="B34" s="50">
        <v>3122150170</v>
      </c>
      <c r="C34" s="50" t="s">
        <v>1720</v>
      </c>
      <c r="D34" s="58" t="s">
        <v>1843</v>
      </c>
      <c r="E34" s="52" t="s">
        <v>578</v>
      </c>
    </row>
    <row r="35" spans="2:5" ht="15.5">
      <c r="B35" s="50">
        <v>3122150179</v>
      </c>
      <c r="C35" s="50" t="s">
        <v>1720</v>
      </c>
      <c r="D35" s="58" t="s">
        <v>1836</v>
      </c>
      <c r="E35" s="52" t="s">
        <v>579</v>
      </c>
    </row>
    <row r="36" spans="2:5" ht="15.5">
      <c r="B36" s="50">
        <v>3123150105</v>
      </c>
      <c r="C36" s="50" t="s">
        <v>1720</v>
      </c>
      <c r="D36" s="58" t="s">
        <v>1831</v>
      </c>
      <c r="E36" s="52" t="s">
        <v>585</v>
      </c>
    </row>
    <row r="37" spans="2:5" ht="15.5">
      <c r="B37" s="50">
        <v>3123150188</v>
      </c>
      <c r="C37" s="50" t="s">
        <v>1720</v>
      </c>
      <c r="D37" s="58" t="s">
        <v>1844</v>
      </c>
      <c r="E37" s="52" t="s">
        <v>591</v>
      </c>
    </row>
    <row r="38" spans="2:5" ht="15.5">
      <c r="B38" s="50">
        <v>3123150033</v>
      </c>
      <c r="C38" s="50" t="s">
        <v>1720</v>
      </c>
      <c r="D38" s="58" t="s">
        <v>1838</v>
      </c>
      <c r="E38" s="52" t="s">
        <v>1845</v>
      </c>
    </row>
    <row r="39" spans="2:5" ht="15.5">
      <c r="B39" s="50">
        <v>3123150061</v>
      </c>
      <c r="C39" s="50" t="s">
        <v>1720</v>
      </c>
      <c r="D39" s="58">
        <v>3.09</v>
      </c>
      <c r="E39" s="52" t="s">
        <v>603</v>
      </c>
    </row>
    <row r="40" spans="2:5" ht="15.5">
      <c r="B40" s="50">
        <v>3123150067</v>
      </c>
      <c r="C40" s="50" t="s">
        <v>1720</v>
      </c>
      <c r="D40" s="58" t="s">
        <v>957</v>
      </c>
      <c r="E40" s="52" t="s">
        <v>609</v>
      </c>
    </row>
    <row r="41" spans="2:5" ht="15.5">
      <c r="B41" s="50">
        <v>3123150109</v>
      </c>
      <c r="C41" s="50" t="s">
        <v>1720</v>
      </c>
      <c r="D41" s="58" t="s">
        <v>1846</v>
      </c>
      <c r="E41" s="52" t="s">
        <v>615</v>
      </c>
    </row>
    <row r="42" spans="2:5" ht="15.5">
      <c r="B42" s="50">
        <v>3123150116</v>
      </c>
      <c r="C42" s="50" t="s">
        <v>1720</v>
      </c>
      <c r="D42" s="58" t="s">
        <v>1115</v>
      </c>
      <c r="E42" s="52" t="s">
        <v>623</v>
      </c>
    </row>
    <row r="43" spans="2:5" ht="15.5">
      <c r="B43" s="50">
        <v>3123150135</v>
      </c>
      <c r="C43" s="50" t="s">
        <v>1720</v>
      </c>
      <c r="D43" s="58" t="s">
        <v>1842</v>
      </c>
      <c r="E43" s="52" t="s">
        <v>631</v>
      </c>
    </row>
    <row r="44" spans="2:5" ht="15.5">
      <c r="B44" s="50">
        <v>3123150167</v>
      </c>
      <c r="C44" s="50" t="s">
        <v>1720</v>
      </c>
      <c r="D44" s="58" t="s">
        <v>176</v>
      </c>
      <c r="E44" s="52" t="s">
        <v>639</v>
      </c>
    </row>
    <row r="45" spans="2:5" ht="15.5">
      <c r="B45" s="50">
        <v>3123150015</v>
      </c>
      <c r="C45" s="50" t="s">
        <v>1720</v>
      </c>
      <c r="D45" s="58" t="s">
        <v>1829</v>
      </c>
      <c r="E45" s="52" t="s">
        <v>647</v>
      </c>
    </row>
    <row r="46" spans="2:5" ht="15.5">
      <c r="B46" s="50">
        <v>3123150092</v>
      </c>
      <c r="C46" s="50" t="s">
        <v>1720</v>
      </c>
      <c r="D46" s="58" t="s">
        <v>957</v>
      </c>
      <c r="E46" s="52" t="s">
        <v>655</v>
      </c>
    </row>
    <row r="47" spans="2:5" ht="15.5">
      <c r="B47" s="50">
        <v>3123150146</v>
      </c>
      <c r="C47" s="50" t="s">
        <v>1720</v>
      </c>
      <c r="D47" s="58" t="s">
        <v>1844</v>
      </c>
      <c r="E47" s="52" t="s">
        <v>663</v>
      </c>
    </row>
    <row r="48" spans="2:5" ht="15.5">
      <c r="B48" s="50">
        <v>3124150172</v>
      </c>
      <c r="C48" s="50" t="s">
        <v>1720</v>
      </c>
      <c r="D48" s="58" t="s">
        <v>1847</v>
      </c>
      <c r="E48" s="52" t="s">
        <v>671</v>
      </c>
    </row>
    <row r="49" spans="2:5" ht="15.5">
      <c r="B49" s="50">
        <v>3124150002</v>
      </c>
      <c r="C49" s="50" t="s">
        <v>1720</v>
      </c>
      <c r="D49" s="58" t="s">
        <v>176</v>
      </c>
      <c r="E49" s="52" t="s">
        <v>679</v>
      </c>
    </row>
    <row r="50" spans="2:5" ht="15.5">
      <c r="B50" s="50">
        <v>3124150081</v>
      </c>
      <c r="C50" s="50" t="s">
        <v>1720</v>
      </c>
      <c r="D50" s="58" t="s">
        <v>1132</v>
      </c>
      <c r="E50" s="52" t="s">
        <v>687</v>
      </c>
    </row>
    <row r="51" spans="2:5" ht="15.5">
      <c r="B51" s="50">
        <v>3124150119</v>
      </c>
      <c r="C51" s="50" t="s">
        <v>1720</v>
      </c>
      <c r="D51" s="58" t="s">
        <v>176</v>
      </c>
      <c r="E51" s="52" t="s">
        <v>695</v>
      </c>
    </row>
    <row r="52" spans="2:5" ht="15.5">
      <c r="B52" s="50">
        <v>3124150137</v>
      </c>
      <c r="C52" s="50" t="s">
        <v>1720</v>
      </c>
      <c r="D52" s="58" t="s">
        <v>1848</v>
      </c>
      <c r="E52" s="52" t="s">
        <v>703</v>
      </c>
    </row>
    <row r="53" spans="2:5" ht="15.5">
      <c r="B53" s="50">
        <v>3124150143</v>
      </c>
      <c r="C53" s="50" t="s">
        <v>1720</v>
      </c>
      <c r="D53" s="58" t="s">
        <v>1849</v>
      </c>
      <c r="E53" s="52" t="s">
        <v>711</v>
      </c>
    </row>
    <row r="54" spans="2:5" ht="15.5">
      <c r="B54" s="50">
        <v>3123090002</v>
      </c>
      <c r="C54" s="50" t="s">
        <v>1734</v>
      </c>
      <c r="D54" s="58" t="s">
        <v>1842</v>
      </c>
      <c r="E54" s="52" t="s">
        <v>1354</v>
      </c>
    </row>
    <row r="55" spans="2:5" ht="15.5">
      <c r="B55" s="50">
        <v>3123100002</v>
      </c>
      <c r="C55" s="50" t="s">
        <v>1734</v>
      </c>
      <c r="D55" s="58" t="s">
        <v>1843</v>
      </c>
      <c r="E55" s="52" t="s">
        <v>1388</v>
      </c>
    </row>
    <row r="56" spans="2:5" ht="15.5">
      <c r="B56" s="50">
        <v>3122100001</v>
      </c>
      <c r="C56" s="50" t="s">
        <v>1734</v>
      </c>
      <c r="D56" s="58" t="s">
        <v>1850</v>
      </c>
      <c r="E56" s="52" t="s">
        <v>1407</v>
      </c>
    </row>
    <row r="57" spans="2:5" ht="15.5">
      <c r="B57" s="50">
        <v>3121160003</v>
      </c>
      <c r="C57" s="50" t="s">
        <v>1734</v>
      </c>
      <c r="D57" s="58" t="s">
        <v>1851</v>
      </c>
      <c r="E57" s="52" t="s">
        <v>1356</v>
      </c>
    </row>
    <row r="58" spans="2:5" ht="15.5">
      <c r="B58" s="50">
        <v>3123100001</v>
      </c>
      <c r="C58" s="50" t="s">
        <v>1734</v>
      </c>
      <c r="D58" s="58" t="s">
        <v>1849</v>
      </c>
      <c r="E58" s="52" t="s">
        <v>1741</v>
      </c>
    </row>
    <row r="59" spans="2:5" ht="15.5">
      <c r="B59" s="59">
        <v>3123100004</v>
      </c>
      <c r="C59" s="50" t="s">
        <v>1734</v>
      </c>
      <c r="D59" s="58" t="s">
        <v>1204</v>
      </c>
      <c r="E59" s="52" t="s">
        <v>1421</v>
      </c>
    </row>
    <row r="60" spans="2:5" ht="15.5">
      <c r="B60" s="50">
        <v>3123090007</v>
      </c>
      <c r="C60" s="50" t="s">
        <v>1734</v>
      </c>
      <c r="D60" s="58" t="s">
        <v>1852</v>
      </c>
      <c r="E60" s="52" t="s">
        <v>1395</v>
      </c>
    </row>
    <row r="61" spans="2:5" ht="15.5">
      <c r="B61" s="50">
        <v>3122090004</v>
      </c>
      <c r="C61" s="50" t="s">
        <v>1734</v>
      </c>
      <c r="D61" s="58" t="s">
        <v>1853</v>
      </c>
      <c r="E61" s="52" t="s">
        <v>1361</v>
      </c>
    </row>
    <row r="62" spans="2:5" ht="15.5">
      <c r="B62" s="50">
        <v>3122090011</v>
      </c>
      <c r="C62" s="50" t="s">
        <v>1734</v>
      </c>
      <c r="D62" s="58" t="s">
        <v>1854</v>
      </c>
      <c r="E62" s="52" t="s">
        <v>1346</v>
      </c>
    </row>
    <row r="63" spans="2:5" ht="15.5">
      <c r="B63" s="50">
        <v>3123090016</v>
      </c>
      <c r="C63" s="50" t="s">
        <v>1734</v>
      </c>
      <c r="D63" s="58" t="s">
        <v>1833</v>
      </c>
      <c r="E63" s="52" t="s">
        <v>1374</v>
      </c>
    </row>
    <row r="64" spans="2:5" ht="15.5">
      <c r="B64" s="50">
        <v>3122090015</v>
      </c>
      <c r="C64" s="50" t="s">
        <v>1734</v>
      </c>
      <c r="D64" s="58" t="s">
        <v>1853</v>
      </c>
      <c r="E64" s="52" t="s">
        <v>1413</v>
      </c>
    </row>
    <row r="65" spans="2:5" ht="15.5">
      <c r="B65" s="50">
        <v>3122390043</v>
      </c>
      <c r="C65" s="50" t="s">
        <v>1734</v>
      </c>
      <c r="D65" s="58" t="s">
        <v>1855</v>
      </c>
      <c r="E65" s="52" t="s">
        <v>1382</v>
      </c>
    </row>
    <row r="66" spans="2:5" ht="15.5">
      <c r="B66" s="50">
        <v>3122090022</v>
      </c>
      <c r="C66" s="50" t="s">
        <v>1734</v>
      </c>
      <c r="D66" s="58" t="s">
        <v>904</v>
      </c>
      <c r="E66" s="52" t="s">
        <v>1415</v>
      </c>
    </row>
    <row r="67" spans="2:5" ht="15.5">
      <c r="B67" s="50">
        <v>3121220037</v>
      </c>
      <c r="C67" s="50" t="s">
        <v>1734</v>
      </c>
      <c r="D67" s="58" t="s">
        <v>1115</v>
      </c>
      <c r="E67" s="52" t="s">
        <v>1401</v>
      </c>
    </row>
    <row r="68" spans="2:5" ht="15.5">
      <c r="B68" s="50">
        <v>3122390067</v>
      </c>
      <c r="C68" s="50" t="s">
        <v>1734</v>
      </c>
      <c r="D68" s="58" t="s">
        <v>1856</v>
      </c>
      <c r="E68" s="52" t="s">
        <v>1376</v>
      </c>
    </row>
    <row r="69" spans="2:5" ht="15.5">
      <c r="B69" s="50">
        <v>3121220044</v>
      </c>
      <c r="C69" s="50" t="s">
        <v>1734</v>
      </c>
      <c r="D69" s="58" t="s">
        <v>1475</v>
      </c>
      <c r="E69" s="52" t="s">
        <v>1367</v>
      </c>
    </row>
    <row r="70" spans="2:5" ht="15.5">
      <c r="B70" s="50">
        <v>3123090048</v>
      </c>
      <c r="C70" s="50" t="s">
        <v>1734</v>
      </c>
      <c r="D70" s="58" t="s">
        <v>1836</v>
      </c>
      <c r="E70" s="52" t="s">
        <v>1394</v>
      </c>
    </row>
    <row r="71" spans="2:5" ht="15.5">
      <c r="B71" s="50">
        <v>3123500003</v>
      </c>
      <c r="C71" s="50" t="s">
        <v>1714</v>
      </c>
      <c r="D71" s="58" t="s">
        <v>1855</v>
      </c>
      <c r="E71" s="52" t="s">
        <v>391</v>
      </c>
    </row>
    <row r="72" spans="2:5" ht="15.5">
      <c r="B72" s="50">
        <v>3123340038</v>
      </c>
      <c r="C72" s="50" t="s">
        <v>1714</v>
      </c>
      <c r="D72" s="58" t="s">
        <v>1857</v>
      </c>
      <c r="E72" s="52" t="s">
        <v>396</v>
      </c>
    </row>
    <row r="73" spans="2:5" ht="15.5">
      <c r="B73" s="50">
        <v>3123340048</v>
      </c>
      <c r="C73" s="50" t="s">
        <v>1714</v>
      </c>
      <c r="D73" s="58" t="s">
        <v>1482</v>
      </c>
      <c r="E73" s="52" t="s">
        <v>404</v>
      </c>
    </row>
    <row r="74" spans="2:5" ht="15.5">
      <c r="B74" s="50">
        <v>3123340049</v>
      </c>
      <c r="C74" s="50" t="s">
        <v>1714</v>
      </c>
      <c r="D74" s="58" t="s">
        <v>1858</v>
      </c>
      <c r="E74" s="52" t="s">
        <v>412</v>
      </c>
    </row>
    <row r="75" spans="2:5" ht="15.5">
      <c r="B75" s="50">
        <v>3122430014</v>
      </c>
      <c r="C75" s="50" t="s">
        <v>1744</v>
      </c>
      <c r="D75" s="58" t="s">
        <v>1482</v>
      </c>
      <c r="E75" s="52" t="s">
        <v>147</v>
      </c>
    </row>
    <row r="76" spans="2:5" ht="15.5">
      <c r="B76" s="50">
        <v>3122430044</v>
      </c>
      <c r="C76" s="50" t="s">
        <v>1744</v>
      </c>
      <c r="D76" s="58">
        <v>3.11</v>
      </c>
      <c r="E76" s="52" t="s">
        <v>163</v>
      </c>
    </row>
    <row r="77" spans="2:5" ht="15.5">
      <c r="B77" s="50">
        <v>3122430202</v>
      </c>
      <c r="C77" s="50" t="s">
        <v>1744</v>
      </c>
      <c r="D77" s="58" t="s">
        <v>1853</v>
      </c>
      <c r="E77" s="52" t="s">
        <v>96</v>
      </c>
    </row>
    <row r="78" spans="2:5" ht="15.5">
      <c r="B78" s="50">
        <v>3122430104</v>
      </c>
      <c r="C78" s="50" t="s">
        <v>1744</v>
      </c>
      <c r="D78" s="58" t="s">
        <v>186</v>
      </c>
      <c r="E78" s="52" t="s">
        <v>88</v>
      </c>
    </row>
    <row r="79" spans="2:5" ht="15.5">
      <c r="B79" s="50">
        <v>3123430088</v>
      </c>
      <c r="C79" s="50" t="s">
        <v>1744</v>
      </c>
      <c r="D79" s="58">
        <v>3.03</v>
      </c>
      <c r="E79" s="52" t="s">
        <v>143</v>
      </c>
    </row>
    <row r="80" spans="2:5" ht="15.5">
      <c r="B80" s="50">
        <v>3123430131</v>
      </c>
      <c r="C80" s="50" t="s">
        <v>1744</v>
      </c>
      <c r="D80" s="58" t="s">
        <v>1859</v>
      </c>
      <c r="E80" s="52" t="s">
        <v>104</v>
      </c>
    </row>
    <row r="81" spans="2:5" ht="15.5">
      <c r="B81" s="50">
        <v>3123430156</v>
      </c>
      <c r="C81" s="50" t="s">
        <v>1744</v>
      </c>
      <c r="D81" s="58" t="s">
        <v>1844</v>
      </c>
      <c r="E81" s="52" t="s">
        <v>128</v>
      </c>
    </row>
    <row r="82" spans="2:5" ht="15.5">
      <c r="B82" s="50">
        <v>3123430163</v>
      </c>
      <c r="C82" s="50" t="s">
        <v>1744</v>
      </c>
      <c r="D82" s="58" t="s">
        <v>1464</v>
      </c>
      <c r="E82" s="52" t="s">
        <v>170</v>
      </c>
    </row>
    <row r="83" spans="2:5" ht="15.5">
      <c r="B83" s="50">
        <v>3123430178</v>
      </c>
      <c r="C83" s="50" t="s">
        <v>1744</v>
      </c>
      <c r="D83" s="58" t="s">
        <v>1860</v>
      </c>
      <c r="E83" s="52" t="s">
        <v>112</v>
      </c>
    </row>
    <row r="84" spans="2:5" ht="15.5">
      <c r="B84" s="50">
        <v>3123430196</v>
      </c>
      <c r="C84" s="50" t="s">
        <v>1744</v>
      </c>
      <c r="D84" s="58">
        <v>3.1</v>
      </c>
      <c r="E84" s="52" t="s">
        <v>69</v>
      </c>
    </row>
    <row r="85" spans="2:5" ht="15.5">
      <c r="B85" s="50">
        <v>3123430222</v>
      </c>
      <c r="C85" s="50" t="s">
        <v>1744</v>
      </c>
      <c r="D85" s="58" t="s">
        <v>1838</v>
      </c>
      <c r="E85" s="52" t="s">
        <v>76</v>
      </c>
    </row>
    <row r="86" spans="2:5" ht="15.5">
      <c r="B86" s="50">
        <v>3123430228</v>
      </c>
      <c r="C86" s="50" t="s">
        <v>1744</v>
      </c>
      <c r="D86" s="58" t="s">
        <v>1464</v>
      </c>
      <c r="E86" s="52" t="s">
        <v>84</v>
      </c>
    </row>
    <row r="87" spans="2:5" ht="15.5">
      <c r="B87" s="50">
        <v>3124430141</v>
      </c>
      <c r="C87" s="50" t="s">
        <v>1744</v>
      </c>
      <c r="D87" s="58" t="s">
        <v>1850</v>
      </c>
      <c r="E87" s="52" t="s">
        <v>120</v>
      </c>
    </row>
    <row r="88" spans="2:5" ht="15.5">
      <c r="B88" s="50">
        <v>3124430149</v>
      </c>
      <c r="C88" s="50" t="s">
        <v>1744</v>
      </c>
      <c r="D88" s="58" t="s">
        <v>1853</v>
      </c>
      <c r="E88" s="52" t="s">
        <v>136</v>
      </c>
    </row>
    <row r="89" spans="2:5" ht="15.5">
      <c r="B89" s="50">
        <v>3124430177</v>
      </c>
      <c r="C89" s="50" t="s">
        <v>1744</v>
      </c>
      <c r="D89" s="58" t="s">
        <v>1861</v>
      </c>
      <c r="E89" s="52" t="s">
        <v>155</v>
      </c>
    </row>
    <row r="90" spans="2:5" ht="15.5">
      <c r="B90" s="50">
        <v>3122330281</v>
      </c>
      <c r="C90" s="50" t="s">
        <v>1769</v>
      </c>
      <c r="D90" s="58" t="s">
        <v>1855</v>
      </c>
      <c r="E90" s="52" t="s">
        <v>1525</v>
      </c>
    </row>
    <row r="91" spans="2:5" ht="15.5">
      <c r="B91" s="50">
        <v>3122330360</v>
      </c>
      <c r="C91" s="50" t="s">
        <v>1769</v>
      </c>
      <c r="D91" s="58" t="s">
        <v>1849</v>
      </c>
      <c r="E91" s="52" t="s">
        <v>1514</v>
      </c>
    </row>
    <row r="92" spans="2:5" ht="15.5">
      <c r="B92" s="50">
        <v>3122330422</v>
      </c>
      <c r="C92" s="50" t="s">
        <v>1769</v>
      </c>
      <c r="D92" s="58" t="s">
        <v>1836</v>
      </c>
      <c r="E92" s="52" t="s">
        <v>1512</v>
      </c>
    </row>
    <row r="93" spans="2:5" ht="15.5">
      <c r="B93" s="50">
        <v>3123330144</v>
      </c>
      <c r="C93" s="50" t="s">
        <v>1769</v>
      </c>
      <c r="D93" s="58" t="s">
        <v>1149</v>
      </c>
      <c r="E93" s="52" t="s">
        <v>1529</v>
      </c>
    </row>
    <row r="94" spans="2:5" ht="15.5">
      <c r="B94" s="50">
        <v>3123330380</v>
      </c>
      <c r="C94" s="50" t="s">
        <v>1769</v>
      </c>
      <c r="D94" s="58" t="s">
        <v>1841</v>
      </c>
      <c r="E94" s="52" t="s">
        <v>1772</v>
      </c>
    </row>
    <row r="95" spans="2:5" ht="15.5">
      <c r="B95" s="50">
        <v>3123550024</v>
      </c>
      <c r="C95" s="50" t="s">
        <v>1769</v>
      </c>
      <c r="D95" s="58" t="s">
        <v>949</v>
      </c>
      <c r="E95" s="52" t="s">
        <v>1537</v>
      </c>
    </row>
    <row r="96" spans="2:5" ht="15.5">
      <c r="B96" s="50">
        <v>3123550192</v>
      </c>
      <c r="C96" s="50" t="s">
        <v>1769</v>
      </c>
      <c r="D96" s="58" t="s">
        <v>1457</v>
      </c>
      <c r="E96" s="52" t="s">
        <v>1504</v>
      </c>
    </row>
    <row r="97" spans="2:5" ht="15.5">
      <c r="B97" s="50">
        <v>3123550193</v>
      </c>
      <c r="C97" s="50" t="s">
        <v>1769</v>
      </c>
      <c r="D97" s="58" t="s">
        <v>1837</v>
      </c>
      <c r="E97" s="52" t="s">
        <v>1497</v>
      </c>
    </row>
    <row r="98" spans="2:5" ht="15.5">
      <c r="B98" s="50">
        <v>3124550080</v>
      </c>
      <c r="C98" s="50" t="s">
        <v>1769</v>
      </c>
      <c r="D98" s="58" t="s">
        <v>756</v>
      </c>
      <c r="E98" s="52" t="s">
        <v>1493</v>
      </c>
    </row>
    <row r="99" spans="2:5" ht="15.5">
      <c r="B99" s="50">
        <v>3124550143</v>
      </c>
      <c r="C99" s="50" t="s">
        <v>1769</v>
      </c>
      <c r="D99" s="58" t="s">
        <v>1836</v>
      </c>
      <c r="E99" s="52" t="s">
        <v>1522</v>
      </c>
    </row>
    <row r="100" spans="2:5" ht="15.5">
      <c r="B100" s="50">
        <v>3121020023</v>
      </c>
      <c r="C100" s="50" t="s">
        <v>1778</v>
      </c>
      <c r="D100" s="58" t="s">
        <v>1826</v>
      </c>
      <c r="E100" s="52" t="s">
        <v>349</v>
      </c>
    </row>
    <row r="101" spans="2:5" ht="15.5">
      <c r="B101" s="50">
        <v>3121060033</v>
      </c>
      <c r="C101" s="50" t="s">
        <v>1778</v>
      </c>
      <c r="D101" s="58" t="s">
        <v>1855</v>
      </c>
      <c r="E101" s="52" t="s">
        <v>1862</v>
      </c>
    </row>
    <row r="102" spans="2:5" ht="15.5">
      <c r="B102" s="50">
        <v>3123020002</v>
      </c>
      <c r="C102" s="50" t="s">
        <v>1778</v>
      </c>
      <c r="D102" s="58" t="s">
        <v>746</v>
      </c>
      <c r="E102" s="52" t="s">
        <v>321</v>
      </c>
    </row>
    <row r="103" spans="2:5" ht="15.5">
      <c r="B103" s="50">
        <v>3123020013</v>
      </c>
      <c r="C103" s="50" t="s">
        <v>1778</v>
      </c>
      <c r="D103" s="58" t="s">
        <v>1852</v>
      </c>
      <c r="E103" s="52" t="s">
        <v>305</v>
      </c>
    </row>
    <row r="104" spans="2:5" ht="15.5">
      <c r="B104" s="50">
        <v>3123020016</v>
      </c>
      <c r="C104" s="50" t="s">
        <v>1778</v>
      </c>
      <c r="D104" s="58" t="s">
        <v>1863</v>
      </c>
      <c r="E104" s="52" t="s">
        <v>297</v>
      </c>
    </row>
    <row r="105" spans="2:5" ht="15.5">
      <c r="B105" s="50">
        <v>3123020019</v>
      </c>
      <c r="C105" s="50" t="s">
        <v>1778</v>
      </c>
      <c r="D105" s="58" t="s">
        <v>746</v>
      </c>
      <c r="E105" s="52" t="s">
        <v>337</v>
      </c>
    </row>
    <row r="106" spans="2:5" ht="15.5">
      <c r="B106" s="50">
        <v>3123020023</v>
      </c>
      <c r="C106" s="50" t="s">
        <v>1778</v>
      </c>
      <c r="D106" s="58" t="s">
        <v>1828</v>
      </c>
      <c r="E106" s="52" t="s">
        <v>287</v>
      </c>
    </row>
    <row r="107" spans="2:5" ht="15.5">
      <c r="B107" s="50">
        <v>3123020031</v>
      </c>
      <c r="C107" s="50" t="s">
        <v>1778</v>
      </c>
      <c r="D107" s="58" t="s">
        <v>1445</v>
      </c>
      <c r="E107" s="52" t="s">
        <v>345</v>
      </c>
    </row>
    <row r="108" spans="2:5" ht="15.5">
      <c r="B108" s="50">
        <v>3123020035</v>
      </c>
      <c r="C108" s="50" t="s">
        <v>1778</v>
      </c>
      <c r="D108" s="58" t="s">
        <v>1855</v>
      </c>
      <c r="E108" s="52" t="s">
        <v>373</v>
      </c>
    </row>
    <row r="109" spans="2:5" ht="15.5">
      <c r="B109" s="50">
        <v>3123060018</v>
      </c>
      <c r="C109" s="50" t="s">
        <v>1778</v>
      </c>
      <c r="D109" s="58" t="s">
        <v>196</v>
      </c>
      <c r="E109" s="52" t="s">
        <v>313</v>
      </c>
    </row>
    <row r="110" spans="2:5" ht="15.5">
      <c r="B110" s="50">
        <v>3123060021</v>
      </c>
      <c r="C110" s="50" t="s">
        <v>1778</v>
      </c>
      <c r="D110" s="58" t="s">
        <v>1863</v>
      </c>
      <c r="E110" s="52" t="s">
        <v>357</v>
      </c>
    </row>
    <row r="111" spans="2:5" ht="15.5">
      <c r="B111" s="50">
        <v>3122030009</v>
      </c>
      <c r="C111" s="50" t="s">
        <v>1778</v>
      </c>
      <c r="D111" s="58" t="s">
        <v>1864</v>
      </c>
      <c r="E111" s="52" t="s">
        <v>329</v>
      </c>
    </row>
    <row r="112" spans="2:5" ht="15.5">
      <c r="B112" s="50">
        <v>3123320154</v>
      </c>
      <c r="C112" s="50" t="s">
        <v>1865</v>
      </c>
      <c r="D112" s="58" t="s">
        <v>1866</v>
      </c>
      <c r="E112" s="52" t="s">
        <v>313</v>
      </c>
    </row>
    <row r="113" spans="2:5" ht="15.5">
      <c r="B113" s="50">
        <v>3123420299</v>
      </c>
      <c r="C113" s="50" t="s">
        <v>1865</v>
      </c>
      <c r="D113" s="58" t="s">
        <v>416</v>
      </c>
      <c r="E113" s="52" t="s">
        <v>1212</v>
      </c>
    </row>
    <row r="114" spans="2:5" ht="15.5">
      <c r="B114" s="50">
        <v>3123420295</v>
      </c>
      <c r="C114" s="50" t="s">
        <v>1865</v>
      </c>
      <c r="D114" s="58" t="s">
        <v>1115</v>
      </c>
      <c r="E114" s="52" t="s">
        <v>1181</v>
      </c>
    </row>
    <row r="115" spans="2:5" ht="15.5">
      <c r="B115" s="50">
        <v>3122320069</v>
      </c>
      <c r="C115" s="50" t="s">
        <v>1865</v>
      </c>
      <c r="D115" s="58" t="s">
        <v>1851</v>
      </c>
      <c r="E115" s="52" t="s">
        <v>1276</v>
      </c>
    </row>
    <row r="116" spans="2:5" ht="15.5">
      <c r="B116" s="50">
        <v>3122420300</v>
      </c>
      <c r="C116" s="50" t="s">
        <v>1865</v>
      </c>
      <c r="D116" s="58">
        <v>3.05</v>
      </c>
      <c r="E116" s="52" t="s">
        <v>1156</v>
      </c>
    </row>
    <row r="117" spans="2:5" ht="15.5">
      <c r="B117" s="50">
        <v>3122420074</v>
      </c>
      <c r="C117" s="50" t="s">
        <v>1865</v>
      </c>
      <c r="D117" s="58" t="s">
        <v>1867</v>
      </c>
      <c r="E117" s="52" t="s">
        <v>1792</v>
      </c>
    </row>
    <row r="118" spans="2:5" ht="15.5">
      <c r="B118" s="50">
        <v>3122420174</v>
      </c>
      <c r="C118" s="50" t="s">
        <v>1865</v>
      </c>
      <c r="D118" s="58" t="s">
        <v>1475</v>
      </c>
      <c r="E118" s="52" t="s">
        <v>1868</v>
      </c>
    </row>
    <row r="119" spans="2:5" ht="15.5">
      <c r="B119" s="50">
        <v>3121320307</v>
      </c>
      <c r="C119" s="50" t="s">
        <v>1865</v>
      </c>
      <c r="D119" s="58" t="s">
        <v>1832</v>
      </c>
      <c r="E119" s="52" t="s">
        <v>1194</v>
      </c>
    </row>
    <row r="120" spans="2:5" ht="15.5">
      <c r="B120" s="50">
        <v>3121320360</v>
      </c>
      <c r="C120" s="50" t="s">
        <v>1865</v>
      </c>
      <c r="D120" s="58" t="s">
        <v>1859</v>
      </c>
      <c r="E120" s="52" t="s">
        <v>1122</v>
      </c>
    </row>
    <row r="121" spans="2:5" ht="15.5">
      <c r="B121" s="50">
        <v>3121320436</v>
      </c>
      <c r="C121" s="50" t="s">
        <v>1865</v>
      </c>
      <c r="D121" s="58" t="s">
        <v>1115</v>
      </c>
      <c r="E121" s="52" t="s">
        <v>1787</v>
      </c>
    </row>
    <row r="122" spans="2:5" ht="15.5">
      <c r="B122" s="50">
        <v>3121420311</v>
      </c>
      <c r="C122" s="50" t="s">
        <v>1865</v>
      </c>
      <c r="D122" s="58" t="s">
        <v>1832</v>
      </c>
      <c r="E122" s="52" t="s">
        <v>1284</v>
      </c>
    </row>
    <row r="123" spans="2:5" ht="15.5">
      <c r="B123" s="50">
        <v>3122420079</v>
      </c>
      <c r="C123" s="50" t="s">
        <v>1865</v>
      </c>
      <c r="D123" s="58" t="s">
        <v>1475</v>
      </c>
      <c r="E123" s="52" t="s">
        <v>1268</v>
      </c>
    </row>
    <row r="124" spans="2:5" ht="15.5">
      <c r="B124" s="50">
        <v>3124320324</v>
      </c>
      <c r="C124" s="50" t="s">
        <v>1865</v>
      </c>
      <c r="D124" s="58" t="s">
        <v>1854</v>
      </c>
      <c r="E124" s="52" t="s">
        <v>1243</v>
      </c>
    </row>
    <row r="125" spans="2:5" ht="15.5">
      <c r="B125" s="50">
        <v>3122320138</v>
      </c>
      <c r="C125" s="50" t="s">
        <v>1865</v>
      </c>
      <c r="D125" s="58" t="s">
        <v>1869</v>
      </c>
      <c r="E125" s="52" t="s">
        <v>1098</v>
      </c>
    </row>
    <row r="126" spans="2:5" ht="15.5">
      <c r="B126" s="50">
        <v>3123130108</v>
      </c>
      <c r="C126" s="50" t="s">
        <v>1755</v>
      </c>
      <c r="D126" s="58" t="s">
        <v>1851</v>
      </c>
      <c r="E126" s="52" t="s">
        <v>874</v>
      </c>
    </row>
    <row r="127" spans="2:5" ht="15.5">
      <c r="B127" s="50">
        <v>3123130104</v>
      </c>
      <c r="C127" s="50" t="s">
        <v>1755</v>
      </c>
      <c r="D127" s="58" t="s">
        <v>1149</v>
      </c>
      <c r="E127" s="52" t="s">
        <v>1870</v>
      </c>
    </row>
    <row r="128" spans="2:5" ht="15.5">
      <c r="B128" s="50">
        <v>3123130056</v>
      </c>
      <c r="C128" s="50" t="s">
        <v>1755</v>
      </c>
      <c r="D128" s="58" t="s">
        <v>1852</v>
      </c>
      <c r="E128" s="52" t="s">
        <v>831</v>
      </c>
    </row>
    <row r="129" spans="2:5" ht="15.5">
      <c r="B129" s="50">
        <v>3123130052</v>
      </c>
      <c r="C129" s="50" t="s">
        <v>1755</v>
      </c>
      <c r="D129" s="58" t="s">
        <v>1055</v>
      </c>
      <c r="E129" s="52" t="s">
        <v>893</v>
      </c>
    </row>
    <row r="130" spans="2:5" ht="15.5">
      <c r="B130" s="50">
        <v>3123130143</v>
      </c>
      <c r="C130" s="50" t="s">
        <v>1755</v>
      </c>
      <c r="D130" s="58" t="s">
        <v>1844</v>
      </c>
      <c r="E130" s="52" t="s">
        <v>785</v>
      </c>
    </row>
    <row r="131" spans="2:5" ht="15.5">
      <c r="B131" s="50">
        <v>3123130140</v>
      </c>
      <c r="C131" s="50" t="s">
        <v>1755</v>
      </c>
      <c r="D131" s="58" t="s">
        <v>1841</v>
      </c>
      <c r="E131" s="52" t="s">
        <v>868</v>
      </c>
    </row>
    <row r="132" spans="2:5" ht="15.5">
      <c r="B132" s="50">
        <v>3123380133</v>
      </c>
      <c r="C132" s="50" t="s">
        <v>1755</v>
      </c>
      <c r="D132" s="58" t="s">
        <v>186</v>
      </c>
      <c r="E132" s="52" t="s">
        <v>771</v>
      </c>
    </row>
    <row r="133" spans="2:5" ht="15.5">
      <c r="B133" s="50">
        <v>3123380117</v>
      </c>
      <c r="C133" s="50" t="s">
        <v>1755</v>
      </c>
      <c r="D133" s="58" t="s">
        <v>949</v>
      </c>
      <c r="E133" s="52" t="s">
        <v>881</v>
      </c>
    </row>
    <row r="134" spans="2:5" ht="15.5">
      <c r="B134" s="50">
        <v>3122130044</v>
      </c>
      <c r="C134" s="50" t="s">
        <v>1755</v>
      </c>
      <c r="D134" s="58" t="s">
        <v>1464</v>
      </c>
      <c r="E134" s="52" t="s">
        <v>857</v>
      </c>
    </row>
    <row r="135" spans="2:5" ht="15.5">
      <c r="B135" s="50">
        <v>3122380306</v>
      </c>
      <c r="C135" s="50" t="s">
        <v>1755</v>
      </c>
      <c r="D135" s="58" t="s">
        <v>1055</v>
      </c>
      <c r="E135" s="52" t="s">
        <v>838</v>
      </c>
    </row>
    <row r="136" spans="2:5" ht="15.5">
      <c r="B136" s="50">
        <v>3122380297</v>
      </c>
      <c r="C136" s="50" t="s">
        <v>1755</v>
      </c>
      <c r="D136" s="58" t="s">
        <v>1871</v>
      </c>
      <c r="E136" s="52" t="s">
        <v>825</v>
      </c>
    </row>
    <row r="137" spans="2:5" ht="15.5">
      <c r="B137" s="50">
        <v>3124130012</v>
      </c>
      <c r="C137" s="50" t="s">
        <v>1755</v>
      </c>
      <c r="D137" s="58" t="s">
        <v>1838</v>
      </c>
      <c r="E137" s="52" t="s">
        <v>861</v>
      </c>
    </row>
    <row r="138" spans="2:5" ht="15.5">
      <c r="B138" s="50">
        <v>3124130009</v>
      </c>
      <c r="C138" s="50" t="s">
        <v>1755</v>
      </c>
      <c r="D138" s="58" t="s">
        <v>1840</v>
      </c>
      <c r="E138" s="52" t="s">
        <v>805</v>
      </c>
    </row>
    <row r="139" spans="2:5" ht="15.5">
      <c r="B139" s="50">
        <v>3121130125</v>
      </c>
      <c r="C139" s="50" t="s">
        <v>1755</v>
      </c>
      <c r="D139" s="58" t="s">
        <v>1204</v>
      </c>
      <c r="E139" s="52" t="s">
        <v>792</v>
      </c>
    </row>
    <row r="140" spans="2:5" ht="15.5">
      <c r="B140" s="50">
        <v>3121380069</v>
      </c>
      <c r="C140" s="50" t="s">
        <v>1755</v>
      </c>
      <c r="D140" s="58" t="s">
        <v>1851</v>
      </c>
      <c r="E140" s="52" t="s">
        <v>851</v>
      </c>
    </row>
    <row r="141" spans="2:5" ht="15.5">
      <c r="B141" s="50">
        <v>3123380105</v>
      </c>
      <c r="C141" s="50" t="s">
        <v>1755</v>
      </c>
      <c r="D141" s="58" t="s">
        <v>1482</v>
      </c>
      <c r="E141" s="52" t="s">
        <v>888</v>
      </c>
    </row>
    <row r="142" spans="2:5" ht="15.5">
      <c r="B142" s="50">
        <v>3124130015</v>
      </c>
      <c r="C142" s="50" t="s">
        <v>1755</v>
      </c>
      <c r="D142" s="58" t="s">
        <v>1846</v>
      </c>
      <c r="E142" s="52" t="s">
        <v>1872</v>
      </c>
    </row>
    <row r="143" spans="2:5" ht="15.5">
      <c r="B143" s="50">
        <v>3121130006</v>
      </c>
      <c r="C143" s="50" t="s">
        <v>1755</v>
      </c>
      <c r="D143" s="58" t="s">
        <v>1852</v>
      </c>
      <c r="E143" s="52" t="s">
        <v>844</v>
      </c>
    </row>
    <row r="144" spans="2:5" ht="15.5">
      <c r="B144" s="50">
        <v>3123380226</v>
      </c>
      <c r="C144" s="50" t="s">
        <v>1755</v>
      </c>
      <c r="D144" s="58" t="s">
        <v>1873</v>
      </c>
      <c r="E144" s="52" t="s">
        <v>812</v>
      </c>
    </row>
    <row r="145" spans="2:5" ht="15.5">
      <c r="B145" s="50">
        <v>3124130045</v>
      </c>
      <c r="C145" s="50" t="s">
        <v>1755</v>
      </c>
      <c r="D145" s="58" t="s">
        <v>1838</v>
      </c>
      <c r="E145" s="52" t="s">
        <v>778</v>
      </c>
    </row>
    <row r="146" spans="2:5" ht="15.5">
      <c r="B146" s="50">
        <v>3122350030</v>
      </c>
      <c r="C146" s="50" t="s">
        <v>1874</v>
      </c>
      <c r="D146" s="58" t="s">
        <v>1871</v>
      </c>
      <c r="E146" s="52" t="s">
        <v>203</v>
      </c>
    </row>
    <row r="147" spans="2:5" ht="15.5">
      <c r="B147" s="50">
        <v>3123540014</v>
      </c>
      <c r="C147" s="50" t="s">
        <v>1874</v>
      </c>
      <c r="D147" s="58" t="s">
        <v>1464</v>
      </c>
      <c r="E147" s="52" t="s">
        <v>262</v>
      </c>
    </row>
    <row r="148" spans="2:5" ht="15.5">
      <c r="B148" s="50">
        <v>3123570037</v>
      </c>
      <c r="C148" s="50" t="s">
        <v>1874</v>
      </c>
      <c r="D148" s="58" t="s">
        <v>1829</v>
      </c>
      <c r="E148" s="52" t="s">
        <v>247</v>
      </c>
    </row>
    <row r="149" spans="2:5" ht="15.5">
      <c r="B149" s="50">
        <v>3122570045</v>
      </c>
      <c r="C149" s="50" t="s">
        <v>1874</v>
      </c>
      <c r="D149" s="58" t="s">
        <v>186</v>
      </c>
      <c r="E149" s="52" t="s">
        <v>222</v>
      </c>
    </row>
    <row r="150" spans="2:5" ht="15.5">
      <c r="B150" s="50">
        <v>3122540036</v>
      </c>
      <c r="C150" s="50" t="s">
        <v>1874</v>
      </c>
      <c r="D150" s="58" t="s">
        <v>1839</v>
      </c>
      <c r="E150" s="52" t="s">
        <v>217</v>
      </c>
    </row>
    <row r="151" spans="2:5" ht="15.5">
      <c r="B151" s="50">
        <v>3122540040</v>
      </c>
      <c r="C151" s="50" t="s">
        <v>1874</v>
      </c>
      <c r="D151" s="58" t="s">
        <v>1875</v>
      </c>
      <c r="E151" s="52" t="s">
        <v>258</v>
      </c>
    </row>
    <row r="152" spans="2:5" ht="15.5">
      <c r="B152" s="50">
        <v>3121540074</v>
      </c>
      <c r="C152" s="50" t="s">
        <v>1874</v>
      </c>
      <c r="D152" s="58" t="s">
        <v>1833</v>
      </c>
      <c r="E152" s="52" t="s">
        <v>239</v>
      </c>
    </row>
    <row r="153" spans="2:5" ht="15.5">
      <c r="B153" s="50">
        <v>3122570086</v>
      </c>
      <c r="C153" s="50" t="s">
        <v>1874</v>
      </c>
      <c r="D153" s="58" t="s">
        <v>1873</v>
      </c>
      <c r="E153" s="52" t="s">
        <v>255</v>
      </c>
    </row>
    <row r="154" spans="2:5" ht="15.5">
      <c r="B154" s="50">
        <v>3122350184</v>
      </c>
      <c r="C154" s="50" t="s">
        <v>1874</v>
      </c>
      <c r="D154" s="58" t="s">
        <v>1833</v>
      </c>
      <c r="E154" s="52" t="s">
        <v>235</v>
      </c>
    </row>
    <row r="155" spans="2:5" ht="15.5">
      <c r="B155" s="50">
        <v>3123350177</v>
      </c>
      <c r="C155" s="50" t="s">
        <v>1874</v>
      </c>
      <c r="D155" s="58">
        <v>3.03</v>
      </c>
      <c r="E155" s="52" t="s">
        <v>213</v>
      </c>
    </row>
    <row r="156" spans="2:5" ht="15.5">
      <c r="B156" s="50">
        <v>3122570149</v>
      </c>
      <c r="C156" s="50" t="s">
        <v>1874</v>
      </c>
      <c r="D156" s="58" t="s">
        <v>1876</v>
      </c>
      <c r="E156" s="52" t="s">
        <v>230</v>
      </c>
    </row>
    <row r="157" spans="2:5" ht="15.5">
      <c r="B157" s="50">
        <v>3123570142</v>
      </c>
      <c r="C157" s="50" t="s">
        <v>1874</v>
      </c>
      <c r="D157" s="58" t="s">
        <v>1837</v>
      </c>
      <c r="E157" s="52" t="s">
        <v>279</v>
      </c>
    </row>
    <row r="158" spans="2:5" ht="15.5">
      <c r="B158" s="50">
        <v>3123480002</v>
      </c>
      <c r="C158" s="50" t="s">
        <v>1801</v>
      </c>
      <c r="D158" s="58" t="s">
        <v>1853</v>
      </c>
      <c r="E158" s="52" t="s">
        <v>996</v>
      </c>
    </row>
    <row r="159" spans="2:5" ht="15.5">
      <c r="B159" s="50">
        <v>3124580011</v>
      </c>
      <c r="C159" s="50" t="s">
        <v>1801</v>
      </c>
      <c r="D159" s="58">
        <v>3.12</v>
      </c>
      <c r="E159" s="52" t="s">
        <v>1002</v>
      </c>
    </row>
    <row r="160" spans="2:5" ht="15.5">
      <c r="B160" s="50">
        <v>3123010004</v>
      </c>
      <c r="C160" s="50" t="s">
        <v>1801</v>
      </c>
      <c r="D160" s="58" t="s">
        <v>1877</v>
      </c>
      <c r="E160" s="52" t="s">
        <v>974</v>
      </c>
    </row>
    <row r="161" spans="2:5" ht="15.5">
      <c r="B161" s="50">
        <v>3124580016</v>
      </c>
      <c r="C161" s="50" t="s">
        <v>1801</v>
      </c>
      <c r="D161" s="58" t="s">
        <v>1854</v>
      </c>
      <c r="E161" s="52" t="s">
        <v>990</v>
      </c>
    </row>
    <row r="162" spans="2:5" ht="15.5">
      <c r="B162" s="50">
        <v>3122010005</v>
      </c>
      <c r="C162" s="50" t="s">
        <v>1801</v>
      </c>
      <c r="D162" s="58" t="s">
        <v>1863</v>
      </c>
      <c r="E162" s="52" t="s">
        <v>1037</v>
      </c>
    </row>
    <row r="163" spans="2:5" ht="15.5">
      <c r="B163" s="50">
        <v>3124480032</v>
      </c>
      <c r="C163" s="50" t="s">
        <v>1801</v>
      </c>
      <c r="D163" s="58" t="s">
        <v>1445</v>
      </c>
      <c r="E163" s="52" t="s">
        <v>984</v>
      </c>
    </row>
    <row r="164" spans="2:5" ht="15.5">
      <c r="B164" s="50">
        <v>3124480033</v>
      </c>
      <c r="C164" s="50" t="s">
        <v>1801</v>
      </c>
      <c r="D164" s="58" t="s">
        <v>1464</v>
      </c>
      <c r="E164" s="52" t="s">
        <v>1020</v>
      </c>
    </row>
    <row r="165" spans="2:5" ht="15.5">
      <c r="B165" s="50">
        <v>3121480038</v>
      </c>
      <c r="C165" s="50" t="s">
        <v>1801</v>
      </c>
      <c r="D165" s="58" t="s">
        <v>1475</v>
      </c>
      <c r="E165" s="52" t="s">
        <v>1031</v>
      </c>
    </row>
    <row r="166" spans="2:5" ht="15.5">
      <c r="B166" s="50">
        <v>3123010031</v>
      </c>
      <c r="C166" s="50" t="s">
        <v>1801</v>
      </c>
      <c r="D166" s="58" t="s">
        <v>1837</v>
      </c>
      <c r="E166" s="52" t="s">
        <v>964</v>
      </c>
    </row>
    <row r="167" spans="2:5" ht="15.5">
      <c r="B167" s="50">
        <v>3123010033</v>
      </c>
      <c r="C167" s="50" t="s">
        <v>1801</v>
      </c>
      <c r="D167" s="58" t="s">
        <v>1873</v>
      </c>
      <c r="E167" s="52" t="s">
        <v>980</v>
      </c>
    </row>
    <row r="168" spans="2:5" ht="15.5">
      <c r="B168" s="50">
        <v>3124480061</v>
      </c>
      <c r="C168" s="50" t="s">
        <v>1801</v>
      </c>
      <c r="D168" s="58" t="s">
        <v>1833</v>
      </c>
      <c r="E168" s="52" t="s">
        <v>1026</v>
      </c>
    </row>
    <row r="169" spans="2:5" ht="15.5">
      <c r="B169" s="50">
        <v>3121480061</v>
      </c>
      <c r="C169" s="50" t="s">
        <v>1801</v>
      </c>
      <c r="D169" s="58" t="s">
        <v>1878</v>
      </c>
      <c r="E169" s="52" t="s">
        <v>1008</v>
      </c>
    </row>
    <row r="170" spans="2:5" ht="15.5">
      <c r="B170" s="50">
        <v>3121010002</v>
      </c>
      <c r="C170" s="50" t="s">
        <v>1801</v>
      </c>
      <c r="D170" s="58" t="s">
        <v>1826</v>
      </c>
      <c r="E170" s="52" t="s">
        <v>1065</v>
      </c>
    </row>
    <row r="171" spans="2:5" ht="15.5">
      <c r="B171" s="59">
        <v>3121010050</v>
      </c>
      <c r="C171" s="50" t="s">
        <v>1801</v>
      </c>
      <c r="D171" s="58" t="s">
        <v>756</v>
      </c>
      <c r="E171" s="52" t="s">
        <v>1014</v>
      </c>
    </row>
    <row r="172" spans="2:5" ht="15.5">
      <c r="B172" s="50">
        <v>3121480068</v>
      </c>
      <c r="C172" s="50" t="s">
        <v>1801</v>
      </c>
      <c r="D172" s="58" t="s">
        <v>1851</v>
      </c>
      <c r="E172" s="52" t="s">
        <v>1047</v>
      </c>
    </row>
    <row r="173" spans="2:5" ht="15.5">
      <c r="B173" s="50">
        <v>3124480067</v>
      </c>
      <c r="C173" s="50" t="s">
        <v>1801</v>
      </c>
      <c r="D173" s="58" t="s">
        <v>1879</v>
      </c>
      <c r="E173" s="52" t="s">
        <v>1045</v>
      </c>
    </row>
    <row r="174" spans="2:5" ht="15.5">
      <c r="B174" s="50">
        <v>3122100013</v>
      </c>
      <c r="C174" s="50" t="s">
        <v>1734</v>
      </c>
      <c r="D174" s="58" t="s">
        <v>1880</v>
      </c>
      <c r="E174" s="52" t="s">
        <v>1738</v>
      </c>
    </row>
    <row r="175" spans="2:5" ht="15.5">
      <c r="B175" s="50">
        <v>3123060014</v>
      </c>
      <c r="C175" s="50" t="s">
        <v>1778</v>
      </c>
      <c r="D175" s="58" t="s">
        <v>1857</v>
      </c>
      <c r="E175" s="52" t="s">
        <v>1782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Trang tính1</vt:lpstr>
      <vt:lpstr>HS Trình</vt:lpstr>
      <vt:lpstr>Trang tính3</vt:lpstr>
      <vt:lpstr>Trang tính2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Thành Đạt Ngô Nguyễn</cp:lastModifiedBy>
  <dcterms:modified xsi:type="dcterms:W3CDTF">2026-04-14T05:20:13Z</dcterms:modified>
</cp:coreProperties>
</file>